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ownloads/"/>
    </mc:Choice>
  </mc:AlternateContent>
  <xr:revisionPtr revIDLastSave="0" documentId="13_ncr:1_{9ED0B575-D774-4F43-8A08-8B970A811D1D}" xr6:coauthVersionLast="47" xr6:coauthVersionMax="47" xr10:uidLastSave="{00000000-0000-0000-0000-000000000000}"/>
  <bookViews>
    <workbookView xWindow="0" yWindow="0" windowWidth="38400" windowHeight="21600" xr2:uid="{1C36B350-C052-BD46-B900-DA1578596C70}"/>
  </bookViews>
  <sheets>
    <sheet name="Master" sheetId="1" r:id="rId1"/>
  </sheets>
  <definedNames>
    <definedName name="_xlnm._FilterDatabase" localSheetId="0" hidden="1">Master!$A$1:$AE$1841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49" i="1" l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596" i="1"/>
  <c r="AD274" i="1"/>
  <c r="AD77" i="1"/>
  <c r="AD107" i="1"/>
  <c r="AD214" i="1"/>
  <c r="AD129" i="1"/>
  <c r="AD168" i="1"/>
  <c r="AD816" i="1"/>
  <c r="AD492" i="1"/>
  <c r="AD211" i="1"/>
  <c r="AD227" i="1"/>
  <c r="AD511" i="1"/>
  <c r="AD1489" i="1"/>
  <c r="AD1491" i="1"/>
  <c r="AD1490" i="1"/>
  <c r="AD1492" i="1"/>
  <c r="AD194" i="1"/>
  <c r="AD315" i="1"/>
  <c r="AD460" i="1"/>
  <c r="AD480" i="1"/>
  <c r="AD399" i="1"/>
  <c r="AD440" i="1"/>
  <c r="AD291" i="1"/>
  <c r="AD15" i="1"/>
  <c r="AD51" i="1"/>
  <c r="AD104" i="1"/>
  <c r="AD67" i="1"/>
  <c r="AD502" i="1"/>
  <c r="AD279" i="1"/>
  <c r="AD43" i="1"/>
  <c r="AD184" i="1"/>
  <c r="AD12" i="1"/>
  <c r="AD4" i="1"/>
  <c r="AD7" i="1"/>
  <c r="AD30" i="1"/>
  <c r="AD731" i="1"/>
  <c r="AD260" i="1"/>
  <c r="AD604" i="1"/>
  <c r="AD17" i="1"/>
  <c r="AD2" i="1"/>
  <c r="AD68" i="1"/>
  <c r="AD53" i="1"/>
  <c r="AD78" i="1"/>
  <c r="AD8" i="1"/>
  <c r="AD6" i="1"/>
  <c r="AD23" i="1"/>
  <c r="AD36" i="1"/>
  <c r="AD346" i="1"/>
  <c r="AD52" i="1"/>
  <c r="AD42" i="1"/>
  <c r="AD60" i="1"/>
  <c r="AD498" i="1"/>
  <c r="AD203" i="1"/>
  <c r="AD59" i="1"/>
  <c r="AD191" i="1"/>
  <c r="AD254" i="1"/>
  <c r="AD18" i="1"/>
  <c r="AD270" i="1"/>
  <c r="AD3" i="1"/>
  <c r="AD264" i="1"/>
  <c r="AD148" i="1"/>
  <c r="AD338" i="1"/>
  <c r="AD215" i="1"/>
  <c r="AD348" i="1"/>
  <c r="AD222" i="1"/>
  <c r="AD196" i="1"/>
  <c r="AD487" i="1"/>
  <c r="AD229" i="1"/>
  <c r="AD286" i="1"/>
  <c r="AD48" i="1"/>
  <c r="AD330" i="1"/>
  <c r="AD100" i="1"/>
  <c r="AD5" i="1"/>
  <c r="AD29" i="1"/>
  <c r="AD390" i="1"/>
  <c r="AD435" i="1"/>
  <c r="AD512" i="1"/>
  <c r="AD212" i="1"/>
  <c r="AD376" i="1"/>
  <c r="AD88" i="1"/>
  <c r="AD165" i="1"/>
  <c r="AD368" i="1"/>
  <c r="AD514" i="1"/>
  <c r="AD156" i="1"/>
  <c r="AD311" i="1"/>
  <c r="AD119" i="1"/>
  <c r="AD40" i="1"/>
  <c r="AD150" i="1"/>
  <c r="AD367" i="1"/>
  <c r="AD394" i="1"/>
  <c r="AD401" i="1"/>
  <c r="AD578" i="1"/>
  <c r="AD620" i="1"/>
  <c r="AD524" i="1"/>
  <c r="AD109" i="1"/>
  <c r="AD283" i="1"/>
  <c r="AD188" i="1"/>
  <c r="AD770" i="1"/>
  <c r="AD388" i="1"/>
  <c r="AD171" i="1"/>
  <c r="AD495" i="1"/>
  <c r="AD591" i="1"/>
  <c r="AD538" i="1"/>
  <c r="AD185" i="1"/>
  <c r="AD69" i="1"/>
  <c r="AD19" i="1"/>
  <c r="AD482" i="1"/>
  <c r="AD559" i="1"/>
  <c r="AD326" i="1"/>
  <c r="AD82" i="1"/>
  <c r="AD360" i="1"/>
  <c r="AD632" i="1"/>
  <c r="AD164" i="1"/>
  <c r="AD199" i="1"/>
  <c r="AD22" i="1"/>
  <c r="AD84" i="1"/>
  <c r="AD479" i="1"/>
  <c r="AD240" i="1"/>
  <c r="AD228" i="1"/>
  <c r="AD180" i="1"/>
  <c r="AD483" i="1"/>
  <c r="AD39" i="1"/>
  <c r="AD25" i="1"/>
  <c r="AD92" i="1"/>
  <c r="AD221" i="1"/>
  <c r="AD144" i="1"/>
  <c r="AD110" i="1"/>
  <c r="AD91" i="1"/>
  <c r="AD384" i="1"/>
  <c r="AD95" i="1"/>
  <c r="AD41" i="1"/>
  <c r="AD1077" i="1"/>
  <c r="AD555" i="1"/>
  <c r="AD638" i="1"/>
  <c r="AD535" i="1"/>
  <c r="AD173" i="1"/>
  <c r="AD121" i="1"/>
  <c r="AD178" i="1"/>
  <c r="AD123" i="1"/>
  <c r="AD246" i="1"/>
  <c r="AD406" i="1"/>
  <c r="AD324" i="1"/>
  <c r="AD256" i="1"/>
  <c r="AD50" i="1"/>
  <c r="AD430" i="1"/>
  <c r="AD238" i="1"/>
  <c r="AD122" i="1"/>
  <c r="AD321" i="1"/>
  <c r="AB299" i="1"/>
  <c r="AB147" i="1"/>
  <c r="AB387" i="1"/>
  <c r="AB397" i="1"/>
  <c r="AB340" i="1"/>
  <c r="AD386" i="1"/>
  <c r="AB386" i="1"/>
  <c r="AD1224" i="1"/>
  <c r="AB1224" i="1"/>
  <c r="AD424" i="1"/>
  <c r="AB424" i="1"/>
  <c r="AD217" i="1"/>
  <c r="AB217" i="1"/>
  <c r="AD830" i="1"/>
  <c r="AB830" i="1"/>
  <c r="AD462" i="1"/>
  <c r="AB462" i="1"/>
  <c r="AD552" i="1"/>
  <c r="AB552" i="1"/>
  <c r="AD354" i="1"/>
  <c r="AB354" i="1"/>
  <c r="AD949" i="1"/>
  <c r="AB949" i="1"/>
  <c r="AD872" i="1"/>
  <c r="AB872" i="1"/>
  <c r="AD468" i="1"/>
  <c r="AB468" i="1"/>
  <c r="AD1108" i="1"/>
  <c r="AB1108" i="1"/>
  <c r="AD592" i="1"/>
  <c r="AB592" i="1"/>
  <c r="AD510" i="1"/>
  <c r="AB510" i="1"/>
  <c r="AD679" i="1"/>
  <c r="AB679" i="1"/>
  <c r="AB66" i="1"/>
  <c r="AB14" i="1"/>
  <c r="AB11" i="1"/>
  <c r="AB35" i="1"/>
  <c r="AB16" i="1"/>
  <c r="AB46" i="1"/>
  <c r="AB79" i="1"/>
  <c r="AB38" i="1"/>
  <c r="AB13" i="1"/>
  <c r="AD70" i="1"/>
  <c r="AB70" i="1"/>
  <c r="AD80" i="1"/>
  <c r="AB80" i="1"/>
  <c r="AD87" i="1"/>
  <c r="AB87" i="1"/>
  <c r="AD103" i="1"/>
  <c r="AB103" i="1"/>
  <c r="AD61" i="1"/>
  <c r="AB61" i="1"/>
  <c r="AD54" i="1"/>
  <c r="AB54" i="1"/>
  <c r="AD62" i="1"/>
  <c r="AB62" i="1"/>
  <c r="AD85" i="1"/>
  <c r="AB85" i="1"/>
  <c r="AD94" i="1"/>
  <c r="AB94" i="1"/>
  <c r="AD65" i="1"/>
  <c r="AB65" i="1"/>
  <c r="AD31" i="1"/>
  <c r="AB31" i="1"/>
  <c r="AD73" i="1"/>
  <c r="AB73" i="1"/>
  <c r="AD89" i="1"/>
  <c r="AB89" i="1"/>
  <c r="AD71" i="1"/>
  <c r="AB71" i="1"/>
  <c r="AB1012" i="1"/>
  <c r="AB806" i="1"/>
  <c r="AB915" i="1"/>
  <c r="AB662" i="1"/>
  <c r="AB1277" i="1"/>
  <c r="AB797" i="1"/>
  <c r="AB817" i="1"/>
  <c r="AB998" i="1"/>
  <c r="AB945" i="1"/>
  <c r="AB1095" i="1"/>
  <c r="AB1101" i="1"/>
  <c r="AB1174" i="1"/>
  <c r="AB890" i="1"/>
  <c r="AB1199" i="1"/>
  <c r="AB1090" i="1"/>
  <c r="AB982" i="1"/>
  <c r="AB976" i="1"/>
  <c r="AB876" i="1"/>
  <c r="AB894" i="1"/>
  <c r="AB722" i="1"/>
  <c r="AB937" i="1"/>
  <c r="AB1026" i="1"/>
  <c r="AB735" i="1"/>
  <c r="AB1022" i="1"/>
  <c r="AB923" i="1"/>
  <c r="AB866" i="1"/>
  <c r="AB1230" i="1"/>
  <c r="AB1048" i="1"/>
  <c r="AB920" i="1"/>
  <c r="AB1089" i="1"/>
  <c r="AB1006" i="1"/>
  <c r="AB1248" i="1"/>
  <c r="AB1261" i="1"/>
  <c r="AB963" i="1"/>
  <c r="AB935" i="1"/>
  <c r="AB970" i="1"/>
  <c r="AB1072" i="1"/>
  <c r="AB1059" i="1"/>
  <c r="AB1206" i="1"/>
  <c r="AB929" i="1"/>
  <c r="AB1184" i="1"/>
  <c r="AB709" i="1"/>
  <c r="AB769" i="1"/>
  <c r="AB1155" i="1"/>
  <c r="AB893" i="1"/>
  <c r="AB932" i="1"/>
  <c r="AB1264" i="1"/>
  <c r="AB1047" i="1"/>
  <c r="AB1091" i="1"/>
  <c r="AB1037" i="1"/>
  <c r="AB901" i="1"/>
  <c r="AB1360" i="1"/>
  <c r="AB1051" i="1"/>
  <c r="AB750" i="1"/>
  <c r="AB819" i="1"/>
  <c r="AB973" i="1"/>
  <c r="AB766" i="1"/>
  <c r="AB1160" i="1"/>
  <c r="AB787" i="1"/>
  <c r="AB988" i="1"/>
  <c r="AB803" i="1"/>
  <c r="AB1034" i="1"/>
  <c r="AB1082" i="1"/>
  <c r="AB643" i="1"/>
  <c r="AB793" i="1"/>
  <c r="AB658" i="1"/>
  <c r="AB738" i="1"/>
  <c r="AB950" i="1"/>
  <c r="AB476" i="1"/>
  <c r="AD233" i="1" l="1"/>
  <c r="AB233" i="1"/>
  <c r="AD105" i="1"/>
  <c r="AB105" i="1"/>
  <c r="AD204" i="1"/>
  <c r="AB204" i="1"/>
  <c r="AD250" i="1"/>
  <c r="AB250" i="1"/>
  <c r="AD44" i="1"/>
  <c r="AB44" i="1"/>
  <c r="AD647" i="1"/>
  <c r="AB647" i="1"/>
  <c r="AD500" i="1"/>
  <c r="AB500" i="1"/>
  <c r="AD601" i="1"/>
  <c r="AB601" i="1"/>
  <c r="AD398" i="1"/>
  <c r="AB398" i="1"/>
  <c r="AD226" i="1"/>
  <c r="AB226" i="1"/>
  <c r="AD599" i="1"/>
  <c r="AB599" i="1"/>
  <c r="AD277" i="1"/>
  <c r="AB277" i="1"/>
  <c r="AD402" i="1"/>
  <c r="AB402" i="1"/>
  <c r="AD28" i="1"/>
  <c r="AB28" i="1"/>
  <c r="AD518" i="1"/>
  <c r="AB518" i="1"/>
  <c r="AD1065" i="1"/>
  <c r="AB1065" i="1"/>
  <c r="AD718" i="1"/>
  <c r="AB718" i="1"/>
  <c r="AD1271" i="1"/>
  <c r="AB1271" i="1"/>
  <c r="AD1403" i="1"/>
  <c r="AB1403" i="1"/>
  <c r="AD540" i="1"/>
  <c r="AB540" i="1"/>
  <c r="AD21" i="1"/>
  <c r="AB21" i="1"/>
  <c r="AD1263" i="1"/>
  <c r="AB1263" i="1"/>
  <c r="AD958" i="1"/>
  <c r="AB958" i="1"/>
  <c r="AD1262" i="1"/>
  <c r="AB1262" i="1"/>
  <c r="AB634" i="1"/>
  <c r="AB520" i="1"/>
  <c r="AB834" i="1"/>
  <c r="AB545" i="1"/>
  <c r="AB795" i="1"/>
  <c r="AB908" i="1"/>
  <c r="AB665" i="1"/>
  <c r="AB657" i="1"/>
  <c r="AB593" i="1"/>
  <c r="AB573" i="1"/>
  <c r="AB759" i="1"/>
  <c r="AB823" i="1"/>
  <c r="AB528" i="1"/>
  <c r="AB507" i="1"/>
  <c r="AB334" i="1"/>
  <c r="AB521" i="1"/>
  <c r="AB501" i="1"/>
  <c r="AB499" i="1"/>
  <c r="AB331" i="1"/>
  <c r="AB613" i="1"/>
  <c r="AB231" i="1"/>
  <c r="AB767" i="1"/>
  <c r="AB539" i="1"/>
  <c r="AB441" i="1"/>
  <c r="AB481" i="1"/>
  <c r="AB475" i="1"/>
  <c r="AB452" i="1"/>
  <c r="AB419" i="1"/>
  <c r="AB465" i="1"/>
  <c r="AB271" i="1"/>
  <c r="AB83" i="1"/>
  <c r="AB543" i="1"/>
  <c r="AB36" i="1"/>
  <c r="AB23" i="1"/>
  <c r="AB6" i="1"/>
  <c r="AB8" i="1"/>
  <c r="AB78" i="1"/>
  <c r="AB53" i="1"/>
  <c r="AB68" i="1"/>
  <c r="AB2" i="1"/>
  <c r="AB17" i="1"/>
  <c r="AB604" i="1"/>
  <c r="AB260" i="1"/>
  <c r="AB731" i="1"/>
  <c r="AB30" i="1"/>
  <c r="AB7" i="1"/>
  <c r="AB4" i="1"/>
  <c r="AB12" i="1"/>
  <c r="AB184" i="1"/>
  <c r="AB43" i="1"/>
  <c r="AB279" i="1"/>
  <c r="AB502" i="1"/>
  <c r="AB67" i="1"/>
  <c r="AB104" i="1"/>
  <c r="AB51" i="1"/>
  <c r="AB15" i="1"/>
  <c r="AB291" i="1"/>
  <c r="AB440" i="1"/>
  <c r="AB399" i="1"/>
  <c r="AB480" i="1"/>
  <c r="AB460" i="1"/>
  <c r="AB315" i="1"/>
  <c r="AB346" i="1"/>
  <c r="AB338" i="1"/>
  <c r="AB148" i="1"/>
  <c r="AB264" i="1"/>
  <c r="AB3" i="1"/>
  <c r="AB270" i="1"/>
  <c r="AB18" i="1"/>
  <c r="AB254" i="1"/>
  <c r="AB191" i="1"/>
  <c r="AB59" i="1"/>
  <c r="AB203" i="1"/>
  <c r="AB498" i="1"/>
  <c r="AB60" i="1"/>
  <c r="AB42" i="1"/>
  <c r="AB52" i="1"/>
  <c r="AB394" i="1"/>
  <c r="AB367" i="1"/>
  <c r="AB150" i="1"/>
  <c r="AB40" i="1"/>
  <c r="AB119" i="1"/>
  <c r="AB311" i="1"/>
  <c r="AB156" i="1"/>
  <c r="AB514" i="1"/>
  <c r="AB368" i="1"/>
  <c r="AB165" i="1"/>
  <c r="AB88" i="1"/>
  <c r="AB376" i="1"/>
  <c r="AB212" i="1"/>
  <c r="AB512" i="1"/>
  <c r="AB435" i="1"/>
  <c r="AB390" i="1"/>
  <c r="AB29" i="1"/>
  <c r="AB5" i="1"/>
  <c r="AB100" i="1"/>
  <c r="AB330" i="1"/>
  <c r="AB48" i="1"/>
  <c r="AB286" i="1"/>
  <c r="AB229" i="1"/>
  <c r="AB487" i="1"/>
  <c r="AB196" i="1"/>
  <c r="AB222" i="1"/>
  <c r="AB348" i="1"/>
  <c r="AB215" i="1"/>
  <c r="AB188" i="1"/>
  <c r="AB283" i="1"/>
  <c r="AB109" i="1"/>
  <c r="AB524" i="1"/>
  <c r="AB620" i="1"/>
  <c r="AB578" i="1"/>
  <c r="AB401" i="1"/>
  <c r="AB770" i="1"/>
  <c r="AB41" i="1"/>
  <c r="AB95" i="1"/>
  <c r="AB384" i="1"/>
  <c r="AB91" i="1"/>
  <c r="AB110" i="1"/>
  <c r="AB144" i="1"/>
  <c r="AB221" i="1"/>
  <c r="AB92" i="1"/>
  <c r="AB25" i="1"/>
  <c r="AB39" i="1"/>
  <c r="AB483" i="1"/>
  <c r="AB180" i="1"/>
  <c r="AB228" i="1"/>
  <c r="AD143" i="1"/>
  <c r="AB240" i="1"/>
  <c r="AD134" i="1"/>
  <c r="AB479" i="1"/>
  <c r="AD98" i="1"/>
  <c r="AB84" i="1"/>
  <c r="AD176" i="1"/>
  <c r="AB22" i="1"/>
  <c r="AD218" i="1"/>
  <c r="AB199" i="1"/>
  <c r="AD219" i="1"/>
  <c r="AB164" i="1"/>
  <c r="AD308" i="1"/>
  <c r="AB632" i="1"/>
  <c r="AD213" i="1"/>
  <c r="AB360" i="1"/>
  <c r="AD341" i="1"/>
  <c r="AB82" i="1"/>
  <c r="AD363" i="1"/>
  <c r="AB326" i="1"/>
  <c r="AD743" i="1"/>
  <c r="AB559" i="1"/>
  <c r="AD316" i="1"/>
  <c r="AB482" i="1"/>
  <c r="AD403" i="1"/>
  <c r="AB19" i="1"/>
  <c r="AD20" i="1"/>
  <c r="AB69" i="1"/>
  <c r="AD383" i="1"/>
  <c r="AB185" i="1"/>
  <c r="AB538" i="1"/>
  <c r="AD436" i="1"/>
  <c r="AB591" i="1"/>
  <c r="AB495" i="1"/>
  <c r="AB171" i="1"/>
  <c r="AB388" i="1"/>
  <c r="AB1077" i="1"/>
  <c r="AB143" i="1"/>
  <c r="AB134" i="1"/>
  <c r="AB98" i="1"/>
  <c r="AB176" i="1"/>
  <c r="AB218" i="1"/>
  <c r="AB219" i="1"/>
  <c r="AB308" i="1"/>
  <c r="AB213" i="1"/>
  <c r="AB341" i="1"/>
  <c r="AB363" i="1"/>
  <c r="AB743" i="1"/>
  <c r="AB316" i="1"/>
  <c r="AB403" i="1"/>
  <c r="AB20" i="1"/>
  <c r="AB383" i="1"/>
  <c r="AB749" i="1"/>
  <c r="AB436" i="1"/>
  <c r="AB321" i="1"/>
  <c r="AB122" i="1"/>
  <c r="AB238" i="1"/>
  <c r="AB430" i="1"/>
  <c r="AB50" i="1"/>
  <c r="AB256" i="1"/>
  <c r="AB324" i="1"/>
  <c r="AB406" i="1"/>
  <c r="AB246" i="1"/>
  <c r="AB123" i="1"/>
  <c r="AB178" i="1"/>
  <c r="AB121" i="1"/>
  <c r="AB173" i="1"/>
  <c r="AB535" i="1"/>
  <c r="AB638" i="1"/>
  <c r="AB555" i="1"/>
  <c r="AD1178" i="1"/>
  <c r="AD711" i="1"/>
  <c r="AD371" i="1"/>
  <c r="AD530" i="1"/>
  <c r="AD319" i="1"/>
  <c r="AD877" i="1"/>
  <c r="AD313" i="1"/>
  <c r="AD307" i="1"/>
  <c r="AD582" i="1"/>
  <c r="AD464" i="1"/>
  <c r="AD566" i="1"/>
  <c r="AD449" i="1"/>
  <c r="AD536" i="1"/>
  <c r="AD525" i="1"/>
  <c r="AD201" i="1"/>
  <c r="AD33" i="1"/>
  <c r="AD55" i="1"/>
  <c r="AD57" i="1"/>
  <c r="AD58" i="1"/>
  <c r="AD558" i="1"/>
  <c r="AD124" i="1"/>
  <c r="AD375" i="1"/>
  <c r="AD189" i="1"/>
  <c r="AD181" i="1"/>
  <c r="AD421" i="1"/>
  <c r="AD24" i="1"/>
  <c r="AD167" i="1"/>
  <c r="AD139" i="1"/>
  <c r="AD253" i="1"/>
  <c r="AD456" i="1"/>
  <c r="AD101" i="1"/>
  <c r="AD175" i="1"/>
  <c r="AD207" i="1"/>
  <c r="AD125" i="1"/>
  <c r="AD410" i="1"/>
  <c r="AD99" i="1"/>
  <c r="AD349" i="1"/>
  <c r="AD506" i="1"/>
  <c r="AD322" i="1"/>
  <c r="AD553" i="1"/>
  <c r="AD323" i="1"/>
  <c r="AD296" i="1"/>
  <c r="AD614" i="1"/>
  <c r="AD416" i="1"/>
  <c r="AD377" i="1"/>
  <c r="AD64" i="1"/>
  <c r="AD272" i="1"/>
  <c r="AD541" i="1"/>
  <c r="AD269" i="1"/>
  <c r="AD579" i="1"/>
  <c r="AD413" i="1"/>
  <c r="AD529" i="1"/>
  <c r="AD563" i="1"/>
  <c r="AD225" i="1"/>
  <c r="AD332" i="1"/>
  <c r="AD289" i="1"/>
  <c r="AD72" i="1"/>
  <c r="AD667" i="1"/>
  <c r="AB1178" i="1"/>
  <c r="AB711" i="1"/>
  <c r="AB371" i="1"/>
  <c r="AB530" i="1"/>
  <c r="AB319" i="1"/>
  <c r="AB877" i="1"/>
  <c r="AB313" i="1"/>
  <c r="AB307" i="1"/>
  <c r="AB582" i="1"/>
  <c r="AB464" i="1"/>
  <c r="AB566" i="1"/>
  <c r="AB449" i="1"/>
  <c r="AB536" i="1"/>
  <c r="AB525" i="1"/>
  <c r="AB201" i="1"/>
  <c r="AB33" i="1"/>
  <c r="AB55" i="1"/>
  <c r="AB57" i="1"/>
  <c r="AB58" i="1"/>
  <c r="AB558" i="1"/>
  <c r="AB124" i="1"/>
  <c r="AB375" i="1"/>
  <c r="AB189" i="1"/>
  <c r="AB181" i="1"/>
  <c r="AB421" i="1"/>
  <c r="AB24" i="1"/>
  <c r="AB167" i="1"/>
  <c r="AB139" i="1"/>
  <c r="AB253" i="1"/>
  <c r="AB456" i="1"/>
  <c r="AB101" i="1"/>
  <c r="AB175" i="1"/>
  <c r="AB207" i="1"/>
  <c r="AB125" i="1"/>
  <c r="AB410" i="1"/>
  <c r="AB99" i="1"/>
  <c r="AB1046" i="1"/>
  <c r="AB1212" i="1"/>
  <c r="AB1132" i="1"/>
  <c r="AB842" i="1"/>
  <c r="AB713" i="1"/>
  <c r="AB938" i="1"/>
  <c r="AB1391" i="1"/>
  <c r="AB1301" i="1"/>
  <c r="AB1097" i="1"/>
  <c r="AB1420" i="1"/>
  <c r="AB940" i="1"/>
  <c r="AB903" i="1"/>
  <c r="AB921" i="1"/>
  <c r="AB1005" i="1"/>
  <c r="AB927" i="1"/>
  <c r="AB838" i="1"/>
  <c r="AB868" i="1"/>
  <c r="AB957" i="1"/>
  <c r="AB1085" i="1"/>
  <c r="AB986" i="1"/>
  <c r="AB683" i="1"/>
  <c r="AB717" i="1"/>
  <c r="AB925" i="1"/>
  <c r="AB349" i="1"/>
  <c r="AB506" i="1"/>
  <c r="AB322" i="1"/>
  <c r="AB553" i="1"/>
  <c r="AB323" i="1"/>
  <c r="AB296" i="1"/>
  <c r="AB614" i="1"/>
  <c r="AB416" i="1"/>
  <c r="AB377" i="1"/>
  <c r="AB64" i="1"/>
  <c r="AB272" i="1"/>
  <c r="AB541" i="1"/>
  <c r="AB269" i="1"/>
  <c r="AB579" i="1"/>
  <c r="AB413" i="1"/>
  <c r="AB529" i="1"/>
  <c r="AB563" i="1"/>
  <c r="AB225" i="1"/>
  <c r="AB332" i="1"/>
  <c r="AB289" i="1"/>
  <c r="AB72" i="1"/>
  <c r="AB667" i="1"/>
  <c r="AD977" i="1"/>
  <c r="AD600" i="1"/>
  <c r="AD564" i="1"/>
  <c r="AD946" i="1"/>
  <c r="AD712" i="1"/>
  <c r="AD993" i="1"/>
  <c r="AD1234" i="1"/>
  <c r="AD1242" i="1"/>
  <c r="AD1110" i="1"/>
  <c r="AD782" i="1"/>
  <c r="AD809" i="1"/>
  <c r="AD814" i="1"/>
  <c r="AD831" i="1"/>
  <c r="AD788" i="1"/>
  <c r="AD704" i="1"/>
  <c r="AD652" i="1"/>
  <c r="AD74" i="1"/>
  <c r="AD849" i="1"/>
  <c r="AD1195" i="1"/>
  <c r="AD776" i="1"/>
  <c r="AD785" i="1"/>
  <c r="AD1165" i="1"/>
  <c r="AD195" i="1"/>
  <c r="AD1109" i="1"/>
  <c r="AD677" i="1"/>
  <c r="AD161" i="1"/>
  <c r="AD740" i="1"/>
  <c r="AD37" i="1"/>
  <c r="AD934" i="1"/>
  <c r="AD353" i="1"/>
  <c r="AD531" i="1"/>
  <c r="AD466" i="1"/>
  <c r="AD618" i="1"/>
  <c r="AD328" i="1"/>
  <c r="AD276" i="1"/>
  <c r="AD186" i="1"/>
  <c r="AD372" i="1"/>
  <c r="AD56" i="1"/>
  <c r="AD47" i="1"/>
  <c r="AD32" i="1"/>
  <c r="AD412" i="1"/>
  <c r="AD133" i="1"/>
  <c r="AD488" i="1"/>
  <c r="AD852" i="1"/>
  <c r="AD97" i="1"/>
  <c r="AD75" i="1"/>
  <c r="AD262" i="1"/>
  <c r="AD151" i="1"/>
  <c r="AD455" i="1"/>
  <c r="AD234" i="1"/>
  <c r="AD635" i="1"/>
  <c r="AD519" i="1"/>
  <c r="AD216" i="1"/>
  <c r="AD169" i="1"/>
  <c r="AD127" i="1"/>
  <c r="AD824" i="1"/>
  <c r="AD302" i="1"/>
  <c r="AD294" i="1"/>
  <c r="AD327" i="1"/>
  <c r="AD395" i="1"/>
  <c r="AD411" i="1"/>
  <c r="AD640" i="1"/>
  <c r="AD45" i="1"/>
  <c r="AD232" i="1"/>
  <c r="AD108" i="1"/>
  <c r="AD577" i="1"/>
  <c r="AB977" i="1"/>
  <c r="AB600" i="1"/>
  <c r="AB564" i="1"/>
  <c r="AB946" i="1"/>
  <c r="AB712" i="1"/>
  <c r="AB993" i="1"/>
  <c r="AB1234" i="1"/>
  <c r="AB1242" i="1"/>
  <c r="AB1110" i="1"/>
  <c r="AB782" i="1"/>
  <c r="AB809" i="1"/>
  <c r="AB814" i="1"/>
  <c r="AB831" i="1"/>
  <c r="AB788" i="1"/>
  <c r="AB704" i="1"/>
  <c r="AB652" i="1"/>
  <c r="AB74" i="1"/>
  <c r="AB849" i="1"/>
  <c r="AB1195" i="1"/>
  <c r="AB776" i="1"/>
  <c r="AB785" i="1"/>
  <c r="AB1165" i="1"/>
  <c r="AB195" i="1"/>
  <c r="AB1109" i="1"/>
  <c r="AB677" i="1"/>
  <c r="AB161" i="1"/>
  <c r="AB740" i="1"/>
  <c r="AB37" i="1"/>
  <c r="AB934" i="1"/>
  <c r="AB353" i="1"/>
  <c r="AB531" i="1"/>
  <c r="AB466" i="1"/>
  <c r="AB618" i="1"/>
  <c r="AB328" i="1"/>
  <c r="AB276" i="1"/>
  <c r="AB186" i="1"/>
  <c r="AB372" i="1"/>
  <c r="AB56" i="1"/>
  <c r="AB47" i="1"/>
  <c r="AB32" i="1"/>
  <c r="AB412" i="1"/>
  <c r="AB133" i="1"/>
  <c r="AB488" i="1"/>
  <c r="AB852" i="1"/>
  <c r="AB97" i="1"/>
  <c r="AB75" i="1"/>
  <c r="AB262" i="1"/>
  <c r="AB151" i="1"/>
  <c r="AB455" i="1"/>
  <c r="AB234" i="1"/>
  <c r="AB635" i="1"/>
  <c r="AB519" i="1"/>
  <c r="AB216" i="1"/>
  <c r="AB169" i="1"/>
  <c r="AB127" i="1"/>
  <c r="AB824" i="1"/>
  <c r="AB302" i="1"/>
  <c r="AB294" i="1"/>
  <c r="AB327" i="1"/>
  <c r="AB395" i="1"/>
  <c r="AB411" i="1"/>
  <c r="AB640" i="1"/>
  <c r="AB45" i="1"/>
  <c r="AB232" i="1"/>
  <c r="AB108" i="1"/>
  <c r="AB577" i="1"/>
  <c r="AD451" i="1"/>
  <c r="AD542" i="1"/>
  <c r="AD439" i="1"/>
  <c r="AD153" i="1"/>
  <c r="AD590" i="1"/>
  <c r="AD685" i="1"/>
  <c r="AD415" i="1"/>
  <c r="AD561" i="1"/>
  <c r="AD427" i="1"/>
  <c r="AD442" i="1"/>
  <c r="AD654" i="1"/>
  <c r="AD433" i="1"/>
  <c r="AD605" i="1"/>
  <c r="AD392" i="1"/>
  <c r="AD202" i="1"/>
  <c r="AD317" i="1"/>
  <c r="AD784" i="1"/>
  <c r="AD997" i="1"/>
  <c r="AD378" i="1"/>
  <c r="AD739" i="1"/>
  <c r="AD113" i="1"/>
  <c r="AD426" i="1"/>
  <c r="AD649" i="1"/>
  <c r="AD255" i="1"/>
  <c r="AD619" i="1"/>
  <c r="AD461" i="1"/>
  <c r="AD237" i="1"/>
  <c r="AD141" i="1"/>
  <c r="AD306" i="1"/>
  <c r="AD131" i="1"/>
  <c r="AD76" i="1"/>
  <c r="AD118" i="1"/>
  <c r="AD445" i="1"/>
  <c r="AD551" i="1"/>
  <c r="AB267" i="1"/>
  <c r="AB454" i="1"/>
  <c r="AB259" i="1"/>
  <c r="AB230" i="1"/>
  <c r="AB474" i="1"/>
  <c r="AB467" i="1"/>
  <c r="AB149" i="1"/>
  <c r="AB517" i="1"/>
  <c r="AB209" i="1"/>
  <c r="AB273" i="1"/>
  <c r="AB428" i="1"/>
  <c r="AB459" i="1"/>
  <c r="AB448" i="1"/>
  <c r="AB187" i="1"/>
  <c r="AB266" i="1"/>
  <c r="AB285" i="1"/>
  <c r="AB258" i="1"/>
  <c r="AB183" i="1"/>
  <c r="AB369" i="1"/>
  <c r="AB489" i="1"/>
  <c r="AB154" i="1"/>
  <c r="AB301" i="1"/>
  <c r="AB404" i="1"/>
  <c r="AB423" i="1"/>
  <c r="AB569" i="1"/>
  <c r="AB329" i="1"/>
  <c r="AB551" i="1"/>
  <c r="AB451" i="1"/>
  <c r="AB542" i="1"/>
  <c r="AB439" i="1"/>
  <c r="AB153" i="1"/>
  <c r="AB590" i="1"/>
  <c r="AB685" i="1"/>
  <c r="AB415" i="1"/>
  <c r="AB561" i="1"/>
  <c r="AB427" i="1"/>
  <c r="AB442" i="1"/>
  <c r="AB654" i="1"/>
  <c r="AB433" i="1"/>
  <c r="AB605" i="1"/>
  <c r="AB392" i="1"/>
  <c r="AB202" i="1"/>
  <c r="AB317" i="1"/>
  <c r="AB784" i="1"/>
  <c r="AB997" i="1"/>
  <c r="AB378" i="1"/>
  <c r="AB739" i="1"/>
  <c r="AB113" i="1"/>
  <c r="AB426" i="1"/>
  <c r="AB649" i="1"/>
  <c r="AB255" i="1"/>
  <c r="AB619" i="1"/>
  <c r="AB461" i="1"/>
  <c r="AB237" i="1"/>
  <c r="AB141" i="1"/>
  <c r="AB306" i="1"/>
  <c r="AB131" i="1"/>
  <c r="AB76" i="1"/>
  <c r="AB118" i="1"/>
  <c r="AB445" i="1"/>
  <c r="AB293" i="1"/>
  <c r="AB224" i="1"/>
  <c r="AB288" i="1"/>
  <c r="AB166" i="1"/>
  <c r="AB163" i="1"/>
  <c r="AB268" i="1"/>
  <c r="AB208" i="1"/>
  <c r="AB374" i="1"/>
  <c r="AD678" i="1" l="1"/>
  <c r="AD608" i="1"/>
  <c r="AD310" i="1"/>
  <c r="AD504" i="1"/>
  <c r="AD193" i="1"/>
  <c r="AD431" i="1"/>
  <c r="AD446" i="1"/>
  <c r="AD345" i="1"/>
  <c r="AD621" i="1"/>
  <c r="AD574" i="1"/>
  <c r="AD450" i="1"/>
  <c r="AD418" i="1"/>
  <c r="AD534" i="1"/>
  <c r="AD284" i="1"/>
  <c r="AD484" i="1"/>
  <c r="AD136" i="1"/>
  <c r="AD132" i="1"/>
  <c r="AD616" i="1"/>
  <c r="AD236" i="1"/>
  <c r="AD303" i="1"/>
  <c r="AD142" i="1"/>
  <c r="AD265" i="1"/>
  <c r="AD429" i="1"/>
  <c r="AD544" i="1"/>
  <c r="AD874" i="1"/>
  <c r="AD497" i="1"/>
  <c r="AD381" i="1"/>
  <c r="AD438" i="1"/>
  <c r="AD400" i="1"/>
  <c r="AD305" i="1"/>
  <c r="AD335" i="1"/>
  <c r="AD287" i="1"/>
  <c r="AD425" i="1"/>
  <c r="AD672" i="1"/>
  <c r="AD491" i="1"/>
  <c r="AD414" i="1"/>
  <c r="AD366" i="1"/>
  <c r="AD281" i="1"/>
  <c r="AD505" i="1"/>
  <c r="AD644" i="1"/>
  <c r="AD571" i="1"/>
  <c r="AD905" i="1"/>
  <c r="AD690" i="1"/>
  <c r="AD783" i="1"/>
  <c r="AD513" i="1"/>
  <c r="AD565" i="1"/>
  <c r="AD864" i="1"/>
  <c r="AD261" i="1"/>
  <c r="AD628" i="1"/>
  <c r="AD710" i="1"/>
  <c r="AD356" i="1"/>
  <c r="AD300" i="1"/>
  <c r="AD160" i="1"/>
  <c r="AD179" i="1"/>
  <c r="AD575" i="1"/>
  <c r="AD681" i="1"/>
  <c r="AD611" i="1"/>
  <c r="AD663" i="1"/>
  <c r="AD396" i="1"/>
  <c r="AD206" i="1"/>
  <c r="AD177" i="1"/>
  <c r="AD516" i="1"/>
  <c r="AD190" i="1"/>
  <c r="AD120" i="1"/>
  <c r="AD145" i="1"/>
  <c r="AD432" i="1"/>
  <c r="AD182" i="1"/>
  <c r="AD112" i="1"/>
  <c r="AD198" i="1"/>
  <c r="AD249" i="1"/>
  <c r="AD137" i="1"/>
  <c r="AD252" i="1"/>
  <c r="AD140" i="1"/>
  <c r="AD117" i="1"/>
  <c r="AD106" i="1"/>
  <c r="AD157" i="1"/>
  <c r="AD391" i="1"/>
  <c r="AD111" i="1"/>
  <c r="AD146" i="1"/>
  <c r="AD130" i="1"/>
  <c r="AD670" i="1"/>
  <c r="AD309" i="1"/>
  <c r="AD10" i="1"/>
  <c r="AD26" i="1"/>
  <c r="AD9" i="1"/>
  <c r="AD49" i="1"/>
  <c r="AD27" i="1"/>
  <c r="AD116" i="1"/>
  <c r="AB625" i="1"/>
  <c r="AB664" i="1"/>
  <c r="AB1198" i="1"/>
  <c r="AB703" i="1"/>
  <c r="AB1193" i="1"/>
  <c r="AB800" i="1"/>
  <c r="AB680" i="1"/>
  <c r="AB696" i="1"/>
  <c r="AB848" i="1"/>
  <c r="AB1094" i="1"/>
  <c r="AB1333" i="1"/>
  <c r="AB729" i="1"/>
  <c r="AB882" i="1"/>
  <c r="AB695" i="1"/>
  <c r="AB508" i="1"/>
  <c r="AB1348" i="1"/>
  <c r="AB1371" i="1"/>
  <c r="AB715" i="1"/>
  <c r="AB570" i="1"/>
  <c r="AB796" i="1"/>
  <c r="AB928" i="1"/>
  <c r="AB694" i="1"/>
  <c r="AB1418" i="1"/>
  <c r="AB827" i="1"/>
  <c r="AB948" i="1"/>
  <c r="AB1336" i="1"/>
  <c r="AB1192" i="1"/>
  <c r="AB689" i="1"/>
  <c r="AB675" i="1"/>
  <c r="AB1409" i="1"/>
  <c r="AB595" i="1"/>
  <c r="AB637" i="1"/>
  <c r="AB778" i="1"/>
  <c r="AB1002" i="1"/>
  <c r="AB733" i="1"/>
  <c r="AB1087" i="1"/>
  <c r="AB624" i="1"/>
  <c r="AB818" i="1"/>
  <c r="AB1375" i="1"/>
  <c r="AB725" i="1"/>
  <c r="AB623" i="1"/>
  <c r="AB470" i="1"/>
  <c r="AB626" i="1"/>
  <c r="AB485" i="1"/>
  <c r="AB804" i="1"/>
  <c r="AB1013" i="1"/>
  <c r="AB1001" i="1"/>
  <c r="AB576" i="1"/>
  <c r="AB837" i="1"/>
  <c r="AB736" i="1"/>
  <c r="AB959" i="1"/>
  <c r="AB875" i="1"/>
  <c r="AB789" i="1"/>
  <c r="AB910" i="1"/>
  <c r="AB1018" i="1"/>
  <c r="AB902" i="1"/>
  <c r="AB880" i="1"/>
  <c r="AB914" i="1"/>
  <c r="AB847" i="1"/>
  <c r="AB805" i="1"/>
  <c r="AB954" i="1"/>
  <c r="AB761" i="1"/>
  <c r="AB981" i="1"/>
  <c r="AB906" i="1"/>
  <c r="AB116" i="1"/>
  <c r="AB137" i="1"/>
  <c r="AB252" i="1"/>
  <c r="AB140" i="1"/>
  <c r="AB117" i="1"/>
  <c r="AB106" i="1"/>
  <c r="AB157" i="1"/>
  <c r="AB391" i="1"/>
  <c r="AB111" i="1"/>
  <c r="AB146" i="1"/>
  <c r="AB130" i="1"/>
  <c r="AB670" i="1"/>
  <c r="AB309" i="1"/>
  <c r="AB10" i="1"/>
  <c r="AB26" i="1"/>
  <c r="AB9" i="1"/>
  <c r="AB49" i="1"/>
  <c r="AB27" i="1"/>
  <c r="AB13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" authorId="0" shapeId="0" xr:uid="{05AF0BA0-783A-064A-9D4B-6C56F2A8E3A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Year</t>
        </r>
      </text>
    </comment>
    <comment ref="C1" authorId="0" shapeId="0" xr:uid="{331DE793-DE78-7E43-BD43-D0A26A797FF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Species</t>
        </r>
      </text>
    </comment>
    <comment ref="D1" authorId="0" shapeId="0" xr:uid="{6876108C-A87D-A841-BA72-558A04BBEFD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Company</t>
        </r>
      </text>
    </comment>
    <comment ref="E1" authorId="0" shapeId="0" xr:uid="{F4EB681A-7EF2-3A48-8021-D705BFF2FBB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Hybrid</t>
        </r>
      </text>
    </comment>
    <comment ref="F1" authorId="0" shapeId="0" xr:uid="{2C4E2E7B-B23F-9341-BF7B-842744F3424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Season</t>
        </r>
      </text>
    </comment>
    <comment ref="G1" authorId="0" shapeId="0" xr:uid="{DC9C809C-0195-3B4A-90B8-5311E25E2FF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Relative Maturity</t>
        </r>
      </text>
    </comment>
    <comment ref="H1" authorId="0" shapeId="0" xr:uid="{F14CF6FF-C36F-ED4B-B793-A4CF3157548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Top Yield</t>
        </r>
      </text>
    </comment>
    <comment ref="J1" authorId="0" shapeId="0" xr:uid="{D9DCBDA8-26AB-F846-B2F9-00FE7C28BED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Yield 35% DM T/A</t>
        </r>
      </text>
    </comment>
    <comment ref="K1" authorId="0" shapeId="0" xr:uid="{AE4060B0-9E78-AB43-B7D2-767BFF2287C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Top Milk lb/Ton of silage</t>
        </r>
      </text>
    </comment>
    <comment ref="L1" authorId="0" shapeId="0" xr:uid="{601BC1E8-9C95-C949-893F-290DFDA5F24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Milk lb/Ton of silage</t>
        </r>
      </text>
    </comment>
    <comment ref="M1" authorId="0" shapeId="0" xr:uid="{9BD0C957-25CE-9C42-974A-BD401D0D053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Top Milk lb/acre</t>
        </r>
      </text>
    </comment>
    <comment ref="N1" authorId="0" shapeId="0" xr:uid="{8AB05708-BEAC-EF42-BBA1-6F32E374A31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Milk lb/acre</t>
        </r>
      </text>
    </comment>
    <comment ref="O1" authorId="0" shapeId="0" xr:uid="{2407358C-60C1-1F45-B13C-E61EB30FFCD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Dry matter %</t>
        </r>
      </text>
    </comment>
    <comment ref="P1" authorId="0" shapeId="0" xr:uid="{72660E15-8599-454C-ABEC-7F24F735EF8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Crude protein %</t>
        </r>
      </text>
    </comment>
    <comment ref="Q1" authorId="0" shapeId="0" xr:uid="{50B2411C-CB83-A643-BF92-1F120755807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NDF %</t>
        </r>
      </text>
    </comment>
    <comment ref="R1" authorId="0" shapeId="0" xr:uid="{B03190D7-ECBB-EA44-A631-7267BE5266C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NDFD %</t>
        </r>
      </text>
    </comment>
    <comment ref="T1" authorId="0" shapeId="0" xr:uid="{407F6799-7F6E-B344-9C9C-41E712C7733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ADF %</t>
        </r>
      </text>
    </comment>
    <comment ref="U1" authorId="0" shapeId="0" xr:uid="{E9F1307F-EB14-C94F-9189-AB2B0EC30F8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Starch %</t>
        </r>
      </text>
    </comment>
    <comment ref="V1" authorId="0" shapeId="0" xr:uid="{12F1A33E-E12D-464E-A8D7-E3F35EF37C7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Sugar %</t>
        </r>
      </text>
    </comment>
    <comment ref="W1" authorId="0" shapeId="0" xr:uid="{D2468302-531F-114C-8157-3508B3768FB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NEL Mcal/lb</t>
        </r>
      </text>
    </comment>
    <comment ref="Y1" authorId="0" shapeId="0" xr:uid="{96995D9C-0043-3E4B-BC7D-58A9CA590DF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TDN %</t>
        </r>
      </text>
    </comment>
    <comment ref="Z1" authorId="0" shapeId="0" xr:uid="{E77F5BFF-820D-F545-A0D3-5D08547A428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Yield digestible NDF, T/A</t>
        </r>
      </text>
    </comment>
    <comment ref="AB1" authorId="0" shapeId="0" xr:uid="{71CCE6C3-122D-234A-A4D0-D047C7AD550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Disease %</t>
        </r>
      </text>
    </comment>
  </commentList>
</comments>
</file>

<file path=xl/sharedStrings.xml><?xml version="1.0" encoding="utf-8"?>
<sst xmlns="http://schemas.openxmlformats.org/spreadsheetml/2006/main" count="10230" uniqueCount="1074">
  <si>
    <t>id</t>
  </si>
  <si>
    <t>year</t>
  </si>
  <si>
    <t>species</t>
  </si>
  <si>
    <t>company</t>
  </si>
  <si>
    <t>hybrid</t>
  </si>
  <si>
    <t>season</t>
  </si>
  <si>
    <t>relativematurity</t>
  </si>
  <si>
    <t>topyield</t>
  </si>
  <si>
    <t>yield</t>
  </si>
  <si>
    <t>at35dm</t>
  </si>
  <si>
    <t>topmilksilage</t>
  </si>
  <si>
    <t>milksilage</t>
  </si>
  <si>
    <t>topmilkacre</t>
  </si>
  <si>
    <t>milkacre</t>
  </si>
  <si>
    <t>drymatter</t>
  </si>
  <si>
    <t>crudeprotein</t>
  </si>
  <si>
    <t>ndf</t>
  </si>
  <si>
    <t>ndfd</t>
  </si>
  <si>
    <t>at240undf</t>
  </si>
  <si>
    <t>adf</t>
  </si>
  <si>
    <t>starch</t>
  </si>
  <si>
    <t>sugar</t>
  </si>
  <si>
    <t>nel</t>
  </si>
  <si>
    <t>ivdmd</t>
  </si>
  <si>
    <t>tdn</t>
  </si>
  <si>
    <t>yielddigestiblendf</t>
  </si>
  <si>
    <t>diseasedonotuse</t>
  </si>
  <si>
    <t>disease</t>
  </si>
  <si>
    <t>donotuselodging</t>
  </si>
  <si>
    <t>lodging</t>
  </si>
  <si>
    <t>active</t>
  </si>
  <si>
    <t>Corn</t>
  </si>
  <si>
    <t>Spring</t>
  </si>
  <si>
    <t>Greenwood</t>
  </si>
  <si>
    <t>*</t>
  </si>
  <si>
    <t>Genetic Enterprise</t>
  </si>
  <si>
    <t>1021RR</t>
  </si>
  <si>
    <t>Pioneer</t>
  </si>
  <si>
    <t>31D58</t>
  </si>
  <si>
    <t>31P41</t>
  </si>
  <si>
    <t>31P42</t>
  </si>
  <si>
    <t>33V16</t>
  </si>
  <si>
    <t>58K02</t>
  </si>
  <si>
    <t>58P45</t>
  </si>
  <si>
    <t>58P59</t>
  </si>
  <si>
    <t>58P60</t>
  </si>
  <si>
    <t>61-69</t>
  </si>
  <si>
    <t>63-42</t>
  </si>
  <si>
    <t>66-23</t>
  </si>
  <si>
    <t>67-23</t>
  </si>
  <si>
    <t>67-87</t>
  </si>
  <si>
    <t>69-40</t>
  </si>
  <si>
    <t>695RR</t>
  </si>
  <si>
    <t>69-71</t>
  </si>
  <si>
    <t>Southern States</t>
  </si>
  <si>
    <t>746VT3</t>
  </si>
  <si>
    <t>Hytest</t>
  </si>
  <si>
    <t>7891VT3</t>
  </si>
  <si>
    <t>791CL</t>
  </si>
  <si>
    <t>8212VT3</t>
  </si>
  <si>
    <t>842RRYGCB</t>
  </si>
  <si>
    <t>8696CBBTLL</t>
  </si>
  <si>
    <t>87-20HX</t>
  </si>
  <si>
    <t>8794HXLL</t>
  </si>
  <si>
    <t>90-19RR</t>
  </si>
  <si>
    <t>998HXLL</t>
  </si>
  <si>
    <t>999ARR</t>
  </si>
  <si>
    <t>University of Florida</t>
  </si>
  <si>
    <t>Cimmyt</t>
  </si>
  <si>
    <t>CX07319</t>
  </si>
  <si>
    <t>CX07916</t>
  </si>
  <si>
    <t>Mycogen</t>
  </si>
  <si>
    <t>F2F739</t>
  </si>
  <si>
    <t>F2F797</t>
  </si>
  <si>
    <t>Tall</t>
  </si>
  <si>
    <t>TMF2H917</t>
  </si>
  <si>
    <t>TMF2L844</t>
  </si>
  <si>
    <t>Upleaf</t>
  </si>
  <si>
    <t>Vigoro</t>
  </si>
  <si>
    <t>V5273VT3</t>
  </si>
  <si>
    <t>V5373VT3</t>
  </si>
  <si>
    <t>V56YR82</t>
  </si>
  <si>
    <t>V62YR62</t>
  </si>
  <si>
    <t>Summer</t>
  </si>
  <si>
    <t>33M52</t>
  </si>
  <si>
    <t>7108RR</t>
  </si>
  <si>
    <t>879HXLL</t>
  </si>
  <si>
    <t>999ARRBT</t>
  </si>
  <si>
    <t>Forage Sorghum</t>
  </si>
  <si>
    <t/>
  </si>
  <si>
    <t>Moss Seed</t>
  </si>
  <si>
    <t>4 EverGreen BMR</t>
  </si>
  <si>
    <t>81F</t>
  </si>
  <si>
    <t>86S</t>
  </si>
  <si>
    <t>F-17</t>
  </si>
  <si>
    <t>Millennium</t>
  </si>
  <si>
    <t>Sorghum Sudan</t>
  </si>
  <si>
    <t>38Special BMR</t>
  </si>
  <si>
    <t>8090PS</t>
  </si>
  <si>
    <t>8606 BMR</t>
  </si>
  <si>
    <t>Mega Green</t>
  </si>
  <si>
    <t>Su 2 LM</t>
  </si>
  <si>
    <t>31D59</t>
  </si>
  <si>
    <t>31Y42</t>
  </si>
  <si>
    <t>3515RR</t>
  </si>
  <si>
    <t>58V24</t>
  </si>
  <si>
    <t>58V50</t>
  </si>
  <si>
    <t>58V69</t>
  </si>
  <si>
    <t>Syngenta</t>
  </si>
  <si>
    <t>77PGT/CB/LL</t>
  </si>
  <si>
    <t>7815RR</t>
  </si>
  <si>
    <t>8221VT3</t>
  </si>
  <si>
    <t>825RR</t>
  </si>
  <si>
    <t>82V3000GT</t>
  </si>
  <si>
    <t>842RR2/YGCB</t>
  </si>
  <si>
    <t>8505VT3</t>
  </si>
  <si>
    <t>851VT3</t>
  </si>
  <si>
    <t>8756VT3</t>
  </si>
  <si>
    <t>999AHX</t>
  </si>
  <si>
    <t>CX09918</t>
  </si>
  <si>
    <t>DKC 61-04VT3</t>
  </si>
  <si>
    <t>DKC 61-69VT3</t>
  </si>
  <si>
    <t>DKC 67-23RR2/YGCB</t>
  </si>
  <si>
    <t>DKC 67-87RR2/YGCB</t>
  </si>
  <si>
    <t>DKC 68-06RR2/YGCB</t>
  </si>
  <si>
    <t>Masters Choice</t>
  </si>
  <si>
    <t>MC 573</t>
  </si>
  <si>
    <t>MC 590</t>
  </si>
  <si>
    <t>N78D</t>
  </si>
  <si>
    <t>P1615HR</t>
  </si>
  <si>
    <t>P2023HR</t>
  </si>
  <si>
    <t>TMF2H918RRHXLL</t>
  </si>
  <si>
    <t>TMF2L844RR</t>
  </si>
  <si>
    <t>UFS2</t>
  </si>
  <si>
    <t>UFS7</t>
  </si>
  <si>
    <t>V6083VT3</t>
  </si>
  <si>
    <t>X9910</t>
  </si>
  <si>
    <t>61-04</t>
  </si>
  <si>
    <t>67-88</t>
  </si>
  <si>
    <t>68-06</t>
  </si>
  <si>
    <t>825VT3</t>
  </si>
  <si>
    <t>9521RR</t>
  </si>
  <si>
    <t>999HX</t>
  </si>
  <si>
    <t>999VT3</t>
  </si>
  <si>
    <t>91F</t>
  </si>
  <si>
    <t>982F</t>
  </si>
  <si>
    <t>McHerrin</t>
  </si>
  <si>
    <t>8090P</t>
  </si>
  <si>
    <t>9417G</t>
  </si>
  <si>
    <t>9917GBMR</t>
  </si>
  <si>
    <t>GEI</t>
  </si>
  <si>
    <t>01705GT</t>
  </si>
  <si>
    <t>1131RR</t>
  </si>
  <si>
    <t>33F87</t>
  </si>
  <si>
    <t>56VP24</t>
  </si>
  <si>
    <t>56VP79</t>
  </si>
  <si>
    <t>57N73</t>
  </si>
  <si>
    <t>58VP69</t>
  </si>
  <si>
    <t>58VP99</t>
  </si>
  <si>
    <t>738HXLL</t>
  </si>
  <si>
    <t>794VT3PRO</t>
  </si>
  <si>
    <t>82221VT3</t>
  </si>
  <si>
    <t>8505VT3PRO</t>
  </si>
  <si>
    <t>9009RH</t>
  </si>
  <si>
    <t>99/ORR</t>
  </si>
  <si>
    <t>998HXLLRR2</t>
  </si>
  <si>
    <t>999HXLL</t>
  </si>
  <si>
    <t>DKC 62-54</t>
  </si>
  <si>
    <t>DKC 67-21</t>
  </si>
  <si>
    <t>DKC 67-88</t>
  </si>
  <si>
    <t>DKC 69-71</t>
  </si>
  <si>
    <t>MC 630</t>
  </si>
  <si>
    <t>MC EXP-633E</t>
  </si>
  <si>
    <t>MC EXP-672D</t>
  </si>
  <si>
    <t>MC EXP-673</t>
  </si>
  <si>
    <t>MC EXP-675D</t>
  </si>
  <si>
    <t>MC EXP-745F</t>
  </si>
  <si>
    <t>MC EXP-747F</t>
  </si>
  <si>
    <t>MC EXP-812G</t>
  </si>
  <si>
    <t>N77P300GT</t>
  </si>
  <si>
    <t>N91-J1</t>
  </si>
  <si>
    <t>TMF2H918</t>
  </si>
  <si>
    <t>TMF2L831</t>
  </si>
  <si>
    <t>069CBLLRW</t>
  </si>
  <si>
    <t>31M52</t>
  </si>
  <si>
    <t>4 EverGreen BMR PS</t>
  </si>
  <si>
    <t>4 EverGreen PS</t>
  </si>
  <si>
    <t>Gayland Ward</t>
  </si>
  <si>
    <t>Ensile Master</t>
  </si>
  <si>
    <t>Millennium BMR</t>
  </si>
  <si>
    <t>Grain Sorghum</t>
  </si>
  <si>
    <t>M-1024-DWP</t>
  </si>
  <si>
    <t>300 BMR</t>
  </si>
  <si>
    <t>F18 BMR</t>
  </si>
  <si>
    <t>Sweet-for-Ever</t>
  </si>
  <si>
    <t>1022RR</t>
  </si>
  <si>
    <t>40373GT</t>
  </si>
  <si>
    <t>78B3000GT</t>
  </si>
  <si>
    <t>78S3000GT</t>
  </si>
  <si>
    <t>818GENVT3 PRO</t>
  </si>
  <si>
    <t>818RR2</t>
  </si>
  <si>
    <t>825VT3PRO</t>
  </si>
  <si>
    <t>8505VT3/P</t>
  </si>
  <si>
    <t>851GENVT3 PRO</t>
  </si>
  <si>
    <t>993GT</t>
  </si>
  <si>
    <t>D56VP24</t>
  </si>
  <si>
    <t>D56VP69</t>
  </si>
  <si>
    <t>D57GT60</t>
  </si>
  <si>
    <t>D58VP30</t>
  </si>
  <si>
    <t>DKC 63-84 (VT3)</t>
  </si>
  <si>
    <t>DKC 67-21 (GENVT3PRO)</t>
  </si>
  <si>
    <t>DKC 67-88 (GENVT3PRO)</t>
  </si>
  <si>
    <t>EXP3280RR</t>
  </si>
  <si>
    <t>MC 629K</t>
  </si>
  <si>
    <t>MC 633E</t>
  </si>
  <si>
    <t>MC 644K</t>
  </si>
  <si>
    <t>MC 653K</t>
  </si>
  <si>
    <t>MC 6580</t>
  </si>
  <si>
    <t>MC 745 F</t>
  </si>
  <si>
    <t>MC T6751GT</t>
  </si>
  <si>
    <t>P1404HR</t>
  </si>
  <si>
    <t>P2088HR</t>
  </si>
  <si>
    <t>S-13</t>
  </si>
  <si>
    <t>S-24</t>
  </si>
  <si>
    <t>S-30</t>
  </si>
  <si>
    <t>TMF2L872</t>
  </si>
  <si>
    <t>TMF2W727</t>
  </si>
  <si>
    <t>X40383</t>
  </si>
  <si>
    <t>30F35HR</t>
  </si>
  <si>
    <t>4373GT</t>
  </si>
  <si>
    <t>N77P-3111</t>
  </si>
  <si>
    <t>N785-3111</t>
  </si>
  <si>
    <t>N82V-3000GT</t>
  </si>
  <si>
    <t>4 EverGreen PPS</t>
  </si>
  <si>
    <t>5 EverGreen BMR PPS</t>
  </si>
  <si>
    <t>80F BMR6</t>
  </si>
  <si>
    <t>8208F BMR</t>
  </si>
  <si>
    <t>Alta Seeds AF7201</t>
  </si>
  <si>
    <t>Alta Seeds AF7301</t>
  </si>
  <si>
    <t>Alta Seeds AF7401 b2dwarf</t>
  </si>
  <si>
    <t>AnZu Pampa</t>
  </si>
  <si>
    <t>Centurion BMR</t>
  </si>
  <si>
    <t>Desperado BMR</t>
  </si>
  <si>
    <t>GW 2120</t>
  </si>
  <si>
    <t>Triunfo XLT</t>
  </si>
  <si>
    <t>Verde BMR</t>
  </si>
  <si>
    <t>Sorghum Partners</t>
  </si>
  <si>
    <t>4 EverGreen</t>
  </si>
  <si>
    <t>710F</t>
  </si>
  <si>
    <t>725F</t>
  </si>
  <si>
    <t>HiKane II</t>
  </si>
  <si>
    <t>SS 405</t>
  </si>
  <si>
    <t>8201 BMR6</t>
  </si>
  <si>
    <t>AS 6402 bd2dwarf</t>
  </si>
  <si>
    <t>F18 BMR sweet</t>
  </si>
  <si>
    <t>GW 300 BMR</t>
  </si>
  <si>
    <t>Mega Green pps</t>
  </si>
  <si>
    <t>Su 2 LM BMR</t>
  </si>
  <si>
    <t>Super Sugar</t>
  </si>
  <si>
    <t>XS 6502 high brix</t>
  </si>
  <si>
    <t>F18</t>
  </si>
  <si>
    <t>Trudan 8</t>
  </si>
  <si>
    <t>Trudan Headless</t>
  </si>
  <si>
    <t>1023GT</t>
  </si>
  <si>
    <t>40374GT</t>
  </si>
  <si>
    <t>606L</t>
  </si>
  <si>
    <t>633L</t>
  </si>
  <si>
    <t>6583(3000GT)</t>
  </si>
  <si>
    <t>66-86</t>
  </si>
  <si>
    <t>66-87</t>
  </si>
  <si>
    <t>67-32GenVT3</t>
  </si>
  <si>
    <t>674L</t>
  </si>
  <si>
    <t>6753(300GT)</t>
  </si>
  <si>
    <t>693L</t>
  </si>
  <si>
    <t>77P-3111</t>
  </si>
  <si>
    <t>78S-3111</t>
  </si>
  <si>
    <t>810HXRR</t>
  </si>
  <si>
    <t>828BL</t>
  </si>
  <si>
    <t>82V-3000</t>
  </si>
  <si>
    <t>8410VT3/P</t>
  </si>
  <si>
    <t>84G63000</t>
  </si>
  <si>
    <t>851VT3P</t>
  </si>
  <si>
    <t>8621VT3P</t>
  </si>
  <si>
    <t>873 GT</t>
  </si>
  <si>
    <t>BH8910RR</t>
  </si>
  <si>
    <t>BH8977RR</t>
  </si>
  <si>
    <t>D57VP51</t>
  </si>
  <si>
    <t>D57VP75</t>
  </si>
  <si>
    <t>EXP78875</t>
  </si>
  <si>
    <t>P1498HR</t>
  </si>
  <si>
    <t>P2088YHR</t>
  </si>
  <si>
    <t>TA Seeds</t>
  </si>
  <si>
    <t>TA 615-16ND</t>
  </si>
  <si>
    <t>TA 780-13V</t>
  </si>
  <si>
    <t>TA 783-22DP</t>
  </si>
  <si>
    <t>TA 790-20</t>
  </si>
  <si>
    <t>X11139RR</t>
  </si>
  <si>
    <t>1022HXLL</t>
  </si>
  <si>
    <t>2705 VT3PRO</t>
  </si>
  <si>
    <t>2818 VT3PRO</t>
  </si>
  <si>
    <t>2867 VT2PRO</t>
  </si>
  <si>
    <t>2918 VT3PRO</t>
  </si>
  <si>
    <t>2953 RCSS(RIB)</t>
  </si>
  <si>
    <t>3321 VT3PRO</t>
  </si>
  <si>
    <t>3358 VT3PRO</t>
  </si>
  <si>
    <t>3469 RR2</t>
  </si>
  <si>
    <t>3667 VT3PRO</t>
  </si>
  <si>
    <t>3675 VT3PRO</t>
  </si>
  <si>
    <t>3767 VT3PRO</t>
  </si>
  <si>
    <t>3768 VT3PRO</t>
  </si>
  <si>
    <t>617RCSS(RIB)</t>
  </si>
  <si>
    <t>77P-3111 AC</t>
  </si>
  <si>
    <t>78S-3111 AC</t>
  </si>
  <si>
    <t>82V-3000GT</t>
  </si>
  <si>
    <t>84G6300GT</t>
  </si>
  <si>
    <t>BH 4920HX</t>
  </si>
  <si>
    <t>DKC 63-87 VT2P</t>
  </si>
  <si>
    <t>DKC 66-86 VT3P</t>
  </si>
  <si>
    <t>EXP-606L</t>
  </si>
  <si>
    <t>EXP-633E</t>
  </si>
  <si>
    <t>EXP-647L</t>
  </si>
  <si>
    <t>EXP-674L</t>
  </si>
  <si>
    <t>EXP-692L</t>
  </si>
  <si>
    <t>EXP-693L</t>
  </si>
  <si>
    <t>MCT 6583</t>
  </si>
  <si>
    <t>MCT 6751</t>
  </si>
  <si>
    <t>TA 765-00</t>
  </si>
  <si>
    <t>UF S24</t>
  </si>
  <si>
    <t>X403280</t>
  </si>
  <si>
    <t>XP 8910RR</t>
  </si>
  <si>
    <t>XP 8977RR/HX</t>
  </si>
  <si>
    <t>80F</t>
  </si>
  <si>
    <t>Chromatin</t>
  </si>
  <si>
    <t>FS 4</t>
  </si>
  <si>
    <t>FS 9</t>
  </si>
  <si>
    <t>86 S</t>
  </si>
  <si>
    <t>Alta Seeds AF7101</t>
  </si>
  <si>
    <t>Alta Seeds AF7401</t>
  </si>
  <si>
    <t>Alta Seeds AF8301</t>
  </si>
  <si>
    <t>Alta Seeds XF7501</t>
  </si>
  <si>
    <t>8201 BMR</t>
  </si>
  <si>
    <t>Ragan Massey</t>
  </si>
  <si>
    <t>RAM SS BMR</t>
  </si>
  <si>
    <t>SS1</t>
  </si>
  <si>
    <t>SS2</t>
  </si>
  <si>
    <t>Alta Seeds AF5201</t>
  </si>
  <si>
    <t>Alta Seeds AF6401</t>
  </si>
  <si>
    <t>Alta Seeds AF6402</t>
  </si>
  <si>
    <t>Alta Seeds AF9301</t>
  </si>
  <si>
    <t>18691D</t>
  </si>
  <si>
    <t>18699D</t>
  </si>
  <si>
    <t>18700D</t>
  </si>
  <si>
    <t>Armor</t>
  </si>
  <si>
    <t>1880PRO2</t>
  </si>
  <si>
    <t>3560RR</t>
  </si>
  <si>
    <t>600M</t>
  </si>
  <si>
    <t>680L</t>
  </si>
  <si>
    <t>692L</t>
  </si>
  <si>
    <t>8221VT3P</t>
  </si>
  <si>
    <t>8410VT2P</t>
  </si>
  <si>
    <t>842VT3PRO</t>
  </si>
  <si>
    <t>84G3000GT</t>
  </si>
  <si>
    <t>8621VT2P</t>
  </si>
  <si>
    <t>903GT</t>
  </si>
  <si>
    <t>D55GT73</t>
  </si>
  <si>
    <t>D59HR50</t>
  </si>
  <si>
    <t>DKC 63-87</t>
  </si>
  <si>
    <t>DKC 64-69</t>
  </si>
  <si>
    <t>N68B-3111</t>
  </si>
  <si>
    <t>N79T3111</t>
  </si>
  <si>
    <t>N82V3111</t>
  </si>
  <si>
    <t>P1319HR</t>
  </si>
  <si>
    <t>P1449XR-BMR</t>
  </si>
  <si>
    <t>P1498YHR</t>
  </si>
  <si>
    <t>P1636YHR</t>
  </si>
  <si>
    <t>P1690YHR</t>
  </si>
  <si>
    <t>SPX2979VT3P</t>
  </si>
  <si>
    <t>SPX3521VT3P</t>
  </si>
  <si>
    <t>SPX3675VT3P</t>
  </si>
  <si>
    <t>T6583</t>
  </si>
  <si>
    <t>T6753</t>
  </si>
  <si>
    <t>T6894</t>
  </si>
  <si>
    <t>TA 780-22DP</t>
  </si>
  <si>
    <t>TA 784-13VP</t>
  </si>
  <si>
    <t>TA 794-32</t>
  </si>
  <si>
    <t>TMF2L825</t>
  </si>
  <si>
    <t>Alta Seeds AF7102</t>
  </si>
  <si>
    <t>Alta Seeds AF7202</t>
  </si>
  <si>
    <t>Alta Seeds XF98456</t>
  </si>
  <si>
    <t>EX858FBMR</t>
  </si>
  <si>
    <t>BMR106</t>
  </si>
  <si>
    <t>Terral</t>
  </si>
  <si>
    <t>REV9562</t>
  </si>
  <si>
    <t>REV9782</t>
  </si>
  <si>
    <t>Alta Seeds AS5201</t>
  </si>
  <si>
    <t>Alta Seeds AS6401</t>
  </si>
  <si>
    <t>Alta Seeds AS6502</t>
  </si>
  <si>
    <t>Alta Seeds AS9301</t>
  </si>
  <si>
    <t>Alta Seeds XS6403</t>
  </si>
  <si>
    <t>Origin Seeds</t>
  </si>
  <si>
    <t>004Y2827</t>
  </si>
  <si>
    <t>004Y2888</t>
  </si>
  <si>
    <t>Augusta Seed</t>
  </si>
  <si>
    <t>008 VT3 Pro</t>
  </si>
  <si>
    <t>1023VIP</t>
  </si>
  <si>
    <t>1777VIP</t>
  </si>
  <si>
    <t>6866 GT3111</t>
  </si>
  <si>
    <t>76G VIP</t>
  </si>
  <si>
    <t>7927VT3P</t>
  </si>
  <si>
    <t>802-22DP</t>
  </si>
  <si>
    <t>84GVIP</t>
  </si>
  <si>
    <t>868VT3P</t>
  </si>
  <si>
    <t>8868 VT3 Pro X</t>
  </si>
  <si>
    <t>903VIP</t>
  </si>
  <si>
    <t>999VIP</t>
  </si>
  <si>
    <t>CX13418</t>
  </si>
  <si>
    <t>D55QC73</t>
  </si>
  <si>
    <t>D57VP75 VT3P</t>
  </si>
  <si>
    <t>D59HR50 HX/RR2</t>
  </si>
  <si>
    <t>DKC 64-69VT3P</t>
  </si>
  <si>
    <t>DKC 66-87 VT2P</t>
  </si>
  <si>
    <t>DKC 66-97 VT2P</t>
  </si>
  <si>
    <t>DKC 68-92 VT2P</t>
  </si>
  <si>
    <t>F2F817</t>
  </si>
  <si>
    <t>MC 600M EXP</t>
  </si>
  <si>
    <t>MC 674L EXP</t>
  </si>
  <si>
    <t>MC 683M EXP</t>
  </si>
  <si>
    <t>MC 686N EXP</t>
  </si>
  <si>
    <t>MCT 630GT</t>
  </si>
  <si>
    <t>MCT 6753</t>
  </si>
  <si>
    <t>MCT 9864</t>
  </si>
  <si>
    <t>N78S-3111</t>
  </si>
  <si>
    <t>N79T-3111</t>
  </si>
  <si>
    <t>N83D-3000GT</t>
  </si>
  <si>
    <t>P1637VYH</t>
  </si>
  <si>
    <t>P1794VYH</t>
  </si>
  <si>
    <t>SPX4095RR</t>
  </si>
  <si>
    <t>TA 120-02</t>
  </si>
  <si>
    <t>TA 774-22DP</t>
  </si>
  <si>
    <t>TA 780-13DP</t>
  </si>
  <si>
    <t>TA 790-18</t>
  </si>
  <si>
    <t>TMF2H747</t>
  </si>
  <si>
    <t>TMF2H919</t>
  </si>
  <si>
    <t>TMF2L874</t>
  </si>
  <si>
    <t>004Y28885</t>
  </si>
  <si>
    <t>84G VIP</t>
  </si>
  <si>
    <t>DKC 66-87VT2P</t>
  </si>
  <si>
    <t>DKC 68-92VT2P</t>
  </si>
  <si>
    <t>P1637VYHR</t>
  </si>
  <si>
    <t>P1794VYHR</t>
  </si>
  <si>
    <t>TA 774-22DPRIB</t>
  </si>
  <si>
    <t>TA 780-13VPRIB</t>
  </si>
  <si>
    <t>TA 784-13VPRIB</t>
  </si>
  <si>
    <t>TA 805-22DPRIB</t>
  </si>
  <si>
    <t>TMF2H699</t>
  </si>
  <si>
    <t>TMF2H706</t>
  </si>
  <si>
    <t>XP 7403</t>
  </si>
  <si>
    <t>XP 8603</t>
  </si>
  <si>
    <t>400 BMR</t>
  </si>
  <si>
    <t>Ceres</t>
  </si>
  <si>
    <t>DS 7853</t>
  </si>
  <si>
    <t>EJ 7281</t>
  </si>
  <si>
    <t>GW 600 BMR</t>
  </si>
  <si>
    <t>Silo-Pro Brachytic Dwarf BMR</t>
  </si>
  <si>
    <t>Alta Seeds AS9302</t>
  </si>
  <si>
    <t>Super Sugar Delayed Maturity</t>
  </si>
  <si>
    <t>Super Sweet Sterile</t>
  </si>
  <si>
    <t>Sweet Six BMR</t>
  </si>
  <si>
    <t>Sweet-for-Ever-BMR</t>
  </si>
  <si>
    <t>5465GTCBLL</t>
  </si>
  <si>
    <t>5566GTCBLL</t>
  </si>
  <si>
    <t>5664-3000GT</t>
  </si>
  <si>
    <t>6866-3110GT</t>
  </si>
  <si>
    <t>6867-3110GT</t>
  </si>
  <si>
    <t>6968RR</t>
  </si>
  <si>
    <t>6969HXRR</t>
  </si>
  <si>
    <t>7068VT2Pro</t>
  </si>
  <si>
    <t>7087VT2P</t>
  </si>
  <si>
    <t>7767 VT3 Pro</t>
  </si>
  <si>
    <t>7768-3110GT</t>
  </si>
  <si>
    <t>8750RH</t>
  </si>
  <si>
    <t>CX15116</t>
  </si>
  <si>
    <t>D58QC72</t>
  </si>
  <si>
    <t>DKC 67-14</t>
  </si>
  <si>
    <t>DKC 67-72GenVT2P</t>
  </si>
  <si>
    <t>DKC 70-01RR2</t>
  </si>
  <si>
    <t>DKC X66-59</t>
  </si>
  <si>
    <t>MCT 600</t>
  </si>
  <si>
    <t>MCT 631P</t>
  </si>
  <si>
    <t>MCT 633E</t>
  </si>
  <si>
    <t>MCT 651P</t>
  </si>
  <si>
    <t>MCT 6733</t>
  </si>
  <si>
    <t>N79Z-3111</t>
  </si>
  <si>
    <t>P1916HR</t>
  </si>
  <si>
    <t>REV23BHR55</t>
  </si>
  <si>
    <t>REV25BHR26</t>
  </si>
  <si>
    <t>REV28HR20</t>
  </si>
  <si>
    <t>T1278152</t>
  </si>
  <si>
    <t>T14785VH</t>
  </si>
  <si>
    <t>TA 805-220PRIB</t>
  </si>
  <si>
    <t>6867-3110</t>
  </si>
  <si>
    <t>7767 VT2 Pro</t>
  </si>
  <si>
    <t>8868 VT3 Pro</t>
  </si>
  <si>
    <t>908VIP</t>
  </si>
  <si>
    <t>DKC 66-59</t>
  </si>
  <si>
    <t>P1916YHR</t>
  </si>
  <si>
    <t>Millenium Genetics</t>
  </si>
  <si>
    <t>Victoria II</t>
  </si>
  <si>
    <t>600BMR</t>
  </si>
  <si>
    <t>BMR 3561</t>
  </si>
  <si>
    <t>BMR 3631</t>
  </si>
  <si>
    <t>EJ 7282</t>
  </si>
  <si>
    <t>SiloPro BMR</t>
  </si>
  <si>
    <t>NK300</t>
  </si>
  <si>
    <t>SP1615</t>
  </si>
  <si>
    <t>SPX37314</t>
  </si>
  <si>
    <t>CB 7290</t>
  </si>
  <si>
    <t>F2P 134</t>
  </si>
  <si>
    <t>Greentreat 1731</t>
  </si>
  <si>
    <t>Greentreat Rocket</t>
  </si>
  <si>
    <t>Nutra King BMR</t>
  </si>
  <si>
    <t>Sweet Forever BMR</t>
  </si>
  <si>
    <t>5465GT3000</t>
  </si>
  <si>
    <t>5679VT2P</t>
  </si>
  <si>
    <t>7667 GT3110</t>
  </si>
  <si>
    <t>7768 GT3110</t>
  </si>
  <si>
    <t>7769 GT</t>
  </si>
  <si>
    <t>A6559VT2RIB</t>
  </si>
  <si>
    <t>A6573VT2RIB</t>
  </si>
  <si>
    <t>A6659VT2RIB</t>
  </si>
  <si>
    <t>A6687VT2PRO</t>
  </si>
  <si>
    <t>A6719VT2PRO</t>
  </si>
  <si>
    <t>A7668-3110GT</t>
  </si>
  <si>
    <t>A780-13VPRI</t>
  </si>
  <si>
    <t>A784-13VPRI</t>
  </si>
  <si>
    <t>A805-22DPRI</t>
  </si>
  <si>
    <t>A9074-3110GT</t>
  </si>
  <si>
    <t>BMR 15B15</t>
  </si>
  <si>
    <t>CP5900V2TP</t>
  </si>
  <si>
    <t>CX16218</t>
  </si>
  <si>
    <t>D54DC94</t>
  </si>
  <si>
    <t>D57VR51</t>
  </si>
  <si>
    <t>DG5290VT2P</t>
  </si>
  <si>
    <t>DKC 68-26RIB</t>
  </si>
  <si>
    <t>DKC 70-01</t>
  </si>
  <si>
    <t>MC EXP640P</t>
  </si>
  <si>
    <t>MC EXP685P</t>
  </si>
  <si>
    <t>MCT 6363</t>
  </si>
  <si>
    <t>MCT 6733 GT</t>
  </si>
  <si>
    <t>N76A</t>
  </si>
  <si>
    <t>P1197YHR</t>
  </si>
  <si>
    <t>P1739YHR</t>
  </si>
  <si>
    <t>REV23BH55</t>
  </si>
  <si>
    <t>REV25HR26</t>
  </si>
  <si>
    <t>RX 940RR2</t>
  </si>
  <si>
    <t>Seedway</t>
  </si>
  <si>
    <t>SW 6718 GenVT3P</t>
  </si>
  <si>
    <t>SW 6999 3000GT</t>
  </si>
  <si>
    <t>SW 8109 3000GT</t>
  </si>
  <si>
    <t>TMF17L86</t>
  </si>
  <si>
    <t>TMF17W95</t>
  </si>
  <si>
    <t>400 BMR#</t>
  </si>
  <si>
    <t>400 BMR+</t>
  </si>
  <si>
    <t>600BMR#</t>
  </si>
  <si>
    <t>600BMR+</t>
  </si>
  <si>
    <t>CHR12FS0012</t>
  </si>
  <si>
    <t>ES 7281</t>
  </si>
  <si>
    <t>EXP - 10216#</t>
  </si>
  <si>
    <t>EXP - 10216+</t>
  </si>
  <si>
    <t>EXP - 10217#</t>
  </si>
  <si>
    <t>EXP - 10217+</t>
  </si>
  <si>
    <t>F4C207</t>
  </si>
  <si>
    <t>GW2120#</t>
  </si>
  <si>
    <t>GW2120+</t>
  </si>
  <si>
    <t>NK 300</t>
  </si>
  <si>
    <t>Red Top + BMR</t>
  </si>
  <si>
    <t>SiloPro Dwarf BMR #</t>
  </si>
  <si>
    <t>SiloPro Dwarf BMR +</t>
  </si>
  <si>
    <t>SP1880</t>
  </si>
  <si>
    <t>SP2774</t>
  </si>
  <si>
    <t>SP2876 BMR</t>
  </si>
  <si>
    <t>SP3902BD</t>
  </si>
  <si>
    <t>SP3903BD</t>
  </si>
  <si>
    <t>SS 304</t>
  </si>
  <si>
    <t>F4C204</t>
  </si>
  <si>
    <t>SP4105</t>
  </si>
  <si>
    <t>Alta Seeds 6402</t>
  </si>
  <si>
    <t>CHR14FB0240</t>
  </si>
  <si>
    <t>S4B221</t>
  </si>
  <si>
    <t>S5C201</t>
  </si>
  <si>
    <t>Sordan Headless</t>
  </si>
  <si>
    <t>Alta Seeds AS6402</t>
  </si>
  <si>
    <t>S4B224</t>
  </si>
  <si>
    <t>SS304</t>
  </si>
  <si>
    <t>SS405</t>
  </si>
  <si>
    <t>1023VIP LP*</t>
  </si>
  <si>
    <t>1165VT2P10</t>
  </si>
  <si>
    <t>1366GT3110</t>
  </si>
  <si>
    <t>5678VT2P</t>
  </si>
  <si>
    <t>5900VT2P</t>
  </si>
  <si>
    <t>7668 GT3110</t>
  </si>
  <si>
    <t>85VT2P</t>
  </si>
  <si>
    <t>908VIP LP*</t>
  </si>
  <si>
    <t>909VIP</t>
  </si>
  <si>
    <t>999VIP LP*</t>
  </si>
  <si>
    <t>A7768-3110GT</t>
  </si>
  <si>
    <t>D54DC94 DGVT2P</t>
  </si>
  <si>
    <t>D58QC72 3110</t>
  </si>
  <si>
    <t>D58VC65 VT2P</t>
  </si>
  <si>
    <t>DKC 65-94</t>
  </si>
  <si>
    <t>DKC 66-75</t>
  </si>
  <si>
    <t>DKC 67-44</t>
  </si>
  <si>
    <t>DKC 70-03</t>
  </si>
  <si>
    <t>DKC 70-27</t>
  </si>
  <si>
    <t>EXP 618RVIP 3111</t>
  </si>
  <si>
    <t>Glenn Seed</t>
  </si>
  <si>
    <t>GL62XGS564</t>
  </si>
  <si>
    <t>MCT 6653 3000GT</t>
  </si>
  <si>
    <t>MCT 6733 3000GT</t>
  </si>
  <si>
    <t>P1442YHR</t>
  </si>
  <si>
    <t>P1662YHR</t>
  </si>
  <si>
    <t>P1870YHR</t>
  </si>
  <si>
    <t>REV28BHR18</t>
  </si>
  <si>
    <t>SW 8009 VIP-3110</t>
  </si>
  <si>
    <t>TA 768-28</t>
  </si>
  <si>
    <t>TA 787-30</t>
  </si>
  <si>
    <t>TMF14L46</t>
  </si>
  <si>
    <t>TMF17W91</t>
  </si>
  <si>
    <t>6W-15F910</t>
  </si>
  <si>
    <t>6W-400 BMR</t>
  </si>
  <si>
    <t>6W-600 BMR</t>
  </si>
  <si>
    <t>6W-EXP 15F1097</t>
  </si>
  <si>
    <t>6W-EXP 15F909</t>
  </si>
  <si>
    <t>6W-Silo Pro BMR</t>
  </si>
  <si>
    <t>705F</t>
  </si>
  <si>
    <t>Alta Seeds XF7103</t>
  </si>
  <si>
    <t>Alta Seeds XF7302</t>
  </si>
  <si>
    <t>Alta Seeds XF7303</t>
  </si>
  <si>
    <t>F73FS10</t>
  </si>
  <si>
    <t>F74FS23 BMR</t>
  </si>
  <si>
    <t>F76FS77</t>
  </si>
  <si>
    <t>SP2876</t>
  </si>
  <si>
    <t>SP2880</t>
  </si>
  <si>
    <t>SP4555</t>
  </si>
  <si>
    <t>SPX 56216</t>
  </si>
  <si>
    <t>6W-Super Sugar DM</t>
  </si>
  <si>
    <t>Alta Seeds XS6504</t>
  </si>
  <si>
    <t>FullGraze BMR</t>
  </si>
  <si>
    <t>Sordan 79</t>
  </si>
  <si>
    <t>1024VIP</t>
  </si>
  <si>
    <t>1778VIP</t>
  </si>
  <si>
    <t>55900VT2P</t>
  </si>
  <si>
    <t>5700VT2P</t>
  </si>
  <si>
    <t>608VIP</t>
  </si>
  <si>
    <t>749VT29</t>
  </si>
  <si>
    <t>85VT2P4</t>
  </si>
  <si>
    <t>998VIP</t>
  </si>
  <si>
    <t>A1165VT2PRORIB</t>
  </si>
  <si>
    <t>A1367-3220GT</t>
  </si>
  <si>
    <t>D55VC45</t>
  </si>
  <si>
    <t>D585565</t>
  </si>
  <si>
    <t>DKC 66-29</t>
  </si>
  <si>
    <t>DKC 67-99</t>
  </si>
  <si>
    <t>DKC 68-69</t>
  </si>
  <si>
    <t>MCT 6552</t>
  </si>
  <si>
    <t>MCT 6653</t>
  </si>
  <si>
    <t>NK1694-3111</t>
  </si>
  <si>
    <t>NK1808-3111</t>
  </si>
  <si>
    <t>P1847AML</t>
  </si>
  <si>
    <t>REV24F77SX</t>
  </si>
  <si>
    <t>REV25BHR89</t>
  </si>
  <si>
    <t>REV27BHR79</t>
  </si>
  <si>
    <t>REV27F95PWE</t>
  </si>
  <si>
    <t>TMF15H86</t>
  </si>
  <si>
    <t>REV25F86PWE</t>
  </si>
  <si>
    <t>6X 16921</t>
  </si>
  <si>
    <t>Alta Seeds XF033</t>
  </si>
  <si>
    <t>Alta Seeds XF372</t>
  </si>
  <si>
    <t>Dual ForageSCA</t>
  </si>
  <si>
    <t>F 6504</t>
  </si>
  <si>
    <t>F76FS77 BMR</t>
  </si>
  <si>
    <t>FX18130</t>
  </si>
  <si>
    <t>FX18152</t>
  </si>
  <si>
    <t>FX18311</t>
  </si>
  <si>
    <t>FX18317</t>
  </si>
  <si>
    <t>FX18340</t>
  </si>
  <si>
    <t>FX18811</t>
  </si>
  <si>
    <t>FX18851</t>
  </si>
  <si>
    <t>FX18878</t>
  </si>
  <si>
    <t xml:space="preserve">NK300 </t>
  </si>
  <si>
    <t>SP38085B BMR</t>
  </si>
  <si>
    <t>SPX56216 BMR</t>
  </si>
  <si>
    <t>Super Sile 20</t>
  </si>
  <si>
    <t>Super Sile 30</t>
  </si>
  <si>
    <t>DANNY BOY BMR</t>
  </si>
  <si>
    <t>Fmllgraze BMR</t>
  </si>
  <si>
    <t>FX18835</t>
  </si>
  <si>
    <t>FX1884</t>
  </si>
  <si>
    <t>Mega Green BMR</t>
  </si>
  <si>
    <t>SP45555 BMR</t>
  </si>
  <si>
    <t>REV Brand Seeds</t>
  </si>
  <si>
    <t>23F47SX</t>
  </si>
  <si>
    <t>24BHR99</t>
  </si>
  <si>
    <t>25F86PWE</t>
  </si>
  <si>
    <t>26F87SX</t>
  </si>
  <si>
    <t>27F95PWE</t>
  </si>
  <si>
    <t>28BHR18</t>
  </si>
  <si>
    <t>711VT2P</t>
  </si>
  <si>
    <t>8009 VIP3111</t>
  </si>
  <si>
    <t>8109 VIP3111</t>
  </si>
  <si>
    <t>A1165 VT2Pro C1250</t>
  </si>
  <si>
    <t>A1367 DC5222EZ C1250</t>
  </si>
  <si>
    <t>A7768-3110GT C1250</t>
  </si>
  <si>
    <t>A9967-3000GT C250</t>
  </si>
  <si>
    <t>DKC 65-99 (TRE)</t>
  </si>
  <si>
    <t>DKC 66-18 (VT2P)</t>
  </si>
  <si>
    <t>DKC 68-69 VT2P</t>
  </si>
  <si>
    <t>DKC 70-64 SS</t>
  </si>
  <si>
    <t>NK1573-3330</t>
  </si>
  <si>
    <t>NRG</t>
  </si>
  <si>
    <t>NRG 14R34 VIPTERA</t>
  </si>
  <si>
    <t>NRG 15H58</t>
  </si>
  <si>
    <t>NRG 15R47 VIPTERA</t>
  </si>
  <si>
    <t>NRG 15R48 VIPTERA</t>
  </si>
  <si>
    <t>P1847VYHR</t>
  </si>
  <si>
    <t>P1903YHR</t>
  </si>
  <si>
    <t>S5700</t>
  </si>
  <si>
    <t xml:space="preserve">S5900 </t>
  </si>
  <si>
    <t>SPX8812 Trecepta MR</t>
  </si>
  <si>
    <t>SPX8944 VT2P 117 RM</t>
  </si>
  <si>
    <t>S5900</t>
  </si>
  <si>
    <t>Ward Seed</t>
  </si>
  <si>
    <t>ADV F7232</t>
  </si>
  <si>
    <t>ADV XF025</t>
  </si>
  <si>
    <t>ADV XF033</t>
  </si>
  <si>
    <t>FX19133</t>
  </si>
  <si>
    <t>FX19172/F74FS72 BMR</t>
  </si>
  <si>
    <t>FX19178</t>
  </si>
  <si>
    <t>S&amp;W Seeds</t>
  </si>
  <si>
    <t>NRG EX12</t>
  </si>
  <si>
    <t>NRG EX20</t>
  </si>
  <si>
    <t>SP3904</t>
  </si>
  <si>
    <t>SS506</t>
  </si>
  <si>
    <t>EXP 9004</t>
  </si>
  <si>
    <t>EXP 9016</t>
  </si>
  <si>
    <t>NRG EX11</t>
  </si>
  <si>
    <t>NRG EX19</t>
  </si>
  <si>
    <t xml:space="preserve">MOJO Seeds </t>
  </si>
  <si>
    <t>OPAL</t>
  </si>
  <si>
    <t>DANNY BOY II BMR</t>
  </si>
  <si>
    <t>FullGraze II</t>
  </si>
  <si>
    <t>FullGraze II BMR</t>
  </si>
  <si>
    <t>Sweet Forever PPS</t>
  </si>
  <si>
    <t>TopTon</t>
  </si>
  <si>
    <t xml:space="preserve"> </t>
  </si>
  <si>
    <t>Phoenix</t>
  </si>
  <si>
    <t>6507A3</t>
  </si>
  <si>
    <t>6542A4</t>
  </si>
  <si>
    <t>7402A4</t>
  </si>
  <si>
    <t>88VT2P</t>
  </si>
  <si>
    <t>A4465-3110GT</t>
  </si>
  <si>
    <t>A4467-3220GT</t>
  </si>
  <si>
    <t>A8868-VT2Pro</t>
  </si>
  <si>
    <t>D55VC80</t>
  </si>
  <si>
    <t>D57VC17</t>
  </si>
  <si>
    <t>D58SS65</t>
  </si>
  <si>
    <t>DKC 64-44RIB SS</t>
  </si>
  <si>
    <t>DKC 69-16 SS</t>
  </si>
  <si>
    <t>DKC 69-99 TRECEPTA</t>
  </si>
  <si>
    <t>LC1506 VT2P</t>
  </si>
  <si>
    <t>LC1688 SSX</t>
  </si>
  <si>
    <t>LC1707 VT2P</t>
  </si>
  <si>
    <t>LC1806 VT2P</t>
  </si>
  <si>
    <t>LC1898 TC</t>
  </si>
  <si>
    <t>MorCorn</t>
  </si>
  <si>
    <t>MC 4255</t>
  </si>
  <si>
    <t>MC 4319</t>
  </si>
  <si>
    <t>MC 4670</t>
  </si>
  <si>
    <t>MC 4725</t>
  </si>
  <si>
    <t>NK1573-5222</t>
  </si>
  <si>
    <t>NK1677-3110</t>
  </si>
  <si>
    <t>NK1748-3110</t>
  </si>
  <si>
    <t>S5900 vt2p</t>
  </si>
  <si>
    <t>SP2928  3000GT</t>
  </si>
  <si>
    <t>SW 7560 GENVT2P</t>
  </si>
  <si>
    <t>SW 8100GENSS (RIB) - Smartstack</t>
  </si>
  <si>
    <t>SW 8109 VIP3111</t>
  </si>
  <si>
    <t>UFR 197</t>
  </si>
  <si>
    <t>UFR 299</t>
  </si>
  <si>
    <t>P30F35VYHR</t>
  </si>
  <si>
    <t>ADV F8322</t>
  </si>
  <si>
    <t>F72FS05</t>
  </si>
  <si>
    <t>F74FS72 BMR</t>
  </si>
  <si>
    <t>F75FS13</t>
  </si>
  <si>
    <t>SP3904BD BMR</t>
  </si>
  <si>
    <t>SP3905BD BMR</t>
  </si>
  <si>
    <t>ADV S6504</t>
  </si>
  <si>
    <t>ADV XS167</t>
  </si>
  <si>
    <t>289</t>
  </si>
  <si>
    <t>88V</t>
  </si>
  <si>
    <t>A4465-DC5222</t>
  </si>
  <si>
    <t>A4467-DC5222</t>
  </si>
  <si>
    <t>A9967-3000GT</t>
  </si>
  <si>
    <t>D53TC19</t>
  </si>
  <si>
    <t>D57TC29</t>
  </si>
  <si>
    <t>Bayer Crop Science</t>
  </si>
  <si>
    <t>DKC 61-80 SS RIB</t>
  </si>
  <si>
    <t>DKC 67-66 SS</t>
  </si>
  <si>
    <t>DKC 69-99</t>
  </si>
  <si>
    <t>LC1616 TC</t>
  </si>
  <si>
    <t>LC1688 SSXRIB</t>
  </si>
  <si>
    <t>LC1919 VT2P</t>
  </si>
  <si>
    <t>LG Seeds</t>
  </si>
  <si>
    <t>LG5643VT2PRO</t>
  </si>
  <si>
    <t>LG66C28-3220</t>
  </si>
  <si>
    <t>SeedKoz</t>
  </si>
  <si>
    <t>MorCorn MC 4161</t>
  </si>
  <si>
    <t>MorCorn MC 4311</t>
  </si>
  <si>
    <t>MorCorn MC 4319</t>
  </si>
  <si>
    <t>MorCorn MC 4670</t>
  </si>
  <si>
    <t>NK1661-3120A</t>
  </si>
  <si>
    <t>Progeny Ag</t>
  </si>
  <si>
    <t>PGY 2118VT2P</t>
  </si>
  <si>
    <t>PGY 8116SS</t>
  </si>
  <si>
    <t>PGY 9117VT2P</t>
  </si>
  <si>
    <t>Phoenix 6542</t>
  </si>
  <si>
    <t>Phoenix 7402</t>
  </si>
  <si>
    <t>SP3517</t>
  </si>
  <si>
    <t>SW 1579SS</t>
  </si>
  <si>
    <t>SW 1781SS</t>
  </si>
  <si>
    <t>V99</t>
  </si>
  <si>
    <t>5 STAR</t>
  </si>
  <si>
    <t>ADV F7424</t>
  </si>
  <si>
    <t>FX21815</t>
  </si>
  <si>
    <t>FX21842</t>
  </si>
  <si>
    <t>IQ 3501</t>
  </si>
  <si>
    <t>PEARL</t>
  </si>
  <si>
    <t>SWEET TON</t>
  </si>
  <si>
    <t>Richardson Seeds</t>
  </si>
  <si>
    <t>F24</t>
  </si>
  <si>
    <t>F27</t>
  </si>
  <si>
    <t>F382</t>
  </si>
  <si>
    <t>F429</t>
  </si>
  <si>
    <t>F431</t>
  </si>
  <si>
    <t>SP3904 BD BMR</t>
  </si>
  <si>
    <t>SP3905 BD BMR</t>
  </si>
  <si>
    <t>ADV S6404</t>
  </si>
  <si>
    <t>ADV S6520</t>
  </si>
  <si>
    <t>ADV XS005</t>
  </si>
  <si>
    <t>DYNAGRAZE II</t>
  </si>
  <si>
    <t>DYNAGRAZE II BMR</t>
  </si>
  <si>
    <t>FIRST GRAZE</t>
  </si>
  <si>
    <t>79VIP</t>
  </si>
  <si>
    <t>808VT2P</t>
  </si>
  <si>
    <t>888VT2P</t>
  </si>
  <si>
    <t>A64580GT</t>
  </si>
  <si>
    <t>A647355222</t>
  </si>
  <si>
    <t>A65021VT2PRO</t>
  </si>
  <si>
    <t>A1964</t>
  </si>
  <si>
    <t>A7168</t>
  </si>
  <si>
    <t>A7268</t>
  </si>
  <si>
    <t>BH Genetics</t>
  </si>
  <si>
    <t>BH8780VT2P</t>
  </si>
  <si>
    <t>BH 8644TRE</t>
  </si>
  <si>
    <t>BH8420VIP3110</t>
  </si>
  <si>
    <t>BH8690VIP3111</t>
  </si>
  <si>
    <t>BH8705VIP3110</t>
  </si>
  <si>
    <t>BH8721VT2P</t>
  </si>
  <si>
    <t>BH8966VT2P</t>
  </si>
  <si>
    <t>7064SS</t>
  </si>
  <si>
    <t>7094SS</t>
  </si>
  <si>
    <t>DKC6766SS</t>
  </si>
  <si>
    <t>DKC6869V2TP</t>
  </si>
  <si>
    <t>DKC6916SS</t>
  </si>
  <si>
    <t>Croplan</t>
  </si>
  <si>
    <t>5900SVT2P</t>
  </si>
  <si>
    <t>X20117CVT2P</t>
  </si>
  <si>
    <t>6588VT2P</t>
  </si>
  <si>
    <t>6641SS</t>
  </si>
  <si>
    <t>6709VT2P</t>
  </si>
  <si>
    <t>6720VT2P</t>
  </si>
  <si>
    <t>6811VT2P</t>
  </si>
  <si>
    <t>6880VT2P</t>
  </si>
  <si>
    <t>Maximum Production Genetics</t>
  </si>
  <si>
    <t>EXP170213</t>
  </si>
  <si>
    <t>EXP18768</t>
  </si>
  <si>
    <t>EXP196207</t>
  </si>
  <si>
    <t>EXP198222</t>
  </si>
  <si>
    <t>EXP19906</t>
  </si>
  <si>
    <t>EXP217237b</t>
  </si>
  <si>
    <t>P1222YHR</t>
  </si>
  <si>
    <t>P1289YHR</t>
  </si>
  <si>
    <t>P2042VYHR</t>
  </si>
  <si>
    <t>Polen Seed</t>
  </si>
  <si>
    <t>CHAMP</t>
  </si>
  <si>
    <t>GOLIATH</t>
  </si>
  <si>
    <t>HAMMER</t>
  </si>
  <si>
    <t>PL712</t>
  </si>
  <si>
    <t>RANGER</t>
  </si>
  <si>
    <t>TORRO</t>
  </si>
  <si>
    <t>Revere Seed</t>
  </si>
  <si>
    <t>LC1707VT2P</t>
  </si>
  <si>
    <t>LC1898TC</t>
  </si>
  <si>
    <t>LC1919VT2P</t>
  </si>
  <si>
    <t>LC1987VT2P</t>
  </si>
  <si>
    <t>MorCornMC4161DGVT2P</t>
  </si>
  <si>
    <t>MorCornMC4311TRE</t>
  </si>
  <si>
    <t>MorCornMC4527VT2P</t>
  </si>
  <si>
    <t>SW1579VT</t>
  </si>
  <si>
    <t>SW1600VT</t>
  </si>
  <si>
    <t>SP3077SSRIB</t>
  </si>
  <si>
    <t>NK1838-3110</t>
  </si>
  <si>
    <t>UFFM419</t>
  </si>
  <si>
    <t>UFIRS289R</t>
  </si>
  <si>
    <t>Dyna-Gro Seed</t>
  </si>
  <si>
    <t>SUPER SILE 30</t>
  </si>
  <si>
    <t>AgraTech</t>
  </si>
  <si>
    <t>Sun Prairie Seeds</t>
  </si>
  <si>
    <t>Fullgraze II</t>
  </si>
  <si>
    <t>Fullgraze II BMR</t>
  </si>
  <si>
    <t>SUPER SILE 20</t>
  </si>
  <si>
    <t>3691</t>
  </si>
  <si>
    <t>645-80GT</t>
  </si>
  <si>
    <t>646-30VT2PRO</t>
  </si>
  <si>
    <t>648-11VT2PRO</t>
  </si>
  <si>
    <t>A2066</t>
  </si>
  <si>
    <t>DKC 66-06</t>
  </si>
  <si>
    <t>DKC 68-35</t>
  </si>
  <si>
    <t>DKC 70-45</t>
  </si>
  <si>
    <t>BH8690VIP3110</t>
  </si>
  <si>
    <t>BH8732VT2P</t>
  </si>
  <si>
    <t>Coffey Forage Seeds, Inc</t>
  </si>
  <si>
    <t>7280 BMR</t>
  </si>
  <si>
    <t>9280 BMR</t>
  </si>
  <si>
    <t>5550 VT2P</t>
  </si>
  <si>
    <t>5893 TRE</t>
  </si>
  <si>
    <t>5900S VT2P</t>
  </si>
  <si>
    <t>6588 VT2P</t>
  </si>
  <si>
    <t>6641 SS</t>
  </si>
  <si>
    <t>6709 VT2P</t>
  </si>
  <si>
    <t>6720 VT2P</t>
  </si>
  <si>
    <t>6891 3110</t>
  </si>
  <si>
    <t>6864 VT2P</t>
  </si>
  <si>
    <t>CX301119 TRE</t>
  </si>
  <si>
    <t>Partners Brand</t>
  </si>
  <si>
    <t>PBX17921 Agrisure 3010</t>
  </si>
  <si>
    <t>1524 DV</t>
  </si>
  <si>
    <t>1839 TC</t>
  </si>
  <si>
    <t>SW 1579VT</t>
  </si>
  <si>
    <t>SX 17A23DV</t>
  </si>
  <si>
    <t>SX 18A22VT</t>
  </si>
  <si>
    <t>Southeast AgriSeeds</t>
  </si>
  <si>
    <t>65T09</t>
  </si>
  <si>
    <t>SPX3003 Trecempta</t>
  </si>
  <si>
    <t>NK1755-DV</t>
  </si>
  <si>
    <t>UF FM 419</t>
  </si>
  <si>
    <t>UF IR289</t>
  </si>
  <si>
    <t>PB8530 Viptera 3110</t>
  </si>
  <si>
    <t>PB8600 Viptera 3110</t>
  </si>
  <si>
    <t>PB8630 Viptera 3110</t>
  </si>
  <si>
    <t>Centurion 2.0</t>
  </si>
  <si>
    <t>F71FS72 BMR</t>
  </si>
  <si>
    <t>F72FS25 BMR</t>
  </si>
  <si>
    <t>859F</t>
  </si>
  <si>
    <t>F251</t>
  </si>
  <si>
    <t>SP1727 MS BMR</t>
  </si>
  <si>
    <t>SP2606 BMR</t>
  </si>
  <si>
    <t>SP2707 DT</t>
  </si>
  <si>
    <t>Evermore</t>
  </si>
  <si>
    <t>Evermore DWF</t>
  </si>
  <si>
    <t>Defiance</t>
  </si>
  <si>
    <t>Reliance</t>
  </si>
  <si>
    <t>Xtragraze 2.0</t>
  </si>
  <si>
    <t>Dynagraze II</t>
  </si>
  <si>
    <t>Dynagraze II BMR</t>
  </si>
  <si>
    <t>Danny Boy II BMR</t>
  </si>
  <si>
    <t>S425</t>
  </si>
  <si>
    <t>S72</t>
  </si>
  <si>
    <t>5550VT2P</t>
  </si>
  <si>
    <t>P3016VYHR</t>
  </si>
  <si>
    <t>Warner Seeds, Inc.</t>
  </si>
  <si>
    <t>W7051</t>
  </si>
  <si>
    <t>W7706-W</t>
  </si>
  <si>
    <t>Heavyweight</t>
  </si>
  <si>
    <t>SS275</t>
  </si>
  <si>
    <t>AgriGold</t>
  </si>
  <si>
    <t>1025VIP</t>
  </si>
  <si>
    <t>796</t>
  </si>
  <si>
    <t>79VT2P</t>
  </si>
  <si>
    <t>A1964 DV</t>
  </si>
  <si>
    <t>A2464</t>
  </si>
  <si>
    <t>A5166</t>
  </si>
  <si>
    <t>DKC 66-06 TRE</t>
  </si>
  <si>
    <t>DKC 68-35 VT2P</t>
  </si>
  <si>
    <t>DKC 70-45 VT2P</t>
  </si>
  <si>
    <t>BH 8400PCE</t>
  </si>
  <si>
    <t>BH 8420VIP3110</t>
  </si>
  <si>
    <t>BH 8690VIP3110</t>
  </si>
  <si>
    <t>BH 8705VIP3110</t>
  </si>
  <si>
    <t>BH 8721VT2P</t>
  </si>
  <si>
    <t>BH 8966VT2P</t>
  </si>
  <si>
    <t>BH 8655TRE</t>
  </si>
  <si>
    <t>X24011DV Z3</t>
  </si>
  <si>
    <t>X24015-3220</t>
  </si>
  <si>
    <t>5320SSPRO</t>
  </si>
  <si>
    <t>5760TRE</t>
  </si>
  <si>
    <t>6915 TRE</t>
  </si>
  <si>
    <t>P17677YHR</t>
  </si>
  <si>
    <t>1627 TC</t>
  </si>
  <si>
    <t>SEEDWAY</t>
  </si>
  <si>
    <t>SW 1880TR</t>
  </si>
  <si>
    <t>SW 8109V</t>
  </si>
  <si>
    <t>Stine</t>
  </si>
  <si>
    <t>9753-20</t>
  </si>
  <si>
    <t>9754-20</t>
  </si>
  <si>
    <t>EXP23</t>
  </si>
  <si>
    <t>SPX 2907 SSP</t>
  </si>
  <si>
    <t>E114C4DV</t>
  </si>
  <si>
    <t>E117Z7D</t>
  </si>
  <si>
    <t>NK1480DV</t>
  </si>
  <si>
    <t>NK1755DV</t>
  </si>
  <si>
    <t>FM 735</t>
  </si>
  <si>
    <t>IR 289</t>
  </si>
  <si>
    <t>Advanta Seeds</t>
  </si>
  <si>
    <t>Integra Seed</t>
  </si>
  <si>
    <t>ADVF8322</t>
  </si>
  <si>
    <t>ADVF8484</t>
  </si>
  <si>
    <t>ADVX F193</t>
  </si>
  <si>
    <t>ADVF7232</t>
  </si>
  <si>
    <t>3691 2.0</t>
  </si>
  <si>
    <t>Greenpoint Ag</t>
  </si>
  <si>
    <t>1141 FS</t>
  </si>
  <si>
    <t>1241 FS BMR BD</t>
  </si>
  <si>
    <t>Supra Ag</t>
  </si>
  <si>
    <t>Millet</t>
  </si>
  <si>
    <t>SX</t>
  </si>
  <si>
    <t>Sweet Sorghum</t>
  </si>
  <si>
    <t>Millet (One cut)</t>
  </si>
  <si>
    <t>A2464 DV</t>
  </si>
  <si>
    <t>A5166 DV</t>
  </si>
  <si>
    <t>9817-30</t>
  </si>
  <si>
    <t>9818-32</t>
  </si>
  <si>
    <t>P4195S</t>
  </si>
  <si>
    <t>P4205</t>
  </si>
  <si>
    <t>ARMOR</t>
  </si>
  <si>
    <t>1447 VT2P</t>
  </si>
  <si>
    <t>Advanta</t>
  </si>
  <si>
    <t>XC25231</t>
  </si>
  <si>
    <t>XC25343</t>
  </si>
  <si>
    <t>79VIPDC</t>
  </si>
  <si>
    <t>807TRE</t>
  </si>
  <si>
    <t>Augusta Seed Coorporation</t>
  </si>
  <si>
    <t>A1466</t>
  </si>
  <si>
    <t>Bayer</t>
  </si>
  <si>
    <t>CROPLAN</t>
  </si>
  <si>
    <t>5320 SSPRO</t>
  </si>
  <si>
    <t>5678 VT2P</t>
  </si>
  <si>
    <t>5760 TRE</t>
  </si>
  <si>
    <t>5911 VT2P</t>
  </si>
  <si>
    <t>Corteva</t>
  </si>
  <si>
    <t>P13777PWUE</t>
  </si>
  <si>
    <t>Integra</t>
  </si>
  <si>
    <t>6915 VT2P</t>
  </si>
  <si>
    <t>Mixon Seed Service</t>
  </si>
  <si>
    <t>AGS 3418GT</t>
  </si>
  <si>
    <t>AGS 7816GT</t>
  </si>
  <si>
    <t>Revere</t>
  </si>
  <si>
    <t>SW 1661SS</t>
  </si>
  <si>
    <t>Stine Seed</t>
  </si>
  <si>
    <t>9721-30</t>
  </si>
  <si>
    <t>9755-20</t>
  </si>
  <si>
    <t>9891-20</t>
  </si>
  <si>
    <t>NK1732DV</t>
  </si>
  <si>
    <t>FM686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</si>
</sst>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yyyy\-mm\-dd;@"/>
    <numFmt numFmtId="166" formatCode="0_);\(0\)"/>
  </numFmts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0"/>
      <color rgb="FF000000"/>
      <name val="Calibri"/>
      <family val="2"/>
    </font>
    <font>
      <sz val="12"/>
      <color theme="1"/>
      <name val="Arial Nova"/>
    </font>
    <font>
      <b/>
      <sz val="12"/>
      <color theme="1"/>
      <name val="Arial Nova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4" fontId="5" fillId="0" borderId="0" xfId="1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2" fontId="11" fillId="0" borderId="0" xfId="4" applyNumberFormat="1" applyFont="1" applyAlignment="1">
      <alignment horizontal="center" vertical="center"/>
    </xf>
    <xf numFmtId="0" fontId="5" fillId="0" borderId="0" xfId="6" applyFont="1" applyAlignment="1">
      <alignment horizontal="center" vertical="center"/>
    </xf>
    <xf numFmtId="1" fontId="5" fillId="0" borderId="0" xfId="4" applyNumberFormat="1" applyFont="1" applyAlignment="1">
      <alignment horizontal="center" vertical="center"/>
    </xf>
    <xf numFmtId="164" fontId="5" fillId="0" borderId="0" xfId="4" applyNumberFormat="1" applyFont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5" fillId="0" borderId="0" xfId="8" applyFont="1" applyAlignment="1">
      <alignment horizontal="center" vertical="center"/>
    </xf>
    <xf numFmtId="164" fontId="11" fillId="0" borderId="0" xfId="8" applyNumberFormat="1" applyFont="1" applyAlignment="1">
      <alignment horizontal="center" vertical="center"/>
    </xf>
    <xf numFmtId="1" fontId="5" fillId="0" borderId="0" xfId="8" applyNumberFormat="1" applyFont="1" applyAlignment="1">
      <alignment horizontal="center" vertical="center"/>
    </xf>
    <xf numFmtId="164" fontId="5" fillId="0" borderId="0" xfId="9" applyNumberFormat="1" applyFont="1" applyFill="1" applyAlignment="1">
      <alignment horizontal="center" vertical="center"/>
    </xf>
    <xf numFmtId="164" fontId="5" fillId="0" borderId="0" xfId="8" applyNumberFormat="1" applyFont="1" applyAlignment="1">
      <alignment horizontal="center" vertical="center"/>
    </xf>
    <xf numFmtId="166" fontId="5" fillId="0" borderId="0" xfId="10" applyNumberFormat="1" applyFont="1" applyFill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11">
    <cellStyle name="Comma 2" xfId="10" xr:uid="{4AE79C96-A4C2-4268-A4AA-66EF3F1BF626}"/>
    <cellStyle name="Normal" xfId="0" builtinId="0"/>
    <cellStyle name="Normal 2" xfId="2" xr:uid="{F4547F95-2D27-467D-9EF3-CE88C81733D4}"/>
    <cellStyle name="Normal 3" xfId="4" xr:uid="{DC83BA7A-8FA5-4877-997F-DB29AD9E0D04}"/>
    <cellStyle name="Normal 4" xfId="6" xr:uid="{56A08FD7-4C8E-40D4-8DA0-289B04237BF4}"/>
    <cellStyle name="Normal 5" xfId="8" xr:uid="{30093D76-6357-4E0B-BB4F-BEC06386B502}"/>
    <cellStyle name="Percent" xfId="1" builtinId="5"/>
    <cellStyle name="Percent 2" xfId="3" xr:uid="{4CFE3282-D337-481C-96B5-39B78699FABB}"/>
    <cellStyle name="Percent 3" xfId="5" xr:uid="{7437CF62-3C03-46D7-AD49-3FEA65ABDF14}"/>
    <cellStyle name="Percent 4" xfId="7" xr:uid="{711B2E04-C9DC-4873-83EC-750AB9A6EEC3}"/>
    <cellStyle name="Percent 5" xfId="9" xr:uid="{8E607DD7-9C3D-40B8-A78E-1052D20C66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34E9-D2B2-B546-A709-80776F8F46CB}">
  <dimension ref="A1:AE1841"/>
  <sheetViews>
    <sheetView tabSelected="1" zoomScaleNormal="100" workbookViewId="0">
      <pane xSplit="6" ySplit="1" topLeftCell="R1796" activePane="bottomRight" state="frozen"/>
      <selection pane="topRight" activeCell="F1" sqref="F1"/>
      <selection pane="bottomLeft" activeCell="A2" sqref="A2"/>
      <selection pane="bottomRight" sqref="A1:AE1841"/>
    </sheetView>
  </sheetViews>
  <sheetFormatPr baseColWidth="10" defaultColWidth="10.6640625" defaultRowHeight="16" x14ac:dyDescent="0.2"/>
  <cols>
    <col min="1" max="1" width="8.6640625" style="1" bestFit="1" customWidth="1"/>
    <col min="2" max="2" width="11" style="1" bestFit="1" customWidth="1"/>
    <col min="3" max="3" width="14.6640625" style="1" bestFit="1" customWidth="1"/>
    <col min="4" max="4" width="27.1640625" style="1" bestFit="1" customWidth="1"/>
    <col min="5" max="5" width="31.33203125" style="1" bestFit="1" customWidth="1"/>
    <col min="6" max="6" width="13.1640625" style="1" bestFit="1" customWidth="1"/>
    <col min="7" max="7" width="22.5" style="1" bestFit="1" customWidth="1"/>
    <col min="8" max="8" width="14.33203125" style="1" bestFit="1" customWidth="1"/>
    <col min="9" max="9" width="11.5" style="1" bestFit="1" customWidth="1"/>
    <col min="10" max="10" width="13.6640625" style="1" bestFit="1" customWidth="1"/>
    <col min="11" max="11" width="20" style="1" bestFit="1" customWidth="1"/>
    <col min="12" max="12" width="16.83203125" style="1" bestFit="1" customWidth="1"/>
    <col min="13" max="13" width="18.1640625" style="1" bestFit="1" customWidth="1"/>
    <col min="14" max="14" width="15.1640625" style="1" bestFit="1" customWidth="1"/>
    <col min="15" max="15" width="16.1640625" style="1" bestFit="1" customWidth="1"/>
    <col min="16" max="16" width="18.83203125" style="1" bestFit="1" customWidth="1"/>
    <col min="17" max="17" width="10" style="1" bestFit="1" customWidth="1"/>
    <col min="18" max="18" width="11" style="1" bestFit="1" customWidth="1"/>
    <col min="19" max="19" width="16.1640625" style="1" bestFit="1" customWidth="1"/>
    <col min="20" max="20" width="9.6640625" style="1" bestFit="1" customWidth="1"/>
    <col min="21" max="21" width="12.6640625" style="1" bestFit="1" customWidth="1"/>
    <col min="22" max="22" width="12.1640625" style="1" bestFit="1" customWidth="1"/>
    <col min="23" max="23" width="10" style="1" bestFit="1" customWidth="1"/>
    <col min="24" max="24" width="12.5" style="1" bestFit="1" customWidth="1"/>
    <col min="25" max="25" width="10" style="1" bestFit="1" customWidth="1"/>
    <col min="26" max="26" width="23.83203125" style="1" bestFit="1" customWidth="1"/>
    <col min="27" max="27" width="22.1640625" style="1" bestFit="1" customWidth="1"/>
    <col min="28" max="28" width="13.6640625" style="1" bestFit="1" customWidth="1"/>
    <col min="29" max="29" width="22.5" style="1" bestFit="1" customWidth="1"/>
    <col min="30" max="30" width="13.83203125" style="1" bestFit="1" customWidth="1"/>
    <col min="31" max="31" width="12.1640625" style="1" bestFit="1" customWidth="1"/>
    <col min="32" max="16384" width="10.6640625" style="1"/>
  </cols>
  <sheetData>
    <row r="1" spans="1:31" s="2" customFormat="1" ht="8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1" t="s">
        <v>27</v>
      </c>
      <c r="AC1" s="2" t="s">
        <v>28</v>
      </c>
      <c r="AD1" s="2" t="s">
        <v>29</v>
      </c>
      <c r="AE1" s="2" t="s">
        <v>30</v>
      </c>
    </row>
    <row r="2" spans="1:31" x14ac:dyDescent="0.2">
      <c r="A2" s="1">
        <v>1</v>
      </c>
      <c r="B2" s="1">
        <v>2010</v>
      </c>
      <c r="C2" s="1" t="s">
        <v>96</v>
      </c>
      <c r="D2" s="8" t="s">
        <v>90</v>
      </c>
      <c r="E2" s="8" t="s">
        <v>100</v>
      </c>
      <c r="F2" s="8" t="s">
        <v>32</v>
      </c>
      <c r="G2" s="8"/>
      <c r="H2" s="8" t="s">
        <v>34</v>
      </c>
      <c r="I2" s="12">
        <v>10.61</v>
      </c>
      <c r="J2" s="7">
        <v>30.3</v>
      </c>
      <c r="K2" s="13"/>
      <c r="L2" s="14">
        <v>1401</v>
      </c>
      <c r="M2" s="14"/>
      <c r="N2" s="14">
        <v>14819</v>
      </c>
      <c r="O2" s="13">
        <v>28.7</v>
      </c>
      <c r="P2" s="13">
        <v>3.8</v>
      </c>
      <c r="Q2" s="13">
        <v>72</v>
      </c>
      <c r="R2" s="13">
        <v>31.8</v>
      </c>
      <c r="S2" s="13"/>
      <c r="T2" s="13">
        <v>48.1</v>
      </c>
      <c r="U2" s="15"/>
      <c r="V2" s="15"/>
      <c r="W2" s="12"/>
      <c r="X2" s="15"/>
      <c r="Y2" s="13">
        <v>51.1</v>
      </c>
      <c r="Z2" s="7">
        <v>2.4300000000000002</v>
      </c>
      <c r="AA2" s="13">
        <v>4</v>
      </c>
      <c r="AB2" s="16">
        <f t="shared" ref="AB2:AB8" si="0">AA2*10</f>
        <v>40</v>
      </c>
      <c r="AC2" s="13">
        <v>3.5</v>
      </c>
      <c r="AD2" s="16">
        <f t="shared" ref="AD2:AD8" si="1">AC2*10</f>
        <v>35</v>
      </c>
      <c r="AE2" s="1">
        <v>0</v>
      </c>
    </row>
    <row r="3" spans="1:31" x14ac:dyDescent="0.2">
      <c r="A3" s="1">
        <v>2</v>
      </c>
      <c r="B3" s="1">
        <v>2011</v>
      </c>
      <c r="C3" s="1" t="s">
        <v>96</v>
      </c>
      <c r="D3" s="8" t="s">
        <v>90</v>
      </c>
      <c r="E3" s="8" t="s">
        <v>256</v>
      </c>
      <c r="F3" s="1" t="s">
        <v>32</v>
      </c>
      <c r="I3" s="12">
        <v>15.1</v>
      </c>
      <c r="J3" s="12">
        <v>30.1</v>
      </c>
      <c r="K3" s="8"/>
      <c r="L3" s="14">
        <v>1401</v>
      </c>
      <c r="M3" s="8"/>
      <c r="N3" s="14">
        <v>21290</v>
      </c>
      <c r="O3" s="13">
        <v>29</v>
      </c>
      <c r="P3" s="13">
        <v>3.9</v>
      </c>
      <c r="Q3" s="13">
        <v>71</v>
      </c>
      <c r="R3" s="13">
        <v>40.6</v>
      </c>
      <c r="T3" s="15"/>
      <c r="U3" s="15" t="s">
        <v>89</v>
      </c>
      <c r="V3" s="13">
        <v>0.05</v>
      </c>
      <c r="W3" s="12" t="s">
        <v>89</v>
      </c>
      <c r="X3" s="15" t="s">
        <v>89</v>
      </c>
      <c r="Y3" s="13">
        <v>51.4</v>
      </c>
      <c r="Z3" s="7">
        <v>4.37</v>
      </c>
      <c r="AA3" s="13">
        <v>0.75</v>
      </c>
      <c r="AB3" s="16">
        <f t="shared" si="0"/>
        <v>7.5</v>
      </c>
      <c r="AC3" s="13">
        <v>0.75</v>
      </c>
      <c r="AD3" s="16">
        <f t="shared" si="1"/>
        <v>7.5</v>
      </c>
      <c r="AE3" s="1">
        <v>0</v>
      </c>
    </row>
    <row r="4" spans="1:31" x14ac:dyDescent="0.2">
      <c r="A4" s="1">
        <v>3</v>
      </c>
      <c r="B4" s="1">
        <v>2010</v>
      </c>
      <c r="C4" s="1" t="s">
        <v>88</v>
      </c>
      <c r="D4" s="8" t="s">
        <v>90</v>
      </c>
      <c r="E4" s="8" t="s">
        <v>186</v>
      </c>
      <c r="F4" s="1" t="s">
        <v>83</v>
      </c>
      <c r="H4" s="1" t="s">
        <v>34</v>
      </c>
      <c r="I4" s="12">
        <v>8.92</v>
      </c>
      <c r="J4" s="7">
        <v>25.5</v>
      </c>
      <c r="L4" s="16">
        <v>1410</v>
      </c>
      <c r="N4" s="16">
        <v>12593</v>
      </c>
      <c r="O4" s="15">
        <v>23</v>
      </c>
      <c r="P4" s="15">
        <v>7.2</v>
      </c>
      <c r="Q4" s="15">
        <v>58.1</v>
      </c>
      <c r="R4" s="15">
        <v>41.1</v>
      </c>
      <c r="T4" s="15"/>
      <c r="U4" s="15">
        <v>38.700000000000003</v>
      </c>
      <c r="V4" s="15">
        <v>0.6</v>
      </c>
      <c r="W4" s="12"/>
      <c r="X4" s="15"/>
      <c r="Y4" s="15">
        <v>57.5</v>
      </c>
      <c r="Z4" s="12">
        <v>2.12</v>
      </c>
      <c r="AA4" s="13">
        <v>4</v>
      </c>
      <c r="AB4" s="16">
        <f t="shared" si="0"/>
        <v>40</v>
      </c>
      <c r="AC4" s="13">
        <v>3.3</v>
      </c>
      <c r="AD4" s="16">
        <f t="shared" si="1"/>
        <v>33</v>
      </c>
      <c r="AE4" s="1">
        <v>1</v>
      </c>
    </row>
    <row r="5" spans="1:31" x14ac:dyDescent="0.2">
      <c r="A5" s="1">
        <v>4</v>
      </c>
      <c r="B5" s="1">
        <v>2011</v>
      </c>
      <c r="C5" s="1" t="s">
        <v>88</v>
      </c>
      <c r="D5" s="8" t="s">
        <v>90</v>
      </c>
      <c r="E5" s="8" t="s">
        <v>233</v>
      </c>
      <c r="F5" s="1" t="s">
        <v>32</v>
      </c>
      <c r="H5" s="1" t="s">
        <v>34</v>
      </c>
      <c r="I5" s="12">
        <v>13.49</v>
      </c>
      <c r="J5" s="12">
        <v>17.600000000000001</v>
      </c>
      <c r="K5" s="13"/>
      <c r="L5" s="14">
        <v>1444</v>
      </c>
      <c r="M5" s="14"/>
      <c r="N5" s="14">
        <v>19382</v>
      </c>
      <c r="O5" s="13">
        <v>26.9</v>
      </c>
      <c r="P5" s="13">
        <v>3.3</v>
      </c>
      <c r="Q5" s="13">
        <v>71.400000000000006</v>
      </c>
      <c r="R5" s="13">
        <v>42.1</v>
      </c>
      <c r="T5" s="15"/>
      <c r="U5" s="15" t="s">
        <v>89</v>
      </c>
      <c r="V5" s="13">
        <v>0</v>
      </c>
      <c r="W5" s="12" t="s">
        <v>89</v>
      </c>
      <c r="X5" s="15" t="s">
        <v>89</v>
      </c>
      <c r="Y5" s="13">
        <v>51.8</v>
      </c>
      <c r="Z5" s="7">
        <v>4.0599999999999996</v>
      </c>
      <c r="AA5" s="1">
        <v>0.8</v>
      </c>
      <c r="AB5" s="16">
        <f t="shared" si="0"/>
        <v>8</v>
      </c>
      <c r="AC5" s="1">
        <v>1.5</v>
      </c>
      <c r="AD5" s="16">
        <f t="shared" si="1"/>
        <v>15</v>
      </c>
      <c r="AE5" s="1">
        <v>1</v>
      </c>
    </row>
    <row r="6" spans="1:31" x14ac:dyDescent="0.2">
      <c r="A6" s="1">
        <v>5</v>
      </c>
      <c r="B6" s="1">
        <v>2010</v>
      </c>
      <c r="C6" s="1" t="s">
        <v>96</v>
      </c>
      <c r="D6" s="8" t="s">
        <v>90</v>
      </c>
      <c r="E6" s="8" t="s">
        <v>100</v>
      </c>
      <c r="F6" s="8" t="s">
        <v>83</v>
      </c>
      <c r="G6" s="8"/>
      <c r="H6" s="8"/>
      <c r="I6" s="12">
        <v>7.95</v>
      </c>
      <c r="J6" s="7">
        <v>30.3</v>
      </c>
      <c r="K6" s="13"/>
      <c r="L6" s="14">
        <v>1447</v>
      </c>
      <c r="M6" s="14"/>
      <c r="N6" s="14">
        <v>11515</v>
      </c>
      <c r="O6" s="13">
        <v>25.8</v>
      </c>
      <c r="P6" s="13">
        <v>7.3</v>
      </c>
      <c r="Q6" s="13">
        <v>59.9</v>
      </c>
      <c r="R6" s="13">
        <v>39.9</v>
      </c>
      <c r="S6" s="13"/>
      <c r="T6" s="13">
        <v>39.9</v>
      </c>
      <c r="U6" s="15"/>
      <c r="V6" s="15"/>
      <c r="W6" s="12"/>
      <c r="X6" s="15"/>
      <c r="Y6" s="13">
        <v>56.5</v>
      </c>
      <c r="Z6" s="7">
        <v>1.89</v>
      </c>
      <c r="AA6" s="13">
        <v>4</v>
      </c>
      <c r="AB6" s="16">
        <f t="shared" si="0"/>
        <v>40</v>
      </c>
      <c r="AC6" s="13">
        <v>3.5</v>
      </c>
      <c r="AD6" s="16">
        <f t="shared" si="1"/>
        <v>35</v>
      </c>
      <c r="AE6" s="1">
        <v>0</v>
      </c>
    </row>
    <row r="7" spans="1:31" x14ac:dyDescent="0.2">
      <c r="A7" s="1">
        <v>6</v>
      </c>
      <c r="B7" s="1">
        <v>2010</v>
      </c>
      <c r="C7" s="1" t="s">
        <v>88</v>
      </c>
      <c r="D7" s="8" t="s">
        <v>90</v>
      </c>
      <c r="E7" s="8" t="s">
        <v>185</v>
      </c>
      <c r="F7" s="1" t="s">
        <v>83</v>
      </c>
      <c r="I7" s="12">
        <v>6.6</v>
      </c>
      <c r="J7" s="7">
        <v>18.8571428571429</v>
      </c>
      <c r="L7" s="16">
        <v>1460</v>
      </c>
      <c r="N7" s="16">
        <v>9625</v>
      </c>
      <c r="O7" s="15">
        <v>23.2</v>
      </c>
      <c r="P7" s="15">
        <v>5.8</v>
      </c>
      <c r="Q7" s="15">
        <v>61.4</v>
      </c>
      <c r="R7" s="15">
        <v>49.7</v>
      </c>
      <c r="T7" s="15"/>
      <c r="U7" s="15">
        <v>39.6</v>
      </c>
      <c r="V7" s="15">
        <v>1</v>
      </c>
      <c r="W7" s="12"/>
      <c r="X7" s="15"/>
      <c r="Y7" s="15">
        <v>60.4</v>
      </c>
      <c r="Z7" s="12">
        <v>2.0099999999999998</v>
      </c>
      <c r="AA7" s="13">
        <v>4.5</v>
      </c>
      <c r="AB7" s="16">
        <f t="shared" si="0"/>
        <v>45</v>
      </c>
      <c r="AC7" s="13">
        <v>4.5</v>
      </c>
      <c r="AD7" s="16">
        <f t="shared" si="1"/>
        <v>45</v>
      </c>
      <c r="AE7" s="1">
        <v>1</v>
      </c>
    </row>
    <row r="8" spans="1:31" x14ac:dyDescent="0.2">
      <c r="A8" s="1">
        <v>7</v>
      </c>
      <c r="B8" s="1">
        <v>2010</v>
      </c>
      <c r="C8" s="1" t="s">
        <v>96</v>
      </c>
      <c r="D8" s="8" t="s">
        <v>187</v>
      </c>
      <c r="E8" s="8" t="s">
        <v>194</v>
      </c>
      <c r="F8" s="8" t="s">
        <v>83</v>
      </c>
      <c r="G8" s="8"/>
      <c r="H8" s="8" t="s">
        <v>34</v>
      </c>
      <c r="I8" s="12">
        <v>8.6</v>
      </c>
      <c r="J8" s="7">
        <v>31.3</v>
      </c>
      <c r="K8" s="13"/>
      <c r="L8" s="14">
        <v>1485</v>
      </c>
      <c r="M8" s="14" t="s">
        <v>34</v>
      </c>
      <c r="N8" s="14">
        <v>12766</v>
      </c>
      <c r="O8" s="13">
        <v>26.8</v>
      </c>
      <c r="P8" s="13">
        <v>7</v>
      </c>
      <c r="Q8" s="13">
        <v>55.6</v>
      </c>
      <c r="R8" s="13">
        <v>41.9</v>
      </c>
      <c r="S8" s="13"/>
      <c r="T8" s="13">
        <v>37.5</v>
      </c>
      <c r="U8" s="15"/>
      <c r="V8" s="15"/>
      <c r="W8" s="12"/>
      <c r="X8" s="15"/>
      <c r="Y8" s="13">
        <v>58.1</v>
      </c>
      <c r="Z8" s="7">
        <v>2</v>
      </c>
      <c r="AA8" s="13">
        <v>1</v>
      </c>
      <c r="AB8" s="16">
        <f t="shared" si="0"/>
        <v>10</v>
      </c>
      <c r="AC8" s="13">
        <v>1</v>
      </c>
      <c r="AD8" s="16">
        <f t="shared" si="1"/>
        <v>10</v>
      </c>
      <c r="AE8" s="1">
        <v>0</v>
      </c>
    </row>
    <row r="9" spans="1:31" x14ac:dyDescent="0.2">
      <c r="A9" s="1">
        <v>8</v>
      </c>
      <c r="B9" s="1">
        <v>2020</v>
      </c>
      <c r="C9" s="1" t="s">
        <v>96</v>
      </c>
      <c r="D9" s="28" t="s">
        <v>914</v>
      </c>
      <c r="E9" s="1" t="s">
        <v>750</v>
      </c>
      <c r="F9" s="1" t="s">
        <v>83</v>
      </c>
      <c r="I9" s="12">
        <v>5.0979999999999999</v>
      </c>
      <c r="J9" s="12">
        <v>14.565200000000001</v>
      </c>
      <c r="K9" s="1" t="s">
        <v>754</v>
      </c>
      <c r="L9" s="16">
        <v>1493.32</v>
      </c>
      <c r="N9" s="16">
        <v>7357.31</v>
      </c>
      <c r="O9" s="10">
        <v>34.07</v>
      </c>
      <c r="P9" s="15">
        <v>6.86</v>
      </c>
      <c r="Q9" s="15">
        <v>73.91</v>
      </c>
      <c r="R9" s="15">
        <v>26.25</v>
      </c>
      <c r="S9" s="15"/>
      <c r="T9" s="15">
        <v>41.924999999999997</v>
      </c>
      <c r="U9" s="15">
        <v>2.62</v>
      </c>
      <c r="V9" s="15">
        <v>7.01</v>
      </c>
      <c r="W9" s="12">
        <v>0.44280000000000003</v>
      </c>
      <c r="X9" s="15"/>
      <c r="Y9" s="15">
        <v>43.925600000000003</v>
      </c>
      <c r="Z9" s="12"/>
      <c r="AA9" s="15">
        <v>1.375</v>
      </c>
      <c r="AB9" s="16">
        <f>AA9*33.334</f>
        <v>45.834250000000004</v>
      </c>
      <c r="AC9" s="15">
        <v>1.5</v>
      </c>
      <c r="AD9" s="16">
        <f>AC9*33.334</f>
        <v>50.001000000000005</v>
      </c>
      <c r="AE9" s="1">
        <v>0</v>
      </c>
    </row>
    <row r="10" spans="1:31" x14ac:dyDescent="0.2">
      <c r="A10" s="1">
        <v>9</v>
      </c>
      <c r="B10" s="1">
        <v>2020</v>
      </c>
      <c r="C10" s="1" t="s">
        <v>96</v>
      </c>
      <c r="D10" s="1" t="s">
        <v>1023</v>
      </c>
      <c r="E10" s="1" t="s">
        <v>796</v>
      </c>
      <c r="F10" s="1" t="s">
        <v>83</v>
      </c>
      <c r="I10" s="12">
        <v>3.3860399999999999</v>
      </c>
      <c r="J10" s="12">
        <v>9.6744000000000003</v>
      </c>
      <c r="K10" s="1" t="s">
        <v>754</v>
      </c>
      <c r="L10" s="16">
        <v>1519.13</v>
      </c>
      <c r="N10" s="16">
        <v>5111.59</v>
      </c>
      <c r="O10" s="10">
        <v>19.93</v>
      </c>
      <c r="P10" s="15">
        <v>11.172499999999999</v>
      </c>
      <c r="Q10" s="15">
        <v>73.242500000000007</v>
      </c>
      <c r="R10" s="15">
        <v>31.405000000000001</v>
      </c>
      <c r="S10" s="15"/>
      <c r="T10" s="15">
        <v>43.372500000000002</v>
      </c>
      <c r="U10" s="15">
        <v>0.79249999999999998</v>
      </c>
      <c r="V10" s="15">
        <v>4.08</v>
      </c>
      <c r="W10" s="12">
        <v>0.4395</v>
      </c>
      <c r="X10" s="15"/>
      <c r="Y10" s="15">
        <v>45.9221</v>
      </c>
      <c r="Z10" s="12"/>
      <c r="AA10" s="15">
        <v>1</v>
      </c>
      <c r="AB10" s="16">
        <f>AA10*33.334</f>
        <v>33.334000000000003</v>
      </c>
      <c r="AC10" s="15">
        <v>2.25</v>
      </c>
      <c r="AD10" s="16">
        <f>AC10*33.334</f>
        <v>75.001500000000007</v>
      </c>
      <c r="AE10" s="1">
        <v>0</v>
      </c>
    </row>
    <row r="11" spans="1:31" x14ac:dyDescent="0.2">
      <c r="A11" s="1">
        <v>10</v>
      </c>
      <c r="B11" s="1">
        <v>2021</v>
      </c>
      <c r="C11" s="1" t="s">
        <v>96</v>
      </c>
      <c r="D11" s="28" t="s">
        <v>914</v>
      </c>
      <c r="E11" s="1" t="s">
        <v>851</v>
      </c>
      <c r="F11" s="1" t="s">
        <v>32</v>
      </c>
      <c r="I11" s="12">
        <v>6.3972503837699994</v>
      </c>
      <c r="J11" s="12">
        <v>18.277858239</v>
      </c>
      <c r="K11" s="1" t="s">
        <v>89</v>
      </c>
      <c r="L11" s="16">
        <v>1522.194038349</v>
      </c>
      <c r="N11" s="16">
        <v>9980.3476287520007</v>
      </c>
      <c r="O11" s="15">
        <v>32.194078300000001</v>
      </c>
      <c r="P11" s="15">
        <v>6.0222499999999997</v>
      </c>
      <c r="Q11" s="15">
        <v>67.549750000000003</v>
      </c>
      <c r="R11" s="15">
        <v>28.684000000000001</v>
      </c>
      <c r="U11" s="15">
        <v>14.52125</v>
      </c>
      <c r="V11" s="15">
        <v>9.8082499999999992</v>
      </c>
      <c r="W11" s="12">
        <v>0.44379166799999997</v>
      </c>
      <c r="X11" s="15">
        <v>63.511749999999999</v>
      </c>
      <c r="Y11" s="15">
        <v>45.528923216000003</v>
      </c>
      <c r="Z11" s="12"/>
      <c r="AA11" s="1">
        <v>1.125</v>
      </c>
      <c r="AB11" s="16">
        <f>AA11*33.334</f>
        <v>37.500750000000004</v>
      </c>
      <c r="AD11" s="16"/>
      <c r="AE11" s="1">
        <v>0</v>
      </c>
    </row>
    <row r="12" spans="1:31" x14ac:dyDescent="0.2">
      <c r="A12" s="1">
        <v>11</v>
      </c>
      <c r="B12" s="1">
        <v>2010</v>
      </c>
      <c r="C12" s="1" t="s">
        <v>88</v>
      </c>
      <c r="D12" s="8" t="s">
        <v>187</v>
      </c>
      <c r="E12" s="8" t="s">
        <v>188</v>
      </c>
      <c r="F12" s="1" t="s">
        <v>83</v>
      </c>
      <c r="I12" s="12">
        <v>6.85</v>
      </c>
      <c r="J12" s="7">
        <v>19.571428571428601</v>
      </c>
      <c r="L12" s="16">
        <v>1525</v>
      </c>
      <c r="N12" s="16">
        <v>10456</v>
      </c>
      <c r="O12" s="15">
        <v>25.2</v>
      </c>
      <c r="P12" s="15">
        <v>5.7</v>
      </c>
      <c r="Q12" s="15">
        <v>52.6</v>
      </c>
      <c r="R12" s="15">
        <v>43.3</v>
      </c>
      <c r="T12" s="15"/>
      <c r="U12" s="15">
        <v>35</v>
      </c>
      <c r="V12" s="15">
        <v>1.5</v>
      </c>
      <c r="W12" s="12"/>
      <c r="X12" s="15"/>
      <c r="Y12" s="15">
        <v>61.2</v>
      </c>
      <c r="Z12" s="12">
        <v>1.55</v>
      </c>
      <c r="AA12" s="13">
        <v>2</v>
      </c>
      <c r="AB12" s="16">
        <f>AA12*10</f>
        <v>20</v>
      </c>
      <c r="AC12" s="13">
        <v>10</v>
      </c>
      <c r="AD12" s="16">
        <f>AC12*10</f>
        <v>100</v>
      </c>
      <c r="AE12" s="1">
        <v>1</v>
      </c>
    </row>
    <row r="13" spans="1:31" x14ac:dyDescent="0.2">
      <c r="A13" s="1">
        <v>12</v>
      </c>
      <c r="B13" s="1">
        <v>2021</v>
      </c>
      <c r="C13" s="1" t="s">
        <v>96</v>
      </c>
      <c r="D13" s="1" t="s">
        <v>1023</v>
      </c>
      <c r="E13" s="1" t="s">
        <v>848</v>
      </c>
      <c r="F13" s="1" t="s">
        <v>32</v>
      </c>
      <c r="I13" s="12">
        <v>7.6396438941084996</v>
      </c>
      <c r="J13" s="12">
        <v>21.827553983000001</v>
      </c>
      <c r="K13" s="1" t="s">
        <v>89</v>
      </c>
      <c r="L13" s="16">
        <v>1548.9160834740001</v>
      </c>
      <c r="N13" s="16">
        <v>11843.100324515</v>
      </c>
      <c r="O13" s="15">
        <v>24.211276900000001</v>
      </c>
      <c r="P13" s="15">
        <v>6.4707499999999998</v>
      </c>
      <c r="Q13" s="15">
        <v>75.319999999999993</v>
      </c>
      <c r="R13" s="15">
        <v>35.537750000000003</v>
      </c>
      <c r="U13" s="15">
        <v>5.06975</v>
      </c>
      <c r="V13" s="15">
        <v>8.0132499999999993</v>
      </c>
      <c r="W13" s="12">
        <v>0.44269836699999998</v>
      </c>
      <c r="X13" s="15">
        <v>62.963749999999997</v>
      </c>
      <c r="Y13" s="15">
        <v>46.492430218000003</v>
      </c>
      <c r="Z13" s="12"/>
      <c r="AA13" s="1">
        <v>1.25</v>
      </c>
      <c r="AB13" s="16">
        <f>AA13*33.334</f>
        <v>41.667500000000004</v>
      </c>
      <c r="AD13" s="16"/>
      <c r="AE13" s="1">
        <v>0</v>
      </c>
    </row>
    <row r="14" spans="1:31" x14ac:dyDescent="0.2">
      <c r="A14" s="1">
        <v>13</v>
      </c>
      <c r="B14" s="1">
        <v>2021</v>
      </c>
      <c r="C14" s="1" t="s">
        <v>96</v>
      </c>
      <c r="D14" s="28" t="s">
        <v>914</v>
      </c>
      <c r="E14" s="1" t="s">
        <v>750</v>
      </c>
      <c r="F14" s="1" t="s">
        <v>32</v>
      </c>
      <c r="H14" s="1" t="s">
        <v>34</v>
      </c>
      <c r="I14" s="12">
        <v>8.4967672580830005</v>
      </c>
      <c r="J14" s="12">
        <v>24.276477880000002</v>
      </c>
      <c r="K14" s="1" t="s">
        <v>89</v>
      </c>
      <c r="L14" s="16">
        <v>1574.693778757</v>
      </c>
      <c r="N14" s="16">
        <v>13394.193213099999</v>
      </c>
      <c r="O14" s="15">
        <v>35.081806300000004</v>
      </c>
      <c r="P14" s="15">
        <v>5.0017500000000004</v>
      </c>
      <c r="Q14" s="15">
        <v>77.835999999999999</v>
      </c>
      <c r="R14" s="15">
        <v>38.148499999999999</v>
      </c>
      <c r="U14" s="15">
        <v>7.2807500000000003</v>
      </c>
      <c r="V14" s="15">
        <v>7.2084999999999999</v>
      </c>
      <c r="W14" s="12">
        <v>0.44475994600000002</v>
      </c>
      <c r="X14" s="15">
        <v>59.759500000000003</v>
      </c>
      <c r="Y14" s="15">
        <v>47.181324183999998</v>
      </c>
      <c r="Z14" s="12"/>
      <c r="AA14" s="1">
        <v>0.625</v>
      </c>
      <c r="AB14" s="16">
        <f>AA14*33.334</f>
        <v>20.833750000000002</v>
      </c>
      <c r="AD14" s="16"/>
      <c r="AE14" s="1">
        <v>0</v>
      </c>
    </row>
    <row r="15" spans="1:31" x14ac:dyDescent="0.2">
      <c r="A15" s="1">
        <v>14</v>
      </c>
      <c r="B15" s="1">
        <v>2010</v>
      </c>
      <c r="C15" s="1" t="s">
        <v>88</v>
      </c>
      <c r="D15" s="8" t="s">
        <v>90</v>
      </c>
      <c r="E15" s="8" t="s">
        <v>186</v>
      </c>
      <c r="F15" s="1" t="s">
        <v>32</v>
      </c>
      <c r="H15" s="1" t="s">
        <v>34</v>
      </c>
      <c r="I15" s="12">
        <v>10.07</v>
      </c>
      <c r="J15" s="7">
        <v>28.8</v>
      </c>
      <c r="L15" s="14">
        <v>1584</v>
      </c>
      <c r="M15" s="14"/>
      <c r="N15" s="14">
        <v>15987</v>
      </c>
      <c r="O15" s="13">
        <v>26.9</v>
      </c>
      <c r="P15" s="13">
        <v>3.5</v>
      </c>
      <c r="Q15" s="13">
        <v>70.5</v>
      </c>
      <c r="R15" s="13">
        <v>34.9</v>
      </c>
      <c r="S15" s="13"/>
      <c r="T15" s="13"/>
      <c r="U15" s="13">
        <v>47</v>
      </c>
      <c r="V15" s="13">
        <v>0.3</v>
      </c>
      <c r="W15" s="7"/>
      <c r="X15" s="13"/>
      <c r="Y15" s="13">
        <v>53.2</v>
      </c>
      <c r="Z15" s="7">
        <v>2.4700000000000002</v>
      </c>
      <c r="AA15" s="13">
        <v>4</v>
      </c>
      <c r="AB15" s="16">
        <f>AA15*10</f>
        <v>40</v>
      </c>
      <c r="AC15" s="13">
        <v>3.3</v>
      </c>
      <c r="AD15" s="16">
        <f>AC15*10</f>
        <v>33</v>
      </c>
      <c r="AE15" s="1">
        <v>1</v>
      </c>
    </row>
    <row r="16" spans="1:31" x14ac:dyDescent="0.2">
      <c r="A16" s="1">
        <v>15</v>
      </c>
      <c r="B16" s="1">
        <v>2021</v>
      </c>
      <c r="C16" s="1" t="s">
        <v>96</v>
      </c>
      <c r="D16" s="28" t="s">
        <v>914</v>
      </c>
      <c r="E16" s="1" t="s">
        <v>849</v>
      </c>
      <c r="F16" s="1" t="s">
        <v>32</v>
      </c>
      <c r="I16" s="12">
        <v>6.3264451642550004</v>
      </c>
      <c r="J16" s="12">
        <v>18.075557612000001</v>
      </c>
      <c r="K16" s="1" t="s">
        <v>89</v>
      </c>
      <c r="L16" s="16">
        <v>1602.401043196</v>
      </c>
      <c r="N16" s="16">
        <v>10107.481642245</v>
      </c>
      <c r="O16" s="15">
        <v>31.254204200000004</v>
      </c>
      <c r="P16" s="15">
        <v>5.8682499999999997</v>
      </c>
      <c r="Q16" s="15">
        <v>68.045749999999998</v>
      </c>
      <c r="R16" s="15">
        <v>28.9145</v>
      </c>
      <c r="U16" s="15">
        <v>10.124750000000001</v>
      </c>
      <c r="V16" s="15">
        <v>10.66925</v>
      </c>
      <c r="W16" s="12">
        <v>0.45619575000000001</v>
      </c>
      <c r="X16" s="15">
        <v>62.85</v>
      </c>
      <c r="Y16" s="15">
        <v>46.486556837000002</v>
      </c>
      <c r="Z16" s="12"/>
      <c r="AA16" s="1">
        <v>1.875</v>
      </c>
      <c r="AB16" s="16">
        <f>AA16*33.334</f>
        <v>62.501250000000006</v>
      </c>
      <c r="AD16" s="16"/>
      <c r="AE16" s="1">
        <v>0</v>
      </c>
    </row>
    <row r="17" spans="1:31" x14ac:dyDescent="0.2">
      <c r="A17" s="1">
        <v>16</v>
      </c>
      <c r="B17" s="1">
        <v>2010</v>
      </c>
      <c r="C17" s="1" t="s">
        <v>96</v>
      </c>
      <c r="D17" s="8" t="s">
        <v>187</v>
      </c>
      <c r="E17" s="8" t="s">
        <v>194</v>
      </c>
      <c r="F17" s="8" t="s">
        <v>32</v>
      </c>
      <c r="G17" s="8"/>
      <c r="H17" s="8" t="s">
        <v>34</v>
      </c>
      <c r="I17" s="12">
        <v>11</v>
      </c>
      <c r="J17" s="7">
        <v>31.3</v>
      </c>
      <c r="K17" s="13"/>
      <c r="L17" s="14">
        <v>1617</v>
      </c>
      <c r="M17" s="14"/>
      <c r="N17" s="14">
        <v>17800</v>
      </c>
      <c r="O17" s="13">
        <v>28.4</v>
      </c>
      <c r="P17" s="13">
        <v>3.4</v>
      </c>
      <c r="Q17" s="13">
        <v>68.2</v>
      </c>
      <c r="R17" s="13">
        <v>41.5</v>
      </c>
      <c r="S17" s="13"/>
      <c r="T17" s="13">
        <v>46.5</v>
      </c>
      <c r="U17" s="15"/>
      <c r="V17" s="15"/>
      <c r="W17" s="12"/>
      <c r="X17" s="15"/>
      <c r="Y17" s="13">
        <v>51.8</v>
      </c>
      <c r="Z17" s="7">
        <v>3.11</v>
      </c>
      <c r="AA17" s="13">
        <v>1</v>
      </c>
      <c r="AB17" s="16">
        <f t="shared" ref="AB17:AB25" si="2">AA17*10</f>
        <v>10</v>
      </c>
      <c r="AC17" s="13">
        <v>1</v>
      </c>
      <c r="AD17" s="16">
        <f>AC17*10</f>
        <v>10</v>
      </c>
      <c r="AE17" s="1">
        <v>0</v>
      </c>
    </row>
    <row r="18" spans="1:31" x14ac:dyDescent="0.2">
      <c r="A18" s="1">
        <v>17</v>
      </c>
      <c r="B18" s="1">
        <v>2011</v>
      </c>
      <c r="C18" s="1" t="s">
        <v>96</v>
      </c>
      <c r="D18" s="8" t="s">
        <v>187</v>
      </c>
      <c r="E18" s="8" t="s">
        <v>194</v>
      </c>
      <c r="F18" s="1" t="s">
        <v>32</v>
      </c>
      <c r="H18" s="1" t="s">
        <v>34</v>
      </c>
      <c r="I18" s="12">
        <v>12.4</v>
      </c>
      <c r="J18" s="12">
        <v>21.6428571428571</v>
      </c>
      <c r="K18" s="13"/>
      <c r="L18" s="14">
        <v>1625</v>
      </c>
      <c r="M18" s="14"/>
      <c r="N18" s="14">
        <v>20078</v>
      </c>
      <c r="O18" s="13">
        <v>28.1</v>
      </c>
      <c r="P18" s="13">
        <v>4.7</v>
      </c>
      <c r="Q18" s="13">
        <v>71.400000000000006</v>
      </c>
      <c r="R18" s="13">
        <v>46.5</v>
      </c>
      <c r="T18" s="15"/>
      <c r="U18" s="15" t="s">
        <v>89</v>
      </c>
      <c r="V18" s="13">
        <v>0</v>
      </c>
      <c r="W18" s="12" t="s">
        <v>89</v>
      </c>
      <c r="X18" s="15" t="s">
        <v>89</v>
      </c>
      <c r="Y18" s="13">
        <v>51.6</v>
      </c>
      <c r="Z18" s="7">
        <v>4.0999999999999996</v>
      </c>
      <c r="AA18" s="8">
        <v>0</v>
      </c>
      <c r="AB18" s="16">
        <f t="shared" si="2"/>
        <v>0</v>
      </c>
      <c r="AC18" s="13">
        <v>0.5</v>
      </c>
      <c r="AD18" s="16">
        <f>AC18*10</f>
        <v>5</v>
      </c>
      <c r="AE18" s="1">
        <v>0</v>
      </c>
    </row>
    <row r="19" spans="1:31" x14ac:dyDescent="0.2">
      <c r="A19" s="1">
        <v>18</v>
      </c>
      <c r="B19" s="1">
        <v>2012</v>
      </c>
      <c r="C19" s="1" t="s">
        <v>88</v>
      </c>
      <c r="D19" s="8" t="s">
        <v>332</v>
      </c>
      <c r="E19" s="8" t="s">
        <v>334</v>
      </c>
      <c r="F19" s="1" t="s">
        <v>32</v>
      </c>
      <c r="H19" s="1" t="s">
        <v>34</v>
      </c>
      <c r="I19" s="12">
        <v>11.7</v>
      </c>
      <c r="J19" s="7">
        <v>33.428571428571402</v>
      </c>
      <c r="K19" s="13"/>
      <c r="L19" s="14">
        <v>1626</v>
      </c>
      <c r="M19" s="14"/>
      <c r="N19" s="14">
        <v>19049</v>
      </c>
      <c r="O19" s="13">
        <v>30.1</v>
      </c>
      <c r="P19" s="13">
        <v>3</v>
      </c>
      <c r="Q19" s="13">
        <v>77.2</v>
      </c>
      <c r="R19" s="13">
        <v>43.4</v>
      </c>
      <c r="S19" s="13"/>
      <c r="T19" s="13"/>
      <c r="U19" s="13">
        <v>4</v>
      </c>
      <c r="V19" s="13">
        <v>0.3</v>
      </c>
      <c r="W19" s="7">
        <v>0.52</v>
      </c>
      <c r="X19" s="15"/>
      <c r="Y19" s="15"/>
      <c r="Z19" s="7">
        <v>3.92</v>
      </c>
      <c r="AA19" s="7">
        <v>1.8</v>
      </c>
      <c r="AB19" s="16">
        <f t="shared" si="2"/>
        <v>18</v>
      </c>
      <c r="AC19" s="7">
        <v>0</v>
      </c>
      <c r="AD19" s="16">
        <f>AC19*10</f>
        <v>0</v>
      </c>
      <c r="AE19" s="1">
        <v>1</v>
      </c>
    </row>
    <row r="20" spans="1:31" x14ac:dyDescent="0.2">
      <c r="A20" s="1">
        <v>19</v>
      </c>
      <c r="B20" s="1">
        <v>2013</v>
      </c>
      <c r="C20" s="1" t="s">
        <v>88</v>
      </c>
      <c r="D20" s="8" t="s">
        <v>1023</v>
      </c>
      <c r="E20" s="8" t="s">
        <v>388</v>
      </c>
      <c r="F20" s="1" t="s">
        <v>32</v>
      </c>
      <c r="I20" s="12">
        <v>8.0500000000000007</v>
      </c>
      <c r="J20" s="7">
        <v>23</v>
      </c>
      <c r="K20" s="13"/>
      <c r="L20" s="14">
        <v>1628</v>
      </c>
      <c r="M20" s="14"/>
      <c r="N20" s="14">
        <v>13102</v>
      </c>
      <c r="O20" s="13">
        <v>26.9</v>
      </c>
      <c r="P20" s="13">
        <v>2.5</v>
      </c>
      <c r="Q20" s="13">
        <v>76.400000000000006</v>
      </c>
      <c r="R20" s="13">
        <v>44.8</v>
      </c>
      <c r="S20" s="13" t="s">
        <v>89</v>
      </c>
      <c r="T20" s="13"/>
      <c r="U20" s="13">
        <v>2.4</v>
      </c>
      <c r="V20" s="13">
        <v>0.2</v>
      </c>
      <c r="W20" s="7">
        <v>0.47</v>
      </c>
      <c r="X20" s="13">
        <v>57.8</v>
      </c>
      <c r="Y20" s="13">
        <v>47.3</v>
      </c>
      <c r="Z20" s="7">
        <v>2.75</v>
      </c>
      <c r="AA20" s="13">
        <v>2.5</v>
      </c>
      <c r="AB20" s="16">
        <f t="shared" si="2"/>
        <v>25</v>
      </c>
      <c r="AC20" s="13">
        <v>0</v>
      </c>
      <c r="AD20" s="16">
        <f>AC127*10</f>
        <v>25</v>
      </c>
      <c r="AE20" s="1">
        <v>1</v>
      </c>
    </row>
    <row r="21" spans="1:31" x14ac:dyDescent="0.2">
      <c r="A21" s="1">
        <v>20</v>
      </c>
      <c r="B21" s="1">
        <v>2014</v>
      </c>
      <c r="C21" s="1" t="s">
        <v>88</v>
      </c>
      <c r="D21" s="8" t="s">
        <v>1023</v>
      </c>
      <c r="E21" s="8" t="s">
        <v>388</v>
      </c>
      <c r="F21" s="8" t="s">
        <v>83</v>
      </c>
      <c r="G21" s="8"/>
      <c r="H21" s="8" t="s">
        <v>34</v>
      </c>
      <c r="I21" s="12">
        <v>13.87</v>
      </c>
      <c r="J21" s="7">
        <v>39.6</v>
      </c>
      <c r="K21" s="13"/>
      <c r="L21" s="14">
        <v>1657</v>
      </c>
      <c r="M21" s="8"/>
      <c r="N21" s="14">
        <v>22978</v>
      </c>
      <c r="O21" s="13">
        <v>31.8</v>
      </c>
      <c r="P21" s="13">
        <v>3.9</v>
      </c>
      <c r="Q21" s="13">
        <v>73.8</v>
      </c>
      <c r="R21" s="13">
        <v>43.3</v>
      </c>
      <c r="S21" s="13"/>
      <c r="T21" s="13"/>
      <c r="U21" s="13">
        <v>1.2</v>
      </c>
      <c r="V21" s="13">
        <v>0.5</v>
      </c>
      <c r="W21" s="7">
        <v>0.49</v>
      </c>
      <c r="X21" s="15"/>
      <c r="Y21" s="13">
        <v>48.9</v>
      </c>
      <c r="Z21" s="7">
        <v>4.43</v>
      </c>
      <c r="AA21" s="13">
        <v>3</v>
      </c>
      <c r="AB21" s="16">
        <f t="shared" si="2"/>
        <v>30</v>
      </c>
      <c r="AC21" s="8">
        <v>1</v>
      </c>
      <c r="AD21" s="16">
        <f>AC21*10</f>
        <v>10</v>
      </c>
      <c r="AE21" s="1">
        <v>1</v>
      </c>
    </row>
    <row r="22" spans="1:31" x14ac:dyDescent="0.2">
      <c r="A22" s="1">
        <v>21</v>
      </c>
      <c r="B22" s="1">
        <v>2012</v>
      </c>
      <c r="C22" s="1" t="s">
        <v>88</v>
      </c>
      <c r="D22" s="8" t="s">
        <v>332</v>
      </c>
      <c r="E22" s="8" t="s">
        <v>333</v>
      </c>
      <c r="F22" s="1" t="s">
        <v>83</v>
      </c>
      <c r="I22" s="12">
        <v>5.44</v>
      </c>
      <c r="J22" s="7">
        <v>15.5</v>
      </c>
      <c r="K22" s="13"/>
      <c r="L22" s="14">
        <v>1661</v>
      </c>
      <c r="M22" s="14"/>
      <c r="N22" s="14">
        <v>9059</v>
      </c>
      <c r="O22" s="13">
        <v>27.7</v>
      </c>
      <c r="P22" s="13">
        <v>6.06</v>
      </c>
      <c r="Q22" s="13">
        <v>74.099999999999994</v>
      </c>
      <c r="R22" s="13">
        <v>36.799999999999997</v>
      </c>
      <c r="S22" s="13"/>
      <c r="T22" s="13"/>
      <c r="U22" s="13">
        <v>3.4</v>
      </c>
      <c r="V22" s="13">
        <v>0.2</v>
      </c>
      <c r="W22" s="7">
        <v>0.5</v>
      </c>
      <c r="X22" s="15"/>
      <c r="Y22" s="15"/>
      <c r="Z22" s="7">
        <v>1.448</v>
      </c>
      <c r="AA22" s="7">
        <v>8</v>
      </c>
      <c r="AB22" s="16">
        <f t="shared" si="2"/>
        <v>80</v>
      </c>
      <c r="AC22" s="7">
        <v>0</v>
      </c>
      <c r="AD22" s="16">
        <f>AC22*10</f>
        <v>0</v>
      </c>
      <c r="AE22" s="1">
        <v>1</v>
      </c>
    </row>
    <row r="23" spans="1:31" x14ac:dyDescent="0.2">
      <c r="A23" s="1">
        <v>22</v>
      </c>
      <c r="B23" s="1">
        <v>2010</v>
      </c>
      <c r="C23" s="1" t="s">
        <v>96</v>
      </c>
      <c r="D23" s="8" t="s">
        <v>90</v>
      </c>
      <c r="E23" s="8" t="s">
        <v>101</v>
      </c>
      <c r="F23" s="8" t="s">
        <v>83</v>
      </c>
      <c r="G23" s="8"/>
      <c r="H23" s="8"/>
      <c r="I23" s="12">
        <v>8.1199999999999992</v>
      </c>
      <c r="J23" s="7">
        <v>30.1</v>
      </c>
      <c r="K23" s="13"/>
      <c r="L23" s="14">
        <v>1663</v>
      </c>
      <c r="M23" s="14" t="s">
        <v>34</v>
      </c>
      <c r="N23" s="14">
        <v>13492</v>
      </c>
      <c r="O23" s="13">
        <v>26.1</v>
      </c>
      <c r="P23" s="13">
        <v>7.9</v>
      </c>
      <c r="Q23" s="13">
        <v>57.3</v>
      </c>
      <c r="R23" s="13">
        <v>42.7</v>
      </c>
      <c r="S23" s="13"/>
      <c r="T23" s="13">
        <v>39</v>
      </c>
      <c r="U23" s="15"/>
      <c r="V23" s="15"/>
      <c r="W23" s="12"/>
      <c r="X23" s="15"/>
      <c r="Y23" s="13">
        <v>57.3</v>
      </c>
      <c r="Z23" s="7">
        <v>1.98</v>
      </c>
      <c r="AA23" s="13">
        <v>1</v>
      </c>
      <c r="AB23" s="16">
        <f t="shared" si="2"/>
        <v>10</v>
      </c>
      <c r="AC23" s="13">
        <v>1</v>
      </c>
      <c r="AD23" s="16">
        <f>AC23*10</f>
        <v>10</v>
      </c>
      <c r="AE23" s="1">
        <v>0</v>
      </c>
    </row>
    <row r="24" spans="1:31" x14ac:dyDescent="0.2">
      <c r="A24" s="1">
        <v>23</v>
      </c>
      <c r="B24" s="1">
        <v>2015</v>
      </c>
      <c r="C24" s="8" t="s">
        <v>96</v>
      </c>
      <c r="D24" s="8" t="s">
        <v>90</v>
      </c>
      <c r="E24" s="8" t="s">
        <v>100</v>
      </c>
      <c r="F24" s="1" t="s">
        <v>32</v>
      </c>
      <c r="I24" s="12">
        <v>10.57</v>
      </c>
      <c r="J24" s="7">
        <v>30.2</v>
      </c>
      <c r="L24" s="14">
        <v>1664</v>
      </c>
      <c r="N24" s="14">
        <v>17625</v>
      </c>
      <c r="O24" s="13">
        <v>27.9</v>
      </c>
      <c r="P24" s="13">
        <v>5.9</v>
      </c>
      <c r="Q24" s="13">
        <v>74.3</v>
      </c>
      <c r="R24" s="13">
        <v>34.799999999999997</v>
      </c>
      <c r="S24" s="8"/>
      <c r="T24" s="15" t="s">
        <v>89</v>
      </c>
      <c r="U24" s="13">
        <v>1.4</v>
      </c>
      <c r="V24" s="13">
        <v>9.4</v>
      </c>
      <c r="W24" s="7">
        <v>0.49</v>
      </c>
      <c r="X24" s="13"/>
      <c r="Y24" s="13">
        <v>37.6</v>
      </c>
      <c r="Z24" s="7">
        <v>2.73</v>
      </c>
      <c r="AA24" s="13">
        <v>1</v>
      </c>
      <c r="AB24" s="16">
        <f t="shared" si="2"/>
        <v>10</v>
      </c>
      <c r="AC24" s="13">
        <v>1</v>
      </c>
      <c r="AD24" s="16">
        <f>AC24*10</f>
        <v>10</v>
      </c>
      <c r="AE24" s="1">
        <v>0</v>
      </c>
    </row>
    <row r="25" spans="1:31" x14ac:dyDescent="0.2">
      <c r="A25" s="1">
        <v>24</v>
      </c>
      <c r="B25" s="1">
        <v>2012</v>
      </c>
      <c r="C25" s="1" t="s">
        <v>96</v>
      </c>
      <c r="D25" s="8" t="s">
        <v>332</v>
      </c>
      <c r="E25" s="8" t="s">
        <v>343</v>
      </c>
      <c r="F25" s="1" t="s">
        <v>32</v>
      </c>
      <c r="H25" s="1" t="s">
        <v>34</v>
      </c>
      <c r="I25" s="12">
        <v>10.210000000000001</v>
      </c>
      <c r="J25" s="7">
        <v>29.171428571428599</v>
      </c>
      <c r="K25" s="13"/>
      <c r="L25" s="14">
        <v>1726</v>
      </c>
      <c r="M25" s="14"/>
      <c r="N25" s="14">
        <v>17649</v>
      </c>
      <c r="O25" s="13">
        <v>27.4</v>
      </c>
      <c r="P25" s="13">
        <v>4.9000000000000004</v>
      </c>
      <c r="Q25" s="13">
        <v>68.3</v>
      </c>
      <c r="R25" s="13">
        <v>45.6</v>
      </c>
      <c r="S25" s="13"/>
      <c r="T25" s="13"/>
      <c r="U25" s="13">
        <v>4.5</v>
      </c>
      <c r="V25" s="13">
        <v>0.2</v>
      </c>
      <c r="W25" s="7">
        <v>0.53</v>
      </c>
      <c r="X25" s="15"/>
      <c r="Y25" s="15"/>
      <c r="Z25" s="7">
        <v>3.18</v>
      </c>
      <c r="AA25" s="7">
        <v>2.1</v>
      </c>
      <c r="AB25" s="16">
        <f t="shared" si="2"/>
        <v>21</v>
      </c>
      <c r="AC25" s="7">
        <v>0</v>
      </c>
      <c r="AD25" s="16">
        <f>AC25*10</f>
        <v>0</v>
      </c>
      <c r="AE25" s="1">
        <v>0</v>
      </c>
    </row>
    <row r="26" spans="1:31" x14ac:dyDescent="0.2">
      <c r="A26" s="1">
        <v>25</v>
      </c>
      <c r="B26" s="1">
        <v>2020</v>
      </c>
      <c r="C26" s="1" t="s">
        <v>96</v>
      </c>
      <c r="D26" s="1" t="s">
        <v>1023</v>
      </c>
      <c r="E26" s="1" t="s">
        <v>797</v>
      </c>
      <c r="F26" s="1" t="s">
        <v>83</v>
      </c>
      <c r="I26" s="12">
        <v>3.9237600000000001</v>
      </c>
      <c r="J26" s="12">
        <v>11.210699999999999</v>
      </c>
      <c r="K26" s="1" t="s">
        <v>34</v>
      </c>
      <c r="L26" s="16">
        <v>1730.84</v>
      </c>
      <c r="N26" s="16">
        <v>7224.21</v>
      </c>
      <c r="O26" s="10">
        <v>29.509999999999998</v>
      </c>
      <c r="P26" s="15">
        <v>7.9775</v>
      </c>
      <c r="Q26" s="15">
        <v>72.135000000000005</v>
      </c>
      <c r="R26" s="15">
        <v>28.984999999999999</v>
      </c>
      <c r="S26" s="15"/>
      <c r="T26" s="15">
        <v>40.7425</v>
      </c>
      <c r="U26" s="15">
        <v>2.2174999999999998</v>
      </c>
      <c r="V26" s="15">
        <v>6.8925000000000001</v>
      </c>
      <c r="W26" s="12">
        <v>0.47260000000000008</v>
      </c>
      <c r="X26" s="15"/>
      <c r="Y26" s="15">
        <v>48.528799999999997</v>
      </c>
      <c r="Z26" s="12"/>
      <c r="AA26" s="15">
        <v>1.375</v>
      </c>
      <c r="AB26" s="16">
        <f>AA26*33.334</f>
        <v>45.834250000000004</v>
      </c>
      <c r="AC26" s="15">
        <v>0.5</v>
      </c>
      <c r="AD26" s="16">
        <f>AC26*33.334</f>
        <v>16.667000000000002</v>
      </c>
      <c r="AE26" s="1">
        <v>0</v>
      </c>
    </row>
    <row r="27" spans="1:31" x14ac:dyDescent="0.2">
      <c r="A27" s="1">
        <v>26</v>
      </c>
      <c r="B27" s="1">
        <v>2020</v>
      </c>
      <c r="C27" s="1" t="s">
        <v>96</v>
      </c>
      <c r="D27" s="28" t="s">
        <v>914</v>
      </c>
      <c r="E27" s="1" t="s">
        <v>753</v>
      </c>
      <c r="F27" s="1" t="s">
        <v>83</v>
      </c>
      <c r="I27" s="12">
        <v>5.37</v>
      </c>
      <c r="J27" s="12">
        <v>15.3424</v>
      </c>
      <c r="K27" s="1" t="s">
        <v>34</v>
      </c>
      <c r="L27" s="16">
        <v>1734.55</v>
      </c>
      <c r="N27" s="16">
        <v>8778.09</v>
      </c>
      <c r="O27" s="10">
        <v>29.709999999999997</v>
      </c>
      <c r="P27" s="15">
        <v>7.45</v>
      </c>
      <c r="Q27" s="15">
        <v>68.075000000000003</v>
      </c>
      <c r="R27" s="15">
        <v>26.522500000000001</v>
      </c>
      <c r="S27" s="15"/>
      <c r="T27" s="15">
        <v>39.442500000000003</v>
      </c>
      <c r="U27" s="15">
        <v>6.2474999999999996</v>
      </c>
      <c r="V27" s="15">
        <v>7.27</v>
      </c>
      <c r="W27" s="12">
        <v>0.47889999999999999</v>
      </c>
      <c r="X27" s="15"/>
      <c r="Y27" s="15">
        <v>47.743499999999997</v>
      </c>
      <c r="Z27" s="12"/>
      <c r="AA27" s="15">
        <v>1.375</v>
      </c>
      <c r="AB27" s="16">
        <f>AA27*33.334</f>
        <v>45.834250000000004</v>
      </c>
      <c r="AC27" s="15">
        <v>1.25</v>
      </c>
      <c r="AD27" s="16">
        <f>AC27*33.334</f>
        <v>41.667500000000004</v>
      </c>
      <c r="AE27" s="1">
        <v>0</v>
      </c>
    </row>
    <row r="28" spans="1:31" x14ac:dyDescent="0.2">
      <c r="A28" s="1">
        <v>27</v>
      </c>
      <c r="B28" s="1">
        <v>2014</v>
      </c>
      <c r="C28" s="1" t="s">
        <v>88</v>
      </c>
      <c r="D28" s="8" t="s">
        <v>459</v>
      </c>
      <c r="E28" s="8" t="s">
        <v>460</v>
      </c>
      <c r="F28" s="8" t="s">
        <v>83</v>
      </c>
      <c r="G28" s="8"/>
      <c r="H28" s="8" t="s">
        <v>34</v>
      </c>
      <c r="I28" s="12">
        <v>13.87</v>
      </c>
      <c r="J28" s="7">
        <v>39.6</v>
      </c>
      <c r="K28" s="13"/>
      <c r="L28" s="14">
        <v>1748</v>
      </c>
      <c r="M28" s="14"/>
      <c r="N28" s="14">
        <v>24128</v>
      </c>
      <c r="O28" s="13">
        <v>30.9</v>
      </c>
      <c r="P28" s="13">
        <v>4.9000000000000004</v>
      </c>
      <c r="Q28" s="13">
        <v>72.5</v>
      </c>
      <c r="R28" s="13">
        <v>44.8</v>
      </c>
      <c r="S28" s="13"/>
      <c r="T28" s="13"/>
      <c r="U28" s="13">
        <v>1.8</v>
      </c>
      <c r="V28" s="13">
        <v>0.7</v>
      </c>
      <c r="W28" s="7">
        <v>0.49</v>
      </c>
      <c r="X28" s="15"/>
      <c r="Y28" s="13">
        <v>49.2</v>
      </c>
      <c r="Z28" s="7">
        <v>4.49</v>
      </c>
      <c r="AA28" s="13">
        <v>2.8</v>
      </c>
      <c r="AB28" s="16">
        <f>AA28*10</f>
        <v>28</v>
      </c>
      <c r="AC28" s="8">
        <v>1</v>
      </c>
      <c r="AD28" s="16">
        <f>AC28*10</f>
        <v>10</v>
      </c>
      <c r="AE28" s="1">
        <v>1</v>
      </c>
    </row>
    <row r="29" spans="1:31" x14ac:dyDescent="0.2">
      <c r="A29" s="1">
        <v>28</v>
      </c>
      <c r="B29" s="1">
        <v>2011</v>
      </c>
      <c r="C29" s="1" t="s">
        <v>88</v>
      </c>
      <c r="D29" s="8" t="s">
        <v>90</v>
      </c>
      <c r="E29" s="8" t="s">
        <v>234</v>
      </c>
      <c r="F29" s="1" t="s">
        <v>32</v>
      </c>
      <c r="I29" s="12">
        <v>11.61</v>
      </c>
      <c r="J29" s="12">
        <v>22.828571428571401</v>
      </c>
      <c r="K29" s="13"/>
      <c r="L29" s="14">
        <v>1766</v>
      </c>
      <c r="M29" s="14" t="s">
        <v>34</v>
      </c>
      <c r="N29" s="14">
        <v>20542</v>
      </c>
      <c r="O29" s="13">
        <v>26.4</v>
      </c>
      <c r="P29" s="13">
        <v>3.5</v>
      </c>
      <c r="Q29" s="13">
        <v>72.900000000000006</v>
      </c>
      <c r="R29" s="13">
        <v>50.9</v>
      </c>
      <c r="T29" s="15"/>
      <c r="U29" s="15" t="s">
        <v>89</v>
      </c>
      <c r="V29" s="13">
        <v>0</v>
      </c>
      <c r="W29" s="12" t="s">
        <v>89</v>
      </c>
      <c r="X29" s="15" t="s">
        <v>89</v>
      </c>
      <c r="Y29" s="13">
        <v>56.1</v>
      </c>
      <c r="Z29" s="7">
        <v>4.32</v>
      </c>
      <c r="AA29" s="1">
        <v>1.8</v>
      </c>
      <c r="AB29" s="16">
        <f>AA29*10</f>
        <v>18</v>
      </c>
      <c r="AC29" s="1">
        <v>1.8</v>
      </c>
      <c r="AD29" s="16">
        <f>AC29*10</f>
        <v>18</v>
      </c>
      <c r="AE29" s="1">
        <v>1</v>
      </c>
    </row>
    <row r="30" spans="1:31" x14ac:dyDescent="0.2">
      <c r="A30" s="1">
        <v>29</v>
      </c>
      <c r="B30" s="1">
        <v>2010</v>
      </c>
      <c r="C30" s="1" t="s">
        <v>88</v>
      </c>
      <c r="D30" s="8" t="s">
        <v>90</v>
      </c>
      <c r="E30" s="8" t="s">
        <v>189</v>
      </c>
      <c r="F30" s="1" t="s">
        <v>83</v>
      </c>
      <c r="I30" s="12">
        <v>6.75</v>
      </c>
      <c r="J30" s="7">
        <v>19.285714285714299</v>
      </c>
      <c r="L30" s="16">
        <v>1780</v>
      </c>
      <c r="N30" s="16">
        <v>12046</v>
      </c>
      <c r="O30" s="15">
        <v>27.1</v>
      </c>
      <c r="P30" s="15">
        <v>7.3</v>
      </c>
      <c r="Q30" s="15">
        <v>51.6</v>
      </c>
      <c r="R30" s="15">
        <v>54.8</v>
      </c>
      <c r="T30" s="15"/>
      <c r="U30" s="15">
        <v>33.1</v>
      </c>
      <c r="V30" s="15">
        <v>2.2999999999999998</v>
      </c>
      <c r="W30" s="12"/>
      <c r="X30" s="15"/>
      <c r="Y30" s="15">
        <v>62.9</v>
      </c>
      <c r="Z30" s="12">
        <v>1.91</v>
      </c>
      <c r="AA30" s="13">
        <v>4</v>
      </c>
      <c r="AB30" s="16">
        <f>AA30*10</f>
        <v>40</v>
      </c>
      <c r="AC30" s="13">
        <v>3.5</v>
      </c>
      <c r="AD30" s="16">
        <f>AC30*10</f>
        <v>35</v>
      </c>
      <c r="AE30" s="1">
        <v>1</v>
      </c>
    </row>
    <row r="31" spans="1:31" x14ac:dyDescent="0.2">
      <c r="A31" s="1">
        <v>30</v>
      </c>
      <c r="B31" s="1">
        <v>2021</v>
      </c>
      <c r="C31" s="1" t="s">
        <v>88</v>
      </c>
      <c r="D31" s="28" t="s">
        <v>914</v>
      </c>
      <c r="E31" s="1" t="s">
        <v>831</v>
      </c>
      <c r="F31" s="1" t="s">
        <v>32</v>
      </c>
      <c r="I31" s="12">
        <v>6.6693463710945</v>
      </c>
      <c r="J31" s="12">
        <v>19.055275345999998</v>
      </c>
      <c r="L31" s="16">
        <v>1792.9634401779999</v>
      </c>
      <c r="N31" s="16">
        <v>11793.690800273</v>
      </c>
      <c r="O31" s="15">
        <v>29.168441600000001</v>
      </c>
      <c r="P31" s="15">
        <v>4.6639999999999997</v>
      </c>
      <c r="Q31" s="15">
        <v>64.805750000000003</v>
      </c>
      <c r="R31" s="15">
        <v>29.260249999999999</v>
      </c>
      <c r="U31" s="15">
        <v>13.225250000000001</v>
      </c>
      <c r="V31" s="15">
        <v>13.747</v>
      </c>
      <c r="W31" s="12">
        <v>0.48274580900000003</v>
      </c>
      <c r="X31" s="15">
        <v>71.438500000000005</v>
      </c>
      <c r="Y31" s="15">
        <v>49.657109009000003</v>
      </c>
      <c r="Z31" s="12"/>
      <c r="AA31" s="15">
        <v>1.25</v>
      </c>
      <c r="AB31" s="16">
        <f>AA31*33.334</f>
        <v>41.667500000000004</v>
      </c>
      <c r="AC31" s="1">
        <v>0.5</v>
      </c>
      <c r="AD31" s="16">
        <f>AC31*33.334</f>
        <v>16.667000000000002</v>
      </c>
      <c r="AE31" s="1">
        <v>1</v>
      </c>
    </row>
    <row r="32" spans="1:31" x14ac:dyDescent="0.2">
      <c r="A32" s="1">
        <v>31</v>
      </c>
      <c r="B32" s="1">
        <v>2016</v>
      </c>
      <c r="C32" s="1" t="s">
        <v>96</v>
      </c>
      <c r="D32" s="8" t="s">
        <v>246</v>
      </c>
      <c r="E32" s="8" t="s">
        <v>590</v>
      </c>
      <c r="F32" s="1" t="s">
        <v>32</v>
      </c>
      <c r="H32" s="1" t="s">
        <v>34</v>
      </c>
      <c r="I32" s="12">
        <v>14.1</v>
      </c>
      <c r="J32" s="7">
        <v>40.299999999999997</v>
      </c>
      <c r="L32" s="5">
        <v>1793.25</v>
      </c>
      <c r="M32" s="1" t="s">
        <v>34</v>
      </c>
      <c r="N32" s="5">
        <v>25252</v>
      </c>
      <c r="O32" s="6">
        <v>31.26</v>
      </c>
      <c r="P32" s="6">
        <v>4.3899999999999997</v>
      </c>
      <c r="Q32" s="6">
        <v>73.152500000000003</v>
      </c>
      <c r="R32" s="6">
        <v>34.012500000000003</v>
      </c>
      <c r="S32" s="6"/>
      <c r="T32" s="6">
        <v>49.777500000000003</v>
      </c>
      <c r="U32" s="6">
        <v>0.69499999999999995</v>
      </c>
      <c r="V32" s="6">
        <v>11.86</v>
      </c>
      <c r="W32" s="3">
        <v>0.5</v>
      </c>
      <c r="X32" s="6"/>
      <c r="Y32" s="6">
        <v>39.33</v>
      </c>
      <c r="Z32" s="3">
        <v>3.51</v>
      </c>
      <c r="AA32" s="6">
        <v>3</v>
      </c>
      <c r="AB32" s="16">
        <f>AA32*10</f>
        <v>30</v>
      </c>
      <c r="AC32" s="6">
        <v>1</v>
      </c>
      <c r="AD32" s="16">
        <f>AC32*10</f>
        <v>10</v>
      </c>
      <c r="AE32" s="1">
        <v>0</v>
      </c>
    </row>
    <row r="33" spans="1:31" x14ac:dyDescent="0.2">
      <c r="A33" s="1">
        <v>32</v>
      </c>
      <c r="B33" s="1">
        <v>2015</v>
      </c>
      <c r="C33" s="8" t="s">
        <v>88</v>
      </c>
      <c r="D33" s="8" t="s">
        <v>90</v>
      </c>
      <c r="E33" s="8" t="s">
        <v>247</v>
      </c>
      <c r="F33" s="1" t="s">
        <v>32</v>
      </c>
      <c r="H33" s="1" t="s">
        <v>34</v>
      </c>
      <c r="I33" s="12">
        <v>12.3</v>
      </c>
      <c r="J33" s="7">
        <v>35.1</v>
      </c>
      <c r="L33" s="14">
        <v>1797</v>
      </c>
      <c r="N33" s="14">
        <v>22041</v>
      </c>
      <c r="O33" s="13">
        <v>25.8</v>
      </c>
      <c r="P33" s="13">
        <v>5.9</v>
      </c>
      <c r="Q33" s="13">
        <v>75.3</v>
      </c>
      <c r="R33" s="13">
        <v>38.299999999999997</v>
      </c>
      <c r="S33" s="8"/>
      <c r="T33" s="15" t="s">
        <v>89</v>
      </c>
      <c r="U33" s="13">
        <v>1.4</v>
      </c>
      <c r="V33" s="13">
        <v>8.1</v>
      </c>
      <c r="W33" s="7">
        <v>0.5</v>
      </c>
      <c r="X33" s="13"/>
      <c r="Y33" s="13">
        <v>40.1</v>
      </c>
      <c r="Z33" s="7">
        <v>3.54</v>
      </c>
      <c r="AA33" s="13">
        <v>1</v>
      </c>
      <c r="AB33" s="16">
        <f>AA33*10</f>
        <v>10</v>
      </c>
      <c r="AC33" s="13">
        <v>1</v>
      </c>
      <c r="AD33" s="16">
        <f>AC33*10</f>
        <v>10</v>
      </c>
      <c r="AE33" s="1">
        <v>1</v>
      </c>
    </row>
    <row r="34" spans="1:31" x14ac:dyDescent="0.2">
      <c r="A34" s="1">
        <v>33</v>
      </c>
      <c r="B34" s="1">
        <v>2008</v>
      </c>
      <c r="C34" s="8" t="s">
        <v>96</v>
      </c>
      <c r="D34" s="8" t="s">
        <v>90</v>
      </c>
      <c r="E34" s="8" t="s">
        <v>100</v>
      </c>
      <c r="F34" s="8" t="s">
        <v>32</v>
      </c>
      <c r="G34" s="8"/>
      <c r="H34" s="8" t="s">
        <v>34</v>
      </c>
      <c r="I34" s="12">
        <v>10.39</v>
      </c>
      <c r="J34" s="7">
        <v>29.7</v>
      </c>
      <c r="K34" s="13"/>
      <c r="L34" s="14">
        <v>1808</v>
      </c>
      <c r="M34" s="14"/>
      <c r="N34" s="14">
        <v>18663</v>
      </c>
      <c r="O34" s="13">
        <v>28.4</v>
      </c>
      <c r="P34" s="13">
        <v>6.5</v>
      </c>
      <c r="Q34" s="13">
        <v>67.2</v>
      </c>
      <c r="R34" s="13">
        <v>38</v>
      </c>
      <c r="S34" s="13"/>
      <c r="T34" s="13"/>
      <c r="U34" s="13">
        <v>43.8</v>
      </c>
      <c r="V34" s="15" t="s">
        <v>89</v>
      </c>
      <c r="X34" s="15"/>
      <c r="Y34" s="13">
        <v>52.6</v>
      </c>
      <c r="Z34" s="7">
        <v>2.64</v>
      </c>
      <c r="AB34" s="16"/>
      <c r="AD34" s="16"/>
      <c r="AE34" s="1">
        <v>0</v>
      </c>
    </row>
    <row r="35" spans="1:31" x14ac:dyDescent="0.2">
      <c r="A35" s="1">
        <v>34</v>
      </c>
      <c r="B35" s="1">
        <v>2021</v>
      </c>
      <c r="C35" s="1" t="s">
        <v>96</v>
      </c>
      <c r="D35" s="28" t="s">
        <v>914</v>
      </c>
      <c r="E35" s="1" t="s">
        <v>850</v>
      </c>
      <c r="F35" s="1" t="s">
        <v>32</v>
      </c>
      <c r="I35" s="12">
        <v>5.0860905859855006</v>
      </c>
      <c r="J35" s="12">
        <v>14.531687389</v>
      </c>
      <c r="K35" s="1" t="s">
        <v>89</v>
      </c>
      <c r="L35" s="16">
        <v>1810.2322381930001</v>
      </c>
      <c r="N35" s="16">
        <v>9206.4158134900008</v>
      </c>
      <c r="O35" s="15">
        <v>29.1723128</v>
      </c>
      <c r="P35" s="15">
        <v>5.9710000000000001</v>
      </c>
      <c r="Q35" s="15">
        <v>71.359499999999997</v>
      </c>
      <c r="R35" s="15">
        <v>34.195500000000003</v>
      </c>
      <c r="U35" s="15">
        <v>7.1840000000000002</v>
      </c>
      <c r="V35" s="15">
        <v>9.7952499999999993</v>
      </c>
      <c r="W35" s="12">
        <v>0.48241622000000001</v>
      </c>
      <c r="X35" s="15">
        <v>64.007499999999993</v>
      </c>
      <c r="Y35" s="15">
        <v>50.122584203999999</v>
      </c>
      <c r="Z35" s="12"/>
      <c r="AA35" s="1">
        <v>2.25</v>
      </c>
      <c r="AB35" s="16">
        <f>AA35*33.334</f>
        <v>75.001500000000007</v>
      </c>
      <c r="AD35" s="16"/>
      <c r="AE35" s="1">
        <v>0</v>
      </c>
    </row>
    <row r="36" spans="1:31" x14ac:dyDescent="0.2">
      <c r="A36" s="1">
        <v>35</v>
      </c>
      <c r="B36" s="1">
        <v>2010</v>
      </c>
      <c r="C36" s="1" t="s">
        <v>96</v>
      </c>
      <c r="D36" s="8" t="s">
        <v>90</v>
      </c>
      <c r="E36" s="8" t="s">
        <v>193</v>
      </c>
      <c r="F36" s="8" t="s">
        <v>83</v>
      </c>
      <c r="G36" s="8"/>
      <c r="H36" s="8"/>
      <c r="I36" s="12">
        <v>7.37</v>
      </c>
      <c r="J36" s="7">
        <v>28.3</v>
      </c>
      <c r="K36" s="13"/>
      <c r="L36" s="14">
        <v>1815</v>
      </c>
      <c r="M36" s="14" t="s">
        <v>34</v>
      </c>
      <c r="N36" s="14">
        <v>13377</v>
      </c>
      <c r="O36" s="13">
        <v>28.8</v>
      </c>
      <c r="P36" s="13">
        <v>7.8</v>
      </c>
      <c r="Q36" s="13">
        <v>53.9</v>
      </c>
      <c r="R36" s="13">
        <v>42.5</v>
      </c>
      <c r="S36" s="13"/>
      <c r="T36" s="13">
        <v>36</v>
      </c>
      <c r="U36" s="15"/>
      <c r="V36" s="15"/>
      <c r="W36" s="12"/>
      <c r="X36" s="15"/>
      <c r="Y36" s="13">
        <v>59.8</v>
      </c>
      <c r="Z36" s="7">
        <v>1.68</v>
      </c>
      <c r="AA36" s="13">
        <v>2.2000000000000002</v>
      </c>
      <c r="AB36" s="16">
        <f>AA36*10</f>
        <v>22</v>
      </c>
      <c r="AC36" s="13">
        <v>3</v>
      </c>
      <c r="AD36" s="16">
        <f>AC36*10</f>
        <v>30</v>
      </c>
      <c r="AE36" s="1">
        <v>0</v>
      </c>
    </row>
    <row r="37" spans="1:31" x14ac:dyDescent="0.2">
      <c r="A37" s="1">
        <v>36</v>
      </c>
      <c r="B37" s="1">
        <v>2016</v>
      </c>
      <c r="C37" s="1" t="s">
        <v>88</v>
      </c>
      <c r="D37" s="8" t="s">
        <v>246</v>
      </c>
      <c r="E37" s="8" t="s">
        <v>514</v>
      </c>
      <c r="F37" s="1" t="s">
        <v>32</v>
      </c>
      <c r="H37" s="1" t="s">
        <v>34</v>
      </c>
      <c r="I37" s="12">
        <v>10.72</v>
      </c>
      <c r="J37" s="7">
        <v>30.6</v>
      </c>
      <c r="L37" s="5">
        <v>1817</v>
      </c>
      <c r="N37" s="5">
        <v>19501.125</v>
      </c>
      <c r="O37" s="6">
        <v>32.102499999999999</v>
      </c>
      <c r="P37" s="6">
        <v>4.1050000000000004</v>
      </c>
      <c r="Q37" s="6">
        <v>76.472499999999997</v>
      </c>
      <c r="R37" s="6">
        <v>38.064999999999998</v>
      </c>
      <c r="S37" s="6"/>
      <c r="T37" s="6">
        <v>50.545000000000002</v>
      </c>
      <c r="U37" s="6">
        <v>0.3175</v>
      </c>
      <c r="V37" s="6">
        <v>11.612500000000001</v>
      </c>
      <c r="W37" s="7">
        <v>0.51</v>
      </c>
      <c r="X37" s="13"/>
      <c r="Y37" s="6">
        <v>40.36</v>
      </c>
      <c r="Z37" s="3">
        <v>3.12</v>
      </c>
      <c r="AA37" s="6">
        <v>2.87</v>
      </c>
      <c r="AB37" s="16">
        <f>AA37*10</f>
        <v>28.700000000000003</v>
      </c>
      <c r="AC37" s="6">
        <v>1</v>
      </c>
      <c r="AD37" s="16">
        <f>AC37*10</f>
        <v>10</v>
      </c>
      <c r="AE37" s="1">
        <v>1</v>
      </c>
    </row>
    <row r="38" spans="1:31" x14ac:dyDescent="0.2">
      <c r="A38" s="1">
        <v>37</v>
      </c>
      <c r="B38" s="1">
        <v>2021</v>
      </c>
      <c r="C38" s="1" t="s">
        <v>96</v>
      </c>
      <c r="D38" s="1" t="s">
        <v>1023</v>
      </c>
      <c r="E38" s="1" t="s">
        <v>846</v>
      </c>
      <c r="F38" s="1" t="s">
        <v>32</v>
      </c>
      <c r="I38" s="12">
        <v>7.3555830802614999</v>
      </c>
      <c r="J38" s="12">
        <v>21.015951657999999</v>
      </c>
      <c r="K38" s="1" t="s">
        <v>89</v>
      </c>
      <c r="L38" s="16">
        <v>1818.080413852</v>
      </c>
      <c r="N38" s="16">
        <v>13027.992882324999</v>
      </c>
      <c r="O38" s="15">
        <v>37.7169569</v>
      </c>
      <c r="P38" s="15">
        <v>6.4487500000000004</v>
      </c>
      <c r="Q38" s="15">
        <v>67.570250000000001</v>
      </c>
      <c r="R38" s="15">
        <v>32.808999999999997</v>
      </c>
      <c r="U38" s="15">
        <v>11.52125</v>
      </c>
      <c r="V38" s="15">
        <v>9.7162500000000005</v>
      </c>
      <c r="W38" s="12">
        <v>0.482887919</v>
      </c>
      <c r="X38" s="15">
        <v>66.111249999999998</v>
      </c>
      <c r="Y38" s="15">
        <v>50.559817056999997</v>
      </c>
      <c r="Z38" s="12"/>
      <c r="AA38" s="1">
        <v>1.5</v>
      </c>
      <c r="AB38" s="16">
        <f>AA38*33.334</f>
        <v>50.001000000000005</v>
      </c>
      <c r="AD38" s="16"/>
      <c r="AE38" s="1">
        <v>0</v>
      </c>
    </row>
    <row r="39" spans="1:31" x14ac:dyDescent="0.2">
      <c r="A39" s="1">
        <v>38</v>
      </c>
      <c r="B39" s="1">
        <v>2012</v>
      </c>
      <c r="C39" s="1" t="s">
        <v>96</v>
      </c>
      <c r="D39" s="8" t="s">
        <v>332</v>
      </c>
      <c r="E39" s="8" t="s">
        <v>344</v>
      </c>
      <c r="F39" s="1" t="s">
        <v>32</v>
      </c>
      <c r="I39" s="12">
        <v>9.5299999999999994</v>
      </c>
      <c r="J39" s="7">
        <v>27.228571428571399</v>
      </c>
      <c r="K39" s="13"/>
      <c r="L39" s="14">
        <v>1825</v>
      </c>
      <c r="M39" s="14"/>
      <c r="N39" s="14">
        <v>17396</v>
      </c>
      <c r="O39" s="13">
        <v>30.8</v>
      </c>
      <c r="P39" s="13">
        <v>5.0999999999999996</v>
      </c>
      <c r="Q39" s="13">
        <v>68.900000000000006</v>
      </c>
      <c r="R39" s="13">
        <v>44.9</v>
      </c>
      <c r="S39" s="13"/>
      <c r="T39" s="13"/>
      <c r="U39" s="13">
        <v>5.8</v>
      </c>
      <c r="V39" s="13">
        <v>0.2</v>
      </c>
      <c r="W39" s="7">
        <v>0.54</v>
      </c>
      <c r="X39" s="15"/>
      <c r="Y39" s="15"/>
      <c r="Z39" s="7">
        <v>2.94</v>
      </c>
      <c r="AA39" s="7">
        <v>2.4</v>
      </c>
      <c r="AB39" s="16">
        <f t="shared" ref="AB39:AB45" si="3">AA39*10</f>
        <v>24</v>
      </c>
      <c r="AC39" s="7">
        <v>0</v>
      </c>
      <c r="AD39" s="16">
        <f t="shared" ref="AD39:AD45" si="4">AC39*10</f>
        <v>0</v>
      </c>
      <c r="AE39" s="1">
        <v>0</v>
      </c>
    </row>
    <row r="40" spans="1:31" x14ac:dyDescent="0.2">
      <c r="A40" s="1">
        <v>39</v>
      </c>
      <c r="B40" s="1">
        <v>2011</v>
      </c>
      <c r="C40" s="1" t="s">
        <v>88</v>
      </c>
      <c r="D40" s="8" t="s">
        <v>90</v>
      </c>
      <c r="E40" s="8" t="s">
        <v>247</v>
      </c>
      <c r="F40" s="1" t="s">
        <v>83</v>
      </c>
      <c r="H40" s="1" t="s">
        <v>34</v>
      </c>
      <c r="I40" s="12">
        <v>7.29</v>
      </c>
      <c r="J40" s="12">
        <v>16.2</v>
      </c>
      <c r="K40" s="13"/>
      <c r="L40" s="14">
        <v>1829</v>
      </c>
      <c r="M40" s="14"/>
      <c r="N40" s="14">
        <v>13338</v>
      </c>
      <c r="O40" s="13">
        <v>28.7</v>
      </c>
      <c r="P40" s="13">
        <v>5.5</v>
      </c>
      <c r="Q40" s="13">
        <v>61.2</v>
      </c>
      <c r="R40" s="13">
        <v>45</v>
      </c>
      <c r="T40" s="15"/>
      <c r="U40" s="13">
        <v>5.6</v>
      </c>
      <c r="V40" s="13">
        <v>0.7</v>
      </c>
      <c r="W40" s="12" t="s">
        <v>89</v>
      </c>
      <c r="X40" s="15" t="s">
        <v>89</v>
      </c>
      <c r="Y40" s="13">
        <v>59</v>
      </c>
      <c r="Z40" s="7">
        <v>2</v>
      </c>
      <c r="AA40" s="1">
        <v>3.75</v>
      </c>
      <c r="AB40" s="16">
        <f t="shared" si="3"/>
        <v>37.5</v>
      </c>
      <c r="AC40" s="1">
        <v>1.25</v>
      </c>
      <c r="AD40" s="16">
        <f t="shared" si="4"/>
        <v>12.5</v>
      </c>
      <c r="AE40" s="1">
        <v>1</v>
      </c>
    </row>
    <row r="41" spans="1:31" x14ac:dyDescent="0.2">
      <c r="A41" s="1">
        <v>40</v>
      </c>
      <c r="B41" s="1">
        <v>2012</v>
      </c>
      <c r="C41" s="1" t="s">
        <v>96</v>
      </c>
      <c r="D41" s="8" t="s">
        <v>332</v>
      </c>
      <c r="E41" s="8" t="s">
        <v>343</v>
      </c>
      <c r="F41" s="1" t="s">
        <v>83</v>
      </c>
      <c r="H41" s="1" t="s">
        <v>34</v>
      </c>
      <c r="I41" s="12">
        <v>6.82</v>
      </c>
      <c r="J41" s="7">
        <v>19.5</v>
      </c>
      <c r="K41" s="8"/>
      <c r="L41" s="14">
        <v>1834</v>
      </c>
      <c r="M41" s="8" t="s">
        <v>34</v>
      </c>
      <c r="N41" s="14">
        <v>12505</v>
      </c>
      <c r="O41" s="13">
        <v>24.6</v>
      </c>
      <c r="P41" s="13">
        <v>6.89</v>
      </c>
      <c r="Q41" s="13">
        <v>68.2</v>
      </c>
      <c r="R41" s="13">
        <v>35.200000000000003</v>
      </c>
      <c r="S41" s="13"/>
      <c r="T41" s="13"/>
      <c r="U41" s="15"/>
      <c r="V41" s="13">
        <v>0.2</v>
      </c>
      <c r="W41" s="7">
        <v>0.52</v>
      </c>
      <c r="X41" s="13">
        <v>55.8</v>
      </c>
      <c r="Y41" s="15"/>
      <c r="Z41" s="7">
        <v>1.64</v>
      </c>
      <c r="AA41" s="7">
        <v>2.7</v>
      </c>
      <c r="AB41" s="16">
        <f t="shared" si="3"/>
        <v>27</v>
      </c>
      <c r="AC41" s="7">
        <v>0</v>
      </c>
      <c r="AD41" s="16">
        <f t="shared" si="4"/>
        <v>0</v>
      </c>
      <c r="AE41" s="1">
        <v>0</v>
      </c>
    </row>
    <row r="42" spans="1:31" x14ac:dyDescent="0.2">
      <c r="A42" s="1">
        <v>41</v>
      </c>
      <c r="B42" s="1">
        <v>2011</v>
      </c>
      <c r="C42" s="1" t="s">
        <v>88</v>
      </c>
      <c r="D42" s="8" t="s">
        <v>246</v>
      </c>
      <c r="E42" s="8" t="s">
        <v>251</v>
      </c>
      <c r="F42" s="1" t="s">
        <v>83</v>
      </c>
      <c r="I42" s="12">
        <v>5.46</v>
      </c>
      <c r="J42" s="12">
        <v>15.2247164</v>
      </c>
      <c r="K42" s="13"/>
      <c r="L42" s="14">
        <v>1838</v>
      </c>
      <c r="M42" s="14"/>
      <c r="N42" s="14">
        <v>10033</v>
      </c>
      <c r="O42" s="13">
        <v>27.1</v>
      </c>
      <c r="P42" s="13">
        <v>3.8</v>
      </c>
      <c r="Q42" s="13">
        <v>71.7</v>
      </c>
      <c r="R42" s="13">
        <v>37.1</v>
      </c>
      <c r="T42" s="15"/>
      <c r="U42" s="13">
        <v>7.6</v>
      </c>
      <c r="V42" s="13">
        <v>0.3</v>
      </c>
      <c r="W42" s="12" t="s">
        <v>89</v>
      </c>
      <c r="X42" s="15" t="s">
        <v>89</v>
      </c>
      <c r="Y42" s="13">
        <v>55</v>
      </c>
      <c r="Z42" s="7">
        <v>1.45</v>
      </c>
      <c r="AA42" s="1">
        <v>2.38</v>
      </c>
      <c r="AB42" s="16">
        <f t="shared" si="3"/>
        <v>23.799999999999997</v>
      </c>
      <c r="AC42" s="1">
        <v>1</v>
      </c>
      <c r="AD42" s="16">
        <f t="shared" si="4"/>
        <v>10</v>
      </c>
      <c r="AE42" s="1">
        <v>1</v>
      </c>
    </row>
    <row r="43" spans="1:31" x14ac:dyDescent="0.2">
      <c r="A43" s="1">
        <v>42</v>
      </c>
      <c r="B43" s="1">
        <v>2010</v>
      </c>
      <c r="C43" s="1" t="s">
        <v>88</v>
      </c>
      <c r="D43" s="1" t="s">
        <v>916</v>
      </c>
      <c r="E43" s="8" t="s">
        <v>93</v>
      </c>
      <c r="F43" s="1" t="s">
        <v>83</v>
      </c>
      <c r="I43" s="12">
        <v>6.82</v>
      </c>
      <c r="J43" s="7">
        <v>19.485714285714302</v>
      </c>
      <c r="L43" s="16">
        <v>1839</v>
      </c>
      <c r="N43" s="16">
        <v>12484</v>
      </c>
      <c r="O43" s="15">
        <v>25.9</v>
      </c>
      <c r="P43" s="15">
        <v>7.5</v>
      </c>
      <c r="Q43" s="15">
        <v>50</v>
      </c>
      <c r="R43" s="15">
        <v>44</v>
      </c>
      <c r="T43" s="15"/>
      <c r="U43" s="15">
        <v>33.4</v>
      </c>
      <c r="V43" s="15">
        <v>1.8</v>
      </c>
      <c r="W43" s="12"/>
      <c r="X43" s="15"/>
      <c r="Y43" s="15">
        <v>61.9</v>
      </c>
      <c r="Z43" s="12">
        <v>1.5</v>
      </c>
      <c r="AA43" s="13">
        <v>2.25</v>
      </c>
      <c r="AB43" s="16">
        <f t="shared" si="3"/>
        <v>22.5</v>
      </c>
      <c r="AC43" s="13">
        <v>3</v>
      </c>
      <c r="AD43" s="16">
        <f t="shared" si="4"/>
        <v>30</v>
      </c>
      <c r="AE43" s="1">
        <v>1</v>
      </c>
    </row>
    <row r="44" spans="1:31" x14ac:dyDescent="0.2">
      <c r="A44" s="1">
        <v>43</v>
      </c>
      <c r="B44" s="1">
        <v>2014</v>
      </c>
      <c r="C44" s="1" t="s">
        <v>96</v>
      </c>
      <c r="D44" s="8" t="s">
        <v>187</v>
      </c>
      <c r="E44" s="8" t="s">
        <v>468</v>
      </c>
      <c r="F44" s="8" t="s">
        <v>32</v>
      </c>
      <c r="H44" s="1" t="s">
        <v>34</v>
      </c>
      <c r="I44" s="12">
        <v>9.75</v>
      </c>
      <c r="J44" s="7">
        <v>27.9</v>
      </c>
      <c r="K44" s="13"/>
      <c r="L44" s="14">
        <v>1842</v>
      </c>
      <c r="M44" s="14"/>
      <c r="N44" s="14">
        <v>17948</v>
      </c>
      <c r="O44" s="13">
        <v>30.3</v>
      </c>
      <c r="P44" s="13">
        <v>5.4</v>
      </c>
      <c r="Q44" s="13">
        <v>70.099999999999994</v>
      </c>
      <c r="R44" s="13">
        <v>47.4</v>
      </c>
      <c r="T44" s="15"/>
      <c r="U44" s="13">
        <v>3.7</v>
      </c>
      <c r="V44" s="13">
        <v>0.1</v>
      </c>
      <c r="W44" s="7">
        <v>0.5</v>
      </c>
      <c r="X44" s="15"/>
      <c r="Y44" s="13">
        <v>49.6</v>
      </c>
      <c r="Z44" s="7">
        <v>3.24</v>
      </c>
      <c r="AA44" s="13">
        <v>4.5</v>
      </c>
      <c r="AB44" s="16">
        <f t="shared" si="3"/>
        <v>45</v>
      </c>
      <c r="AC44" s="13">
        <v>1</v>
      </c>
      <c r="AD44" s="16">
        <f t="shared" si="4"/>
        <v>10</v>
      </c>
      <c r="AE44" s="1">
        <v>0</v>
      </c>
    </row>
    <row r="45" spans="1:31" x14ac:dyDescent="0.2">
      <c r="A45" s="1">
        <v>44</v>
      </c>
      <c r="B45" s="1">
        <v>2016</v>
      </c>
      <c r="C45" s="1" t="s">
        <v>88</v>
      </c>
      <c r="D45" s="1" t="s">
        <v>246</v>
      </c>
      <c r="E45" s="1" t="s">
        <v>578</v>
      </c>
      <c r="F45" s="1" t="s">
        <v>83</v>
      </c>
      <c r="I45" s="12">
        <v>6.2191371499999999</v>
      </c>
      <c r="J45" s="3">
        <v>17.768963299999999</v>
      </c>
      <c r="L45" s="5">
        <v>1844.75</v>
      </c>
      <c r="N45" s="5">
        <v>11493.4306</v>
      </c>
      <c r="O45" s="6">
        <v>29.775043</v>
      </c>
      <c r="P45" s="6">
        <v>6.29</v>
      </c>
      <c r="Q45" s="6">
        <v>69.599999999999994</v>
      </c>
      <c r="R45" s="15">
        <v>31.62</v>
      </c>
      <c r="S45" s="6">
        <v>30.184999999999999</v>
      </c>
      <c r="T45" s="6"/>
      <c r="U45" s="6">
        <v>0.48</v>
      </c>
      <c r="V45" s="6">
        <v>11.4475</v>
      </c>
      <c r="W45" s="3">
        <v>0.52132500000000004</v>
      </c>
      <c r="X45" s="6"/>
      <c r="Y45" s="15">
        <v>39.96</v>
      </c>
      <c r="Z45" s="3">
        <v>1.32993326</v>
      </c>
      <c r="AA45" s="6">
        <v>5</v>
      </c>
      <c r="AB45" s="16">
        <f t="shared" si="3"/>
        <v>50</v>
      </c>
      <c r="AC45" s="6">
        <v>1</v>
      </c>
      <c r="AD45" s="16">
        <f t="shared" si="4"/>
        <v>10</v>
      </c>
      <c r="AE45" s="1">
        <v>1</v>
      </c>
    </row>
    <row r="46" spans="1:31" x14ac:dyDescent="0.2">
      <c r="A46" s="1">
        <v>45</v>
      </c>
      <c r="B46" s="1">
        <v>2021</v>
      </c>
      <c r="C46" s="1" t="s">
        <v>96</v>
      </c>
      <c r="D46" s="1" t="s">
        <v>1023</v>
      </c>
      <c r="E46" s="1" t="s">
        <v>847</v>
      </c>
      <c r="F46" s="1" t="s">
        <v>32</v>
      </c>
      <c r="I46" s="12">
        <v>5.8769138671869996</v>
      </c>
      <c r="J46" s="12">
        <v>16.791182478</v>
      </c>
      <c r="K46" s="1" t="s">
        <v>89</v>
      </c>
      <c r="L46" s="16">
        <v>1856.7646715400001</v>
      </c>
      <c r="N46" s="16">
        <v>10996.263238830001</v>
      </c>
      <c r="O46" s="15">
        <v>24.0131576</v>
      </c>
      <c r="P46" s="15">
        <v>6.9897499999999999</v>
      </c>
      <c r="Q46" s="15">
        <v>71.167000000000002</v>
      </c>
      <c r="R46" s="15">
        <v>36.735999999999997</v>
      </c>
      <c r="U46" s="15">
        <v>6.2312500000000002</v>
      </c>
      <c r="V46" s="15">
        <v>9.3364999999999991</v>
      </c>
      <c r="W46" s="12">
        <v>0.48569576599999997</v>
      </c>
      <c r="X46" s="15">
        <v>66.683250000000001</v>
      </c>
      <c r="Y46" s="15">
        <v>51.623387938</v>
      </c>
      <c r="Z46" s="12"/>
      <c r="AA46" s="1">
        <v>1.375</v>
      </c>
      <c r="AB46" s="16">
        <f>AA46*33.334</f>
        <v>45.834250000000004</v>
      </c>
      <c r="AD46" s="16"/>
      <c r="AE46" s="1">
        <v>0</v>
      </c>
    </row>
    <row r="47" spans="1:31" x14ac:dyDescent="0.2">
      <c r="A47" s="1">
        <v>46</v>
      </c>
      <c r="B47" s="1">
        <v>2016</v>
      </c>
      <c r="C47" s="1" t="s">
        <v>96</v>
      </c>
      <c r="D47" s="8" t="s">
        <v>246</v>
      </c>
      <c r="E47" s="8" t="s">
        <v>585</v>
      </c>
      <c r="F47" s="1" t="s">
        <v>32</v>
      </c>
      <c r="I47" s="12">
        <v>11.2</v>
      </c>
      <c r="J47" s="7">
        <v>28.9</v>
      </c>
      <c r="L47" s="5">
        <v>1859</v>
      </c>
      <c r="N47" s="5">
        <v>20765.650000000001</v>
      </c>
      <c r="O47" s="6">
        <v>25.362500000000001</v>
      </c>
      <c r="P47" s="6">
        <v>6.1475</v>
      </c>
      <c r="Q47" s="6">
        <v>72.617500000000007</v>
      </c>
      <c r="R47" s="6">
        <v>42.305</v>
      </c>
      <c r="S47" s="6"/>
      <c r="T47" s="6">
        <v>48.685000000000002</v>
      </c>
      <c r="U47" s="6">
        <v>0.30249999999999999</v>
      </c>
      <c r="V47" s="6">
        <v>11.557499999999999</v>
      </c>
      <c r="W47" s="3">
        <v>0.49</v>
      </c>
      <c r="X47" s="6"/>
      <c r="Y47" s="6">
        <v>42.774999999999999</v>
      </c>
      <c r="Z47" s="3">
        <v>3.43</v>
      </c>
      <c r="AA47" s="13">
        <v>3</v>
      </c>
      <c r="AB47" s="16">
        <f>AA47*10</f>
        <v>30</v>
      </c>
      <c r="AC47" s="13">
        <v>1</v>
      </c>
      <c r="AD47" s="16">
        <f>AC47*10</f>
        <v>10</v>
      </c>
      <c r="AE47" s="1">
        <v>0</v>
      </c>
    </row>
    <row r="48" spans="1:31" x14ac:dyDescent="0.2">
      <c r="A48" s="1">
        <v>47</v>
      </c>
      <c r="B48" s="1">
        <v>2011</v>
      </c>
      <c r="C48" s="1" t="s">
        <v>88</v>
      </c>
      <c r="D48" s="8" t="s">
        <v>240</v>
      </c>
      <c r="E48" s="8" t="s">
        <v>245</v>
      </c>
      <c r="F48" s="1" t="s">
        <v>32</v>
      </c>
      <c r="I48" s="12">
        <v>10.02</v>
      </c>
      <c r="J48" s="12">
        <v>21.579797899999999</v>
      </c>
      <c r="K48" s="13"/>
      <c r="L48" s="14">
        <v>1861</v>
      </c>
      <c r="M48" s="14"/>
      <c r="N48" s="14">
        <v>18706</v>
      </c>
      <c r="O48" s="13">
        <v>28.5</v>
      </c>
      <c r="P48" s="13">
        <v>6.1</v>
      </c>
      <c r="Q48" s="13">
        <v>67.2</v>
      </c>
      <c r="R48" s="13">
        <v>51.2</v>
      </c>
      <c r="T48" s="15"/>
      <c r="U48" s="15" t="s">
        <v>89</v>
      </c>
      <c r="V48" s="13">
        <v>0.6</v>
      </c>
      <c r="W48" s="12" t="s">
        <v>89</v>
      </c>
      <c r="X48" s="15" t="s">
        <v>89</v>
      </c>
      <c r="Y48" s="13">
        <v>53.9</v>
      </c>
      <c r="Z48" s="7">
        <v>3.46</v>
      </c>
      <c r="AA48" s="1">
        <v>0</v>
      </c>
      <c r="AB48" s="16">
        <f>AA48*10</f>
        <v>0</v>
      </c>
      <c r="AC48" s="1">
        <v>0.6</v>
      </c>
      <c r="AD48" s="16">
        <f>AC48*10</f>
        <v>6</v>
      </c>
      <c r="AE48" s="1">
        <v>1</v>
      </c>
    </row>
    <row r="49" spans="1:31" x14ac:dyDescent="0.2">
      <c r="A49" s="1">
        <v>48</v>
      </c>
      <c r="B49" s="1">
        <v>2020</v>
      </c>
      <c r="C49" s="1" t="s">
        <v>96</v>
      </c>
      <c r="D49" s="28" t="s">
        <v>914</v>
      </c>
      <c r="E49" s="1" t="s">
        <v>751</v>
      </c>
      <c r="F49" s="1" t="s">
        <v>83</v>
      </c>
      <c r="I49" s="12">
        <v>6.1985000000000001</v>
      </c>
      <c r="J49" s="12">
        <v>17.709800000000001</v>
      </c>
      <c r="K49" s="1" t="s">
        <v>34</v>
      </c>
      <c r="L49" s="16">
        <v>1865.51</v>
      </c>
      <c r="N49" s="16">
        <v>11995</v>
      </c>
      <c r="O49" s="10">
        <v>27.33</v>
      </c>
      <c r="P49" s="15">
        <v>8.3275000000000006</v>
      </c>
      <c r="Q49" s="15">
        <v>71.209999999999994</v>
      </c>
      <c r="R49" s="15">
        <v>30.23</v>
      </c>
      <c r="S49" s="15"/>
      <c r="T49" s="15">
        <v>40.015000000000001</v>
      </c>
      <c r="U49" s="15">
        <v>1.44</v>
      </c>
      <c r="V49" s="15">
        <v>7.5824999999999996</v>
      </c>
      <c r="W49" s="12">
        <v>0.49070000000000003</v>
      </c>
      <c r="X49" s="15"/>
      <c r="Y49" s="15">
        <v>50.885899999999999</v>
      </c>
      <c r="Z49" s="12"/>
      <c r="AA49" s="15">
        <v>1</v>
      </c>
      <c r="AB49" s="16">
        <f>AA49*33.334</f>
        <v>33.334000000000003</v>
      </c>
      <c r="AC49" s="15">
        <v>2.375</v>
      </c>
      <c r="AD49" s="16">
        <f>AC49*33.334</f>
        <v>79.16825</v>
      </c>
      <c r="AE49" s="1">
        <v>0</v>
      </c>
    </row>
    <row r="50" spans="1:31" x14ac:dyDescent="0.2">
      <c r="A50" s="1">
        <v>49</v>
      </c>
      <c r="B50" s="1">
        <v>2013</v>
      </c>
      <c r="C50" s="1" t="s">
        <v>96</v>
      </c>
      <c r="D50" s="8" t="s">
        <v>1023</v>
      </c>
      <c r="E50" s="8" t="s">
        <v>396</v>
      </c>
      <c r="F50" s="1" t="s">
        <v>32</v>
      </c>
      <c r="H50" s="1" t="s">
        <v>34</v>
      </c>
      <c r="I50" s="12">
        <v>9.25</v>
      </c>
      <c r="J50" s="7">
        <v>26.4</v>
      </c>
      <c r="K50" s="13"/>
      <c r="L50" s="14">
        <v>1867</v>
      </c>
      <c r="M50" s="14" t="s">
        <v>34</v>
      </c>
      <c r="N50" s="14">
        <v>17209</v>
      </c>
      <c r="O50" s="13">
        <v>26.6</v>
      </c>
      <c r="P50" s="13">
        <v>4.4000000000000004</v>
      </c>
      <c r="Q50" s="13">
        <v>72.099999999999994</v>
      </c>
      <c r="R50" s="13">
        <v>47.9</v>
      </c>
      <c r="S50" s="13" t="s">
        <v>89</v>
      </c>
      <c r="T50" s="13"/>
      <c r="U50" s="13">
        <v>4.7</v>
      </c>
      <c r="V50" s="13">
        <v>1</v>
      </c>
      <c r="W50" s="7">
        <v>0.51</v>
      </c>
      <c r="X50" s="13">
        <v>62.5</v>
      </c>
      <c r="Y50" s="13">
        <v>50.3</v>
      </c>
      <c r="Z50" s="7">
        <v>3.19</v>
      </c>
      <c r="AA50" s="13">
        <v>3</v>
      </c>
      <c r="AB50" s="16">
        <f>AA50*10</f>
        <v>30</v>
      </c>
      <c r="AC50" s="13">
        <v>0</v>
      </c>
      <c r="AD50" s="16">
        <f>AC50*10</f>
        <v>0</v>
      </c>
      <c r="AE50" s="1">
        <v>0</v>
      </c>
    </row>
    <row r="51" spans="1:31" x14ac:dyDescent="0.2">
      <c r="A51" s="1">
        <v>50</v>
      </c>
      <c r="B51" s="1">
        <v>2010</v>
      </c>
      <c r="C51" s="1" t="s">
        <v>88</v>
      </c>
      <c r="D51" s="8" t="s">
        <v>90</v>
      </c>
      <c r="E51" s="8" t="s">
        <v>185</v>
      </c>
      <c r="F51" s="1" t="s">
        <v>32</v>
      </c>
      <c r="I51" s="12">
        <v>8.7899999999999991</v>
      </c>
      <c r="J51" s="7">
        <v>25.13</v>
      </c>
      <c r="L51" s="14">
        <v>1890</v>
      </c>
      <c r="M51" s="14"/>
      <c r="N51" s="14">
        <v>16636</v>
      </c>
      <c r="O51" s="13">
        <v>26</v>
      </c>
      <c r="P51" s="13">
        <v>3.7</v>
      </c>
      <c r="Q51" s="13">
        <v>73.099999999999994</v>
      </c>
      <c r="R51" s="13">
        <v>43.6</v>
      </c>
      <c r="S51" s="13"/>
      <c r="T51" s="13"/>
      <c r="U51" s="13">
        <v>46.9</v>
      </c>
      <c r="V51" s="13">
        <v>0.2</v>
      </c>
      <c r="W51" s="7"/>
      <c r="X51" s="13"/>
      <c r="Y51" s="13">
        <v>54.7</v>
      </c>
      <c r="Z51" s="7">
        <v>2.81</v>
      </c>
      <c r="AA51" s="13">
        <v>4.5</v>
      </c>
      <c r="AB51" s="16">
        <f>AA51*10</f>
        <v>45</v>
      </c>
      <c r="AC51" s="13">
        <v>4.5</v>
      </c>
      <c r="AD51" s="16">
        <f>AC51*10</f>
        <v>45</v>
      </c>
      <c r="AE51" s="1">
        <v>1</v>
      </c>
    </row>
    <row r="52" spans="1:31" x14ac:dyDescent="0.2">
      <c r="A52" s="1">
        <v>51</v>
      </c>
      <c r="B52" s="1">
        <v>2011</v>
      </c>
      <c r="C52" s="1" t="s">
        <v>88</v>
      </c>
      <c r="D52" s="8" t="s">
        <v>246</v>
      </c>
      <c r="E52" s="8">
        <v>1990</v>
      </c>
      <c r="F52" s="1" t="s">
        <v>83</v>
      </c>
      <c r="H52" s="1" t="s">
        <v>34</v>
      </c>
      <c r="I52" s="12">
        <v>6.73</v>
      </c>
      <c r="J52" s="12">
        <v>16.5</v>
      </c>
      <c r="K52" s="13"/>
      <c r="L52" s="14">
        <v>1891</v>
      </c>
      <c r="M52" s="14"/>
      <c r="N52" s="14">
        <v>12736</v>
      </c>
      <c r="O52" s="13">
        <v>32.700000000000003</v>
      </c>
      <c r="P52" s="13">
        <v>4.2</v>
      </c>
      <c r="Q52" s="13">
        <v>66.099999999999994</v>
      </c>
      <c r="R52" s="13">
        <v>42</v>
      </c>
      <c r="T52" s="15"/>
      <c r="U52" s="13">
        <v>6.5</v>
      </c>
      <c r="V52" s="13">
        <v>0.3</v>
      </c>
      <c r="W52" s="12" t="s">
        <v>89</v>
      </c>
      <c r="X52" s="15" t="s">
        <v>89</v>
      </c>
      <c r="Y52" s="13">
        <v>57.5</v>
      </c>
      <c r="Z52" s="7">
        <v>1.87</v>
      </c>
      <c r="AA52" s="1">
        <v>1</v>
      </c>
      <c r="AB52" s="16">
        <f>AA52*10</f>
        <v>10</v>
      </c>
      <c r="AC52" s="1">
        <v>1.25</v>
      </c>
      <c r="AD52" s="16">
        <f>AC52*10</f>
        <v>12.5</v>
      </c>
      <c r="AE52" s="1">
        <v>1</v>
      </c>
    </row>
    <row r="53" spans="1:31" x14ac:dyDescent="0.2">
      <c r="A53" s="1">
        <v>52</v>
      </c>
      <c r="B53" s="1">
        <v>2010</v>
      </c>
      <c r="C53" s="1" t="s">
        <v>96</v>
      </c>
      <c r="D53" s="8" t="s">
        <v>90</v>
      </c>
      <c r="E53" s="8" t="s">
        <v>193</v>
      </c>
      <c r="F53" s="8" t="s">
        <v>32</v>
      </c>
      <c r="G53" s="8"/>
      <c r="H53" s="8"/>
      <c r="I53" s="12">
        <v>9.92</v>
      </c>
      <c r="J53" s="7">
        <v>28.3</v>
      </c>
      <c r="K53" s="13"/>
      <c r="L53" s="14">
        <v>1900</v>
      </c>
      <c r="M53" s="14"/>
      <c r="N53" s="14">
        <v>18871</v>
      </c>
      <c r="O53" s="13">
        <v>29.1</v>
      </c>
      <c r="P53" s="13">
        <v>4.9000000000000004</v>
      </c>
      <c r="Q53" s="13">
        <v>59</v>
      </c>
      <c r="R53" s="13">
        <v>47.1</v>
      </c>
      <c r="S53" s="13"/>
      <c r="T53" s="13">
        <v>39.700000000000003</v>
      </c>
      <c r="U53" s="15"/>
      <c r="V53" s="15"/>
      <c r="W53" s="12"/>
      <c r="X53" s="15"/>
      <c r="Y53" s="13">
        <v>56.3</v>
      </c>
      <c r="Z53" s="7">
        <v>2.76</v>
      </c>
      <c r="AA53" s="13">
        <v>2.2000000000000002</v>
      </c>
      <c r="AB53" s="16">
        <f>AA53*10</f>
        <v>22</v>
      </c>
      <c r="AC53" s="13">
        <v>3</v>
      </c>
      <c r="AD53" s="16">
        <f>AC53*10</f>
        <v>30</v>
      </c>
      <c r="AE53" s="1">
        <v>0</v>
      </c>
    </row>
    <row r="54" spans="1:31" x14ac:dyDescent="0.2">
      <c r="A54" s="1">
        <v>53</v>
      </c>
      <c r="B54" s="1">
        <v>2021</v>
      </c>
      <c r="C54" s="1" t="s">
        <v>88</v>
      </c>
      <c r="D54" s="28" t="s">
        <v>914</v>
      </c>
      <c r="E54" s="1" t="s">
        <v>834</v>
      </c>
      <c r="F54" s="1" t="s">
        <v>32</v>
      </c>
      <c r="I54" s="12">
        <v>6.5287495255895003</v>
      </c>
      <c r="J54" s="12">
        <v>18.653570073000001</v>
      </c>
      <c r="L54" s="16">
        <v>1905.3017529619999</v>
      </c>
      <c r="N54" s="16">
        <v>12517.057727461999</v>
      </c>
      <c r="O54" s="15">
        <v>26.398100600000003</v>
      </c>
      <c r="P54" s="15">
        <v>7.03925</v>
      </c>
      <c r="Q54" s="15">
        <v>62.9955</v>
      </c>
      <c r="R54" s="15">
        <v>29.469249999999999</v>
      </c>
      <c r="U54" s="15">
        <v>11.99375</v>
      </c>
      <c r="V54" s="15">
        <v>11.827500000000001</v>
      </c>
      <c r="W54" s="12">
        <v>0.49837302900000002</v>
      </c>
      <c r="X54" s="15">
        <v>70.449749999999995</v>
      </c>
      <c r="Y54" s="15">
        <v>51.499093954999999</v>
      </c>
      <c r="Z54" s="12"/>
      <c r="AA54" s="15">
        <v>1.125</v>
      </c>
      <c r="AB54" s="16">
        <f>AA54*33.334</f>
        <v>37.500750000000004</v>
      </c>
      <c r="AC54" s="1">
        <v>0</v>
      </c>
      <c r="AD54" s="16">
        <f>AC54*33.334</f>
        <v>0</v>
      </c>
      <c r="AE54" s="1">
        <v>1</v>
      </c>
    </row>
    <row r="55" spans="1:31" x14ac:dyDescent="0.2">
      <c r="A55" s="1">
        <v>54</v>
      </c>
      <c r="B55" s="1">
        <v>2015</v>
      </c>
      <c r="C55" s="8" t="s">
        <v>96</v>
      </c>
      <c r="D55" s="8" t="s">
        <v>459</v>
      </c>
      <c r="E55" s="8" t="s">
        <v>516</v>
      </c>
      <c r="F55" s="1" t="s">
        <v>32</v>
      </c>
      <c r="I55" s="12">
        <v>10.4</v>
      </c>
      <c r="J55" s="7">
        <v>29.7</v>
      </c>
      <c r="L55" s="14">
        <v>1906</v>
      </c>
      <c r="N55" s="14">
        <v>19852</v>
      </c>
      <c r="O55" s="13">
        <v>27.2</v>
      </c>
      <c r="P55" s="13">
        <v>6.5</v>
      </c>
      <c r="Q55" s="13">
        <v>71.7</v>
      </c>
      <c r="R55" s="13">
        <v>36.6</v>
      </c>
      <c r="S55" s="8"/>
      <c r="T55" s="15" t="s">
        <v>89</v>
      </c>
      <c r="U55" s="13">
        <v>1.2</v>
      </c>
      <c r="V55" s="13">
        <v>10.8</v>
      </c>
      <c r="W55" s="7">
        <v>0.52</v>
      </c>
      <c r="X55" s="13"/>
      <c r="Y55" s="13">
        <v>41.5</v>
      </c>
      <c r="Z55" s="7">
        <v>2.73</v>
      </c>
      <c r="AA55" s="13">
        <v>1</v>
      </c>
      <c r="AB55" s="16">
        <f t="shared" ref="AB55:AB60" si="5">AA55*10</f>
        <v>10</v>
      </c>
      <c r="AC55" s="13">
        <v>1</v>
      </c>
      <c r="AD55" s="16">
        <f t="shared" ref="AD55:AD60" si="6">AC55*10</f>
        <v>10</v>
      </c>
      <c r="AE55" s="1">
        <v>0</v>
      </c>
    </row>
    <row r="56" spans="1:31" x14ac:dyDescent="0.2">
      <c r="A56" s="1">
        <v>55</v>
      </c>
      <c r="B56" s="1">
        <v>2016</v>
      </c>
      <c r="C56" s="1" t="s">
        <v>96</v>
      </c>
      <c r="D56" s="8" t="s">
        <v>90</v>
      </c>
      <c r="E56" s="8" t="s">
        <v>100</v>
      </c>
      <c r="F56" s="1" t="s">
        <v>32</v>
      </c>
      <c r="H56" s="1" t="s">
        <v>34</v>
      </c>
      <c r="I56" s="12">
        <v>13.48</v>
      </c>
      <c r="J56" s="7">
        <v>38.5</v>
      </c>
      <c r="L56" s="5">
        <v>1906.75</v>
      </c>
      <c r="M56" s="1" t="s">
        <v>34</v>
      </c>
      <c r="N56" s="5">
        <v>25848</v>
      </c>
      <c r="O56" s="6">
        <v>31.46</v>
      </c>
      <c r="P56" s="6">
        <v>4.9024999999999999</v>
      </c>
      <c r="Q56" s="6">
        <v>69.72</v>
      </c>
      <c r="R56" s="6">
        <v>34.340000000000003</v>
      </c>
      <c r="S56" s="6"/>
      <c r="T56" s="6">
        <v>49.0075</v>
      </c>
      <c r="U56" s="6">
        <v>0.77500000000000002</v>
      </c>
      <c r="V56" s="6">
        <v>13.7</v>
      </c>
      <c r="W56" s="3">
        <v>0.52</v>
      </c>
      <c r="X56" s="6"/>
      <c r="Y56" s="6">
        <v>41.292499999999997</v>
      </c>
      <c r="Z56" s="3">
        <v>3.23</v>
      </c>
      <c r="AA56" s="6">
        <v>3</v>
      </c>
      <c r="AB56" s="16">
        <f t="shared" si="5"/>
        <v>30</v>
      </c>
      <c r="AC56" s="6">
        <v>1</v>
      </c>
      <c r="AD56" s="16">
        <f t="shared" si="6"/>
        <v>10</v>
      </c>
      <c r="AE56" s="1">
        <v>0</v>
      </c>
    </row>
    <row r="57" spans="1:31" x14ac:dyDescent="0.2">
      <c r="A57" s="1">
        <v>56</v>
      </c>
      <c r="B57" s="1">
        <v>2015</v>
      </c>
      <c r="C57" s="8" t="s">
        <v>96</v>
      </c>
      <c r="D57" s="8" t="s">
        <v>459</v>
      </c>
      <c r="E57" s="8" t="s">
        <v>517</v>
      </c>
      <c r="F57" s="1" t="s">
        <v>32</v>
      </c>
      <c r="H57" s="1" t="s">
        <v>34</v>
      </c>
      <c r="I57" s="12">
        <v>12.35</v>
      </c>
      <c r="J57" s="7">
        <v>34.4</v>
      </c>
      <c r="L57" s="14">
        <v>1914</v>
      </c>
      <c r="M57" s="1" t="s">
        <v>34</v>
      </c>
      <c r="N57" s="14">
        <v>23652</v>
      </c>
      <c r="O57" s="13">
        <v>26.9</v>
      </c>
      <c r="P57" s="13">
        <v>7</v>
      </c>
      <c r="Q57" s="13">
        <v>72.3</v>
      </c>
      <c r="R57" s="13">
        <v>41.1</v>
      </c>
      <c r="S57" s="8"/>
      <c r="T57" s="15" t="s">
        <v>89</v>
      </c>
      <c r="U57" s="13">
        <v>1.1000000000000001</v>
      </c>
      <c r="V57" s="13">
        <v>9</v>
      </c>
      <c r="W57" s="7">
        <v>0.5</v>
      </c>
      <c r="X57" s="13"/>
      <c r="Y57" s="13">
        <v>42.7</v>
      </c>
      <c r="Z57" s="7">
        <v>3.66</v>
      </c>
      <c r="AA57" s="13">
        <v>1.2</v>
      </c>
      <c r="AB57" s="16">
        <f t="shared" si="5"/>
        <v>12</v>
      </c>
      <c r="AC57" s="13">
        <v>1</v>
      </c>
      <c r="AD57" s="16">
        <f t="shared" si="6"/>
        <v>10</v>
      </c>
      <c r="AE57" s="1">
        <v>0</v>
      </c>
    </row>
    <row r="58" spans="1:31" x14ac:dyDescent="0.2">
      <c r="A58" s="1">
        <v>57</v>
      </c>
      <c r="B58" s="1">
        <v>2015</v>
      </c>
      <c r="C58" s="8" t="s">
        <v>96</v>
      </c>
      <c r="D58" s="8" t="s">
        <v>874</v>
      </c>
      <c r="E58" s="8" t="s">
        <v>519</v>
      </c>
      <c r="F58" s="1" t="s">
        <v>32</v>
      </c>
      <c r="I58" s="12">
        <v>7.62</v>
      </c>
      <c r="J58" s="7">
        <v>21.771428571428572</v>
      </c>
      <c r="L58" s="14">
        <v>1921</v>
      </c>
      <c r="N58" s="14">
        <v>14674</v>
      </c>
      <c r="O58" s="13">
        <v>27</v>
      </c>
      <c r="P58" s="13">
        <v>9.4</v>
      </c>
      <c r="Q58" s="13">
        <v>69.3</v>
      </c>
      <c r="R58" s="13">
        <v>39.1</v>
      </c>
      <c r="S58" s="8"/>
      <c r="T58" s="15" t="s">
        <v>89</v>
      </c>
      <c r="U58" s="13">
        <v>1.4</v>
      </c>
      <c r="V58" s="13">
        <v>8.6</v>
      </c>
      <c r="W58" s="7">
        <v>0.51</v>
      </c>
      <c r="X58" s="13"/>
      <c r="Y58" s="13">
        <v>43.2</v>
      </c>
      <c r="Z58" s="7">
        <v>2.0699999999999998</v>
      </c>
      <c r="AA58" s="13">
        <v>2.1</v>
      </c>
      <c r="AB58" s="16">
        <f t="shared" si="5"/>
        <v>21</v>
      </c>
      <c r="AC58" s="13">
        <v>3.75</v>
      </c>
      <c r="AD58" s="16">
        <f t="shared" si="6"/>
        <v>37.5</v>
      </c>
      <c r="AE58" s="1">
        <v>0</v>
      </c>
    </row>
    <row r="59" spans="1:31" x14ac:dyDescent="0.2">
      <c r="A59" s="1">
        <v>58</v>
      </c>
      <c r="B59" s="1">
        <v>2011</v>
      </c>
      <c r="C59" s="1" t="s">
        <v>96</v>
      </c>
      <c r="D59" s="8" t="s">
        <v>1023</v>
      </c>
      <c r="E59" s="8" t="s">
        <v>259</v>
      </c>
      <c r="F59" s="1" t="s">
        <v>32</v>
      </c>
      <c r="H59" s="1" t="s">
        <v>34</v>
      </c>
      <c r="I59" s="12">
        <v>11.7</v>
      </c>
      <c r="J59" s="12">
        <v>25.9</v>
      </c>
      <c r="K59" s="8"/>
      <c r="L59" s="14">
        <v>1933</v>
      </c>
      <c r="M59" s="8"/>
      <c r="N59" s="14">
        <v>22593</v>
      </c>
      <c r="O59" s="13">
        <v>27.6</v>
      </c>
      <c r="P59" s="13">
        <v>4.5999999999999996</v>
      </c>
      <c r="Q59" s="13">
        <v>67.400000000000006</v>
      </c>
      <c r="R59" s="13">
        <v>50.5</v>
      </c>
      <c r="T59" s="15"/>
      <c r="U59" s="15" t="s">
        <v>89</v>
      </c>
      <c r="V59" s="13">
        <v>0.4</v>
      </c>
      <c r="W59" s="12" t="s">
        <v>89</v>
      </c>
      <c r="X59" s="15" t="s">
        <v>89</v>
      </c>
      <c r="Y59" s="13">
        <v>56.6</v>
      </c>
      <c r="Z59" s="7">
        <v>3.99</v>
      </c>
      <c r="AA59" s="8">
        <v>0</v>
      </c>
      <c r="AB59" s="16">
        <f t="shared" si="5"/>
        <v>0</v>
      </c>
      <c r="AC59" s="13">
        <v>1.8</v>
      </c>
      <c r="AD59" s="16">
        <f t="shared" si="6"/>
        <v>18</v>
      </c>
      <c r="AE59" s="1">
        <v>0</v>
      </c>
    </row>
    <row r="60" spans="1:31" x14ac:dyDescent="0.2">
      <c r="A60" s="1">
        <v>59</v>
      </c>
      <c r="B60" s="1">
        <v>2011</v>
      </c>
      <c r="C60" s="1" t="s">
        <v>88</v>
      </c>
      <c r="D60" s="8" t="s">
        <v>246</v>
      </c>
      <c r="E60" s="8" t="s">
        <v>248</v>
      </c>
      <c r="F60" s="1" t="s">
        <v>83</v>
      </c>
      <c r="I60" s="12">
        <v>5.83</v>
      </c>
      <c r="J60" s="12">
        <v>23.8</v>
      </c>
      <c r="K60" s="13"/>
      <c r="L60" s="14">
        <v>1941</v>
      </c>
      <c r="M60" s="14"/>
      <c r="N60" s="14">
        <v>11321</v>
      </c>
      <c r="O60" s="13">
        <v>29.3</v>
      </c>
      <c r="P60" s="13">
        <v>5.5</v>
      </c>
      <c r="Q60" s="13">
        <v>52.5</v>
      </c>
      <c r="R60" s="13">
        <v>47.9</v>
      </c>
      <c r="T60" s="15"/>
      <c r="U60" s="13">
        <v>10.8</v>
      </c>
      <c r="V60" s="13">
        <v>1.9</v>
      </c>
      <c r="W60" s="12" t="s">
        <v>89</v>
      </c>
      <c r="X60" s="15" t="s">
        <v>89</v>
      </c>
      <c r="Y60" s="13">
        <v>62.1</v>
      </c>
      <c r="Z60" s="7">
        <v>1.47</v>
      </c>
      <c r="AA60" s="1">
        <v>1</v>
      </c>
      <c r="AB60" s="16">
        <f t="shared" si="5"/>
        <v>10</v>
      </c>
      <c r="AC60" s="1">
        <v>2</v>
      </c>
      <c r="AD60" s="16">
        <f t="shared" si="6"/>
        <v>20</v>
      </c>
      <c r="AE60" s="1">
        <v>1</v>
      </c>
    </row>
    <row r="61" spans="1:31" x14ac:dyDescent="0.2">
      <c r="A61" s="1">
        <v>60</v>
      </c>
      <c r="B61" s="1">
        <v>2021</v>
      </c>
      <c r="C61" s="1" t="s">
        <v>88</v>
      </c>
      <c r="D61" s="28" t="s">
        <v>914</v>
      </c>
      <c r="E61" s="1" t="s">
        <v>693</v>
      </c>
      <c r="F61" s="1" t="s">
        <v>32</v>
      </c>
      <c r="I61" s="12">
        <v>6.6472626636280001</v>
      </c>
      <c r="J61" s="12">
        <v>18.992179039</v>
      </c>
      <c r="L61" s="16">
        <v>1942.6508986470001</v>
      </c>
      <c r="N61" s="16">
        <v>12707.332942864999</v>
      </c>
      <c r="O61" s="15">
        <v>29.559500700000001</v>
      </c>
      <c r="P61" s="15">
        <v>6.4512499999999999</v>
      </c>
      <c r="Q61" s="15">
        <v>63.244500000000002</v>
      </c>
      <c r="R61" s="15">
        <v>29.952375</v>
      </c>
      <c r="U61" s="15">
        <v>12.32025</v>
      </c>
      <c r="V61" s="15">
        <v>12.05</v>
      </c>
      <c r="W61" s="12">
        <v>0.50344544899999999</v>
      </c>
      <c r="X61" s="15">
        <v>70.432374999999993</v>
      </c>
      <c r="Y61" s="15">
        <v>52.057849724</v>
      </c>
      <c r="Z61" s="12"/>
      <c r="AA61" s="15">
        <v>1.1875</v>
      </c>
      <c r="AB61" s="16">
        <f>AA61*33.334</f>
        <v>39.584125</v>
      </c>
      <c r="AC61" s="1">
        <v>1</v>
      </c>
      <c r="AD61" s="16">
        <f>AC61*33.334</f>
        <v>33.334000000000003</v>
      </c>
      <c r="AE61" s="1">
        <v>1</v>
      </c>
    </row>
    <row r="62" spans="1:31" x14ac:dyDescent="0.2">
      <c r="A62" s="1">
        <v>61</v>
      </c>
      <c r="B62" s="1">
        <v>2021</v>
      </c>
      <c r="C62" s="1" t="s">
        <v>88</v>
      </c>
      <c r="D62" s="28" t="s">
        <v>914</v>
      </c>
      <c r="E62" s="1" t="s">
        <v>833</v>
      </c>
      <c r="F62" s="1" t="s">
        <v>32</v>
      </c>
      <c r="I62" s="12">
        <v>5.4353549431945005</v>
      </c>
      <c r="J62" s="12">
        <v>15.529585552</v>
      </c>
      <c r="L62" s="16">
        <v>1950.729744346</v>
      </c>
      <c r="N62" s="16">
        <v>10401.681368644</v>
      </c>
      <c r="O62" s="15">
        <v>36.6789804</v>
      </c>
      <c r="P62" s="15">
        <v>7.2282500000000001</v>
      </c>
      <c r="Q62" s="15">
        <v>61.79025</v>
      </c>
      <c r="R62" s="15">
        <v>29.10275</v>
      </c>
      <c r="U62" s="15">
        <v>13.372249999999999</v>
      </c>
      <c r="V62" s="15">
        <v>10.918749999999999</v>
      </c>
      <c r="W62" s="12">
        <v>0.50509137900000001</v>
      </c>
      <c r="X62" s="15">
        <v>69.316749999999999</v>
      </c>
      <c r="Y62" s="15">
        <v>52.195806072000003</v>
      </c>
      <c r="Z62" s="12"/>
      <c r="AA62" s="15">
        <v>1.125</v>
      </c>
      <c r="AB62" s="16">
        <f>AA62*33.334</f>
        <v>37.500750000000004</v>
      </c>
      <c r="AC62" s="1">
        <v>0</v>
      </c>
      <c r="AD62" s="16">
        <f>AC62*33.334</f>
        <v>0</v>
      </c>
      <c r="AE62" s="1">
        <v>1</v>
      </c>
    </row>
    <row r="63" spans="1:31" x14ac:dyDescent="0.2">
      <c r="A63" s="1">
        <v>62</v>
      </c>
      <c r="B63" s="1">
        <v>2008</v>
      </c>
      <c r="C63" s="8" t="s">
        <v>96</v>
      </c>
      <c r="D63" s="1" t="s">
        <v>916</v>
      </c>
      <c r="E63" s="8" t="s">
        <v>98</v>
      </c>
      <c r="F63" s="8" t="s">
        <v>32</v>
      </c>
      <c r="G63" s="8"/>
      <c r="H63" s="8" t="s">
        <v>34</v>
      </c>
      <c r="I63" s="12">
        <v>10.199999999999999</v>
      </c>
      <c r="J63" s="7">
        <v>29.1</v>
      </c>
      <c r="K63" s="13"/>
      <c r="L63" s="14">
        <v>1961</v>
      </c>
      <c r="M63" s="14"/>
      <c r="N63" s="14">
        <v>20052</v>
      </c>
      <c r="O63" s="13">
        <v>27.4</v>
      </c>
      <c r="P63" s="13">
        <v>7</v>
      </c>
      <c r="Q63" s="13">
        <v>65.3</v>
      </c>
      <c r="R63" s="13">
        <v>40.799999999999997</v>
      </c>
      <c r="S63" s="13"/>
      <c r="T63" s="13"/>
      <c r="U63" s="13">
        <v>41.7</v>
      </c>
      <c r="V63" s="15" t="s">
        <v>89</v>
      </c>
      <c r="X63" s="15"/>
      <c r="Y63" s="13">
        <v>55</v>
      </c>
      <c r="Z63" s="7">
        <v>2.72</v>
      </c>
      <c r="AB63" s="16"/>
      <c r="AD63" s="16"/>
      <c r="AE63" s="1">
        <v>0</v>
      </c>
    </row>
    <row r="64" spans="1:31" x14ac:dyDescent="0.2">
      <c r="A64" s="1">
        <v>63</v>
      </c>
      <c r="B64" s="1">
        <v>2015</v>
      </c>
      <c r="C64" s="8" t="s">
        <v>88</v>
      </c>
      <c r="D64" s="8" t="s">
        <v>332</v>
      </c>
      <c r="E64" s="8" t="s">
        <v>514</v>
      </c>
      <c r="F64" s="1" t="s">
        <v>83</v>
      </c>
      <c r="I64" s="12">
        <v>5.97</v>
      </c>
      <c r="J64" s="7">
        <v>17.057142857142857</v>
      </c>
      <c r="L64" s="14">
        <v>1962</v>
      </c>
      <c r="N64" s="14">
        <v>11728</v>
      </c>
      <c r="O64" s="13">
        <v>29.9</v>
      </c>
      <c r="P64" s="13">
        <v>5.9</v>
      </c>
      <c r="Q64" s="13">
        <v>72.7</v>
      </c>
      <c r="R64" s="13">
        <v>38.200000000000003</v>
      </c>
      <c r="S64" s="8"/>
      <c r="T64" s="13" t="s">
        <v>89</v>
      </c>
      <c r="U64" s="13">
        <v>1.1000000000000001</v>
      </c>
      <c r="V64" s="13">
        <v>9.9</v>
      </c>
      <c r="W64" s="7">
        <v>0.52</v>
      </c>
      <c r="X64" s="13"/>
      <c r="Y64" s="13">
        <v>42.6</v>
      </c>
      <c r="Z64" s="7">
        <v>1.66</v>
      </c>
      <c r="AA64" s="13">
        <v>2.9</v>
      </c>
      <c r="AB64" s="16">
        <f>AA64*10</f>
        <v>29</v>
      </c>
      <c r="AC64" s="13">
        <v>1</v>
      </c>
      <c r="AD64" s="16">
        <f>AC64*10</f>
        <v>10</v>
      </c>
      <c r="AE64" s="1">
        <v>1</v>
      </c>
    </row>
    <row r="65" spans="1:31" x14ac:dyDescent="0.2">
      <c r="A65" s="1">
        <v>64</v>
      </c>
      <c r="B65" s="1">
        <v>2021</v>
      </c>
      <c r="C65" s="1" t="s">
        <v>88</v>
      </c>
      <c r="D65" s="28" t="s">
        <v>914</v>
      </c>
      <c r="E65" s="1" t="s">
        <v>791</v>
      </c>
      <c r="F65" s="1" t="s">
        <v>32</v>
      </c>
      <c r="I65" s="12">
        <v>6.7682947716494999</v>
      </c>
      <c r="J65" s="12">
        <v>19.337985062000001</v>
      </c>
      <c r="L65" s="16">
        <v>1963.4135616809999</v>
      </c>
      <c r="N65" s="16">
        <v>13243.228016317</v>
      </c>
      <c r="O65" s="15">
        <v>32.3577765</v>
      </c>
      <c r="P65" s="15">
        <v>5.6955</v>
      </c>
      <c r="Q65" s="15">
        <v>63.576749999999997</v>
      </c>
      <c r="R65" s="15">
        <v>29.923749999999998</v>
      </c>
      <c r="U65" s="15">
        <v>12.182</v>
      </c>
      <c r="V65" s="15">
        <v>12.037000000000001</v>
      </c>
      <c r="W65" s="12">
        <v>0.50712314300000005</v>
      </c>
      <c r="X65" s="15">
        <v>69.270250000000004</v>
      </c>
      <c r="Y65" s="15">
        <v>52.247117879000001</v>
      </c>
      <c r="Z65" s="12"/>
      <c r="AA65" s="15">
        <v>0.75</v>
      </c>
      <c r="AB65" s="16">
        <f>AA65*33.334</f>
        <v>25.000500000000002</v>
      </c>
      <c r="AC65" s="1">
        <v>0.375</v>
      </c>
      <c r="AD65" s="16">
        <f>AC65*33.334</f>
        <v>12.500250000000001</v>
      </c>
      <c r="AE65" s="1">
        <v>1</v>
      </c>
    </row>
    <row r="66" spans="1:31" x14ac:dyDescent="0.2">
      <c r="A66" s="1">
        <v>65</v>
      </c>
      <c r="B66" s="1">
        <v>2021</v>
      </c>
      <c r="C66" s="1" t="s">
        <v>96</v>
      </c>
      <c r="D66" s="28" t="s">
        <v>914</v>
      </c>
      <c r="E66" s="1" t="s">
        <v>751</v>
      </c>
      <c r="F66" s="1" t="s">
        <v>32</v>
      </c>
      <c r="I66" s="12">
        <v>6.0160565751319997</v>
      </c>
      <c r="J66" s="12">
        <v>17.188733072000002</v>
      </c>
      <c r="K66" s="1" t="s">
        <v>34</v>
      </c>
      <c r="L66" s="16">
        <v>1969.098188811</v>
      </c>
      <c r="N66" s="16">
        <v>11811.696014650001</v>
      </c>
      <c r="O66" s="15">
        <v>27.975091499999998</v>
      </c>
      <c r="P66" s="15">
        <v>7.3047500000000003</v>
      </c>
      <c r="Q66" s="15">
        <v>70.715999999999994</v>
      </c>
      <c r="R66" s="15">
        <v>38.32</v>
      </c>
      <c r="U66" s="15">
        <v>7.1817500000000001</v>
      </c>
      <c r="V66" s="15">
        <v>8.7535000000000007</v>
      </c>
      <c r="W66" s="12">
        <v>0.50052825400000001</v>
      </c>
      <c r="X66" s="15">
        <v>66.544250000000005</v>
      </c>
      <c r="Y66" s="15">
        <v>53.668688295000003</v>
      </c>
      <c r="Z66" s="12"/>
      <c r="AA66" s="1">
        <v>0.875</v>
      </c>
      <c r="AB66" s="16">
        <f>AA66*33.334</f>
        <v>29.167250000000003</v>
      </c>
      <c r="AD66" s="16"/>
      <c r="AE66" s="1">
        <v>0</v>
      </c>
    </row>
    <row r="67" spans="1:31" x14ac:dyDescent="0.2">
      <c r="A67" s="1">
        <v>66</v>
      </c>
      <c r="B67" s="1">
        <v>2010</v>
      </c>
      <c r="C67" s="1" t="s">
        <v>88</v>
      </c>
      <c r="D67" s="8" t="s">
        <v>1023</v>
      </c>
      <c r="E67" s="8">
        <v>23402</v>
      </c>
      <c r="F67" s="1" t="s">
        <v>83</v>
      </c>
      <c r="I67" s="12">
        <v>4.37</v>
      </c>
      <c r="J67" s="7">
        <v>12.4857142857143</v>
      </c>
      <c r="L67" s="16">
        <v>1981</v>
      </c>
      <c r="N67" s="16">
        <v>8684</v>
      </c>
      <c r="O67" s="15">
        <v>23.3</v>
      </c>
      <c r="P67" s="15">
        <v>8.4</v>
      </c>
      <c r="Q67" s="15">
        <v>55.9</v>
      </c>
      <c r="R67" s="15">
        <v>47.8</v>
      </c>
      <c r="T67" s="15"/>
      <c r="U67" s="15">
        <v>37.200000000000003</v>
      </c>
      <c r="V67" s="15">
        <v>2</v>
      </c>
      <c r="W67" s="12"/>
      <c r="X67" s="15"/>
      <c r="Y67" s="15">
        <v>60.8</v>
      </c>
      <c r="Z67" s="12">
        <v>1.17</v>
      </c>
      <c r="AA67" s="13">
        <v>2.2000000000000002</v>
      </c>
      <c r="AB67" s="16">
        <f>AA67*10</f>
        <v>22</v>
      </c>
      <c r="AC67" s="13">
        <v>6.2</v>
      </c>
      <c r="AD67" s="16">
        <f>AC67*10</f>
        <v>62</v>
      </c>
      <c r="AE67" s="1">
        <v>1</v>
      </c>
    </row>
    <row r="68" spans="1:31" x14ac:dyDescent="0.2">
      <c r="A68" s="1">
        <v>67</v>
      </c>
      <c r="B68" s="1">
        <v>2010</v>
      </c>
      <c r="C68" s="1" t="s">
        <v>96</v>
      </c>
      <c r="D68" s="8" t="s">
        <v>90</v>
      </c>
      <c r="E68" s="8" t="s">
        <v>101</v>
      </c>
      <c r="F68" s="8" t="s">
        <v>32</v>
      </c>
      <c r="G68" s="8"/>
      <c r="H68" s="8" t="s">
        <v>34</v>
      </c>
      <c r="I68" s="12">
        <v>10.55</v>
      </c>
      <c r="J68" s="7">
        <v>30.1</v>
      </c>
      <c r="K68" s="13"/>
      <c r="L68" s="14">
        <v>1992</v>
      </c>
      <c r="M68" s="14" t="s">
        <v>34</v>
      </c>
      <c r="N68" s="14">
        <v>21022</v>
      </c>
      <c r="O68" s="13">
        <v>28.7</v>
      </c>
      <c r="P68" s="13">
        <v>5.4</v>
      </c>
      <c r="Q68" s="13">
        <v>58.5</v>
      </c>
      <c r="R68" s="13">
        <v>45.8</v>
      </c>
      <c r="S68" s="13"/>
      <c r="T68" s="13">
        <v>39.5</v>
      </c>
      <c r="U68" s="15"/>
      <c r="V68" s="15"/>
      <c r="W68" s="12"/>
      <c r="X68" s="15"/>
      <c r="Y68" s="13">
        <v>56.1</v>
      </c>
      <c r="Z68" s="7">
        <v>2.83</v>
      </c>
      <c r="AA68" s="13">
        <v>1</v>
      </c>
      <c r="AB68" s="16">
        <f>AA68*10</f>
        <v>10</v>
      </c>
      <c r="AC68" s="13">
        <v>1</v>
      </c>
      <c r="AD68" s="16">
        <f>AC68*10</f>
        <v>10</v>
      </c>
      <c r="AE68" s="1">
        <v>0</v>
      </c>
    </row>
    <row r="69" spans="1:31" x14ac:dyDescent="0.2">
      <c r="A69" s="1">
        <v>68</v>
      </c>
      <c r="B69" s="1">
        <v>2012</v>
      </c>
      <c r="C69" s="1" t="s">
        <v>88</v>
      </c>
      <c r="D69" s="8" t="s">
        <v>332</v>
      </c>
      <c r="E69" s="8" t="s">
        <v>333</v>
      </c>
      <c r="F69" s="1" t="s">
        <v>32</v>
      </c>
      <c r="I69" s="12">
        <v>10.01</v>
      </c>
      <c r="J69" s="7">
        <v>28.6</v>
      </c>
      <c r="K69" s="13"/>
      <c r="L69" s="14">
        <v>2017</v>
      </c>
      <c r="M69" s="14"/>
      <c r="N69" s="14">
        <v>20210</v>
      </c>
      <c r="O69" s="13">
        <v>34.1</v>
      </c>
      <c r="P69" s="13">
        <v>5.5</v>
      </c>
      <c r="Q69" s="13">
        <v>66.599999999999994</v>
      </c>
      <c r="R69" s="13">
        <v>48.1</v>
      </c>
      <c r="S69" s="13"/>
      <c r="T69" s="13"/>
      <c r="U69" s="13">
        <v>6.3</v>
      </c>
      <c r="V69" s="13">
        <v>1</v>
      </c>
      <c r="W69" s="7">
        <v>0.59</v>
      </c>
      <c r="X69" s="15"/>
      <c r="Y69" s="15"/>
      <c r="Z69" s="7">
        <v>3.21</v>
      </c>
      <c r="AA69" s="7">
        <v>2</v>
      </c>
      <c r="AB69" s="16">
        <f>AA69*10</f>
        <v>20</v>
      </c>
      <c r="AC69" s="7">
        <v>0</v>
      </c>
      <c r="AD69" s="16">
        <f>AC69*10</f>
        <v>0</v>
      </c>
      <c r="AE69" s="1">
        <v>1</v>
      </c>
    </row>
    <row r="70" spans="1:31" ht="17" x14ac:dyDescent="0.2">
      <c r="A70" s="1">
        <v>69</v>
      </c>
      <c r="B70" s="1">
        <v>2021</v>
      </c>
      <c r="C70" s="1" t="s">
        <v>88</v>
      </c>
      <c r="D70" s="9" t="s">
        <v>747</v>
      </c>
      <c r="E70" s="1" t="s">
        <v>836</v>
      </c>
      <c r="F70" s="1" t="s">
        <v>32</v>
      </c>
      <c r="I70" s="12">
        <v>4.6330264404734995</v>
      </c>
      <c r="J70" s="12">
        <v>13.237218401</v>
      </c>
      <c r="L70" s="16">
        <v>2018.2472220750001</v>
      </c>
      <c r="N70" s="16">
        <v>9218.1494395240006</v>
      </c>
      <c r="O70" s="15">
        <v>34.717770100000003</v>
      </c>
      <c r="P70" s="15">
        <v>5.0272500000000004</v>
      </c>
      <c r="Q70" s="15">
        <v>64.756249999999994</v>
      </c>
      <c r="R70" s="15">
        <v>31.515250000000002</v>
      </c>
      <c r="U70" s="15">
        <v>12.204750000000001</v>
      </c>
      <c r="V70" s="15">
        <v>12.07175</v>
      </c>
      <c r="W70" s="12">
        <v>0.51388122599999997</v>
      </c>
      <c r="X70" s="15">
        <v>69.651750000000007</v>
      </c>
      <c r="Y70" s="15">
        <v>53.201083517999997</v>
      </c>
      <c r="Z70" s="12"/>
      <c r="AA70" s="15">
        <v>1.25</v>
      </c>
      <c r="AB70" s="16">
        <f>AA70*33.334</f>
        <v>41.667500000000004</v>
      </c>
      <c r="AC70" s="1">
        <v>1.375</v>
      </c>
      <c r="AD70" s="16">
        <f>AC70*33.334</f>
        <v>45.834250000000004</v>
      </c>
      <c r="AE70" s="1">
        <v>1</v>
      </c>
    </row>
    <row r="71" spans="1:31" x14ac:dyDescent="0.2">
      <c r="A71" s="1">
        <v>70</v>
      </c>
      <c r="B71" s="1">
        <v>2021</v>
      </c>
      <c r="C71" s="1" t="s">
        <v>88</v>
      </c>
      <c r="D71" s="1" t="s">
        <v>1023</v>
      </c>
      <c r="E71" s="1" t="s">
        <v>832</v>
      </c>
      <c r="F71" s="1" t="s">
        <v>32</v>
      </c>
      <c r="I71" s="12">
        <v>6.4112511745905003</v>
      </c>
      <c r="J71" s="12">
        <v>18.317860498999998</v>
      </c>
      <c r="L71" s="16">
        <v>2034.726948601</v>
      </c>
      <c r="N71" s="16">
        <v>12602.450622595999</v>
      </c>
      <c r="O71" s="15">
        <v>27.930430499999996</v>
      </c>
      <c r="P71" s="15">
        <v>6.5209999999999999</v>
      </c>
      <c r="Q71" s="15">
        <v>62.957749999999997</v>
      </c>
      <c r="R71" s="15">
        <v>31.15625</v>
      </c>
      <c r="U71" s="15">
        <v>12.234249999999999</v>
      </c>
      <c r="V71" s="15">
        <v>10.858499999999999</v>
      </c>
      <c r="W71" s="12">
        <v>0.51574035900000004</v>
      </c>
      <c r="X71" s="15">
        <v>69.557249999999996</v>
      </c>
      <c r="Y71" s="15">
        <v>53.678094688000002</v>
      </c>
      <c r="Z71" s="12"/>
      <c r="AA71" s="15">
        <v>1.125</v>
      </c>
      <c r="AB71" s="16">
        <f>AA71*33.334</f>
        <v>37.500750000000004</v>
      </c>
      <c r="AC71" s="1">
        <v>0.25</v>
      </c>
      <c r="AD71" s="16">
        <f>AC71*33.334</f>
        <v>8.3335000000000008</v>
      </c>
      <c r="AE71" s="1">
        <v>1</v>
      </c>
    </row>
    <row r="72" spans="1:31" x14ac:dyDescent="0.2">
      <c r="A72" s="1">
        <v>71</v>
      </c>
      <c r="B72" s="1">
        <v>2015</v>
      </c>
      <c r="C72" s="8" t="s">
        <v>88</v>
      </c>
      <c r="D72" s="8" t="s">
        <v>90</v>
      </c>
      <c r="E72" s="8" t="s">
        <v>247</v>
      </c>
      <c r="F72" s="1" t="s">
        <v>83</v>
      </c>
      <c r="I72" s="12">
        <v>6.22</v>
      </c>
      <c r="J72" s="7">
        <v>17.8</v>
      </c>
      <c r="L72" s="14">
        <v>2041</v>
      </c>
      <c r="N72" s="14">
        <v>12771</v>
      </c>
      <c r="O72" s="13">
        <v>28.9</v>
      </c>
      <c r="P72" s="13">
        <v>6.9</v>
      </c>
      <c r="Q72" s="13">
        <v>70.8</v>
      </c>
      <c r="R72" s="13">
        <v>36.9</v>
      </c>
      <c r="S72" s="8"/>
      <c r="T72" s="13" t="s">
        <v>89</v>
      </c>
      <c r="U72" s="13">
        <v>2.6</v>
      </c>
      <c r="V72" s="13">
        <v>8.6</v>
      </c>
      <c r="W72" s="7">
        <v>0.54</v>
      </c>
      <c r="X72" s="13"/>
      <c r="Y72" s="13">
        <v>43.7</v>
      </c>
      <c r="Z72" s="7">
        <v>1.63</v>
      </c>
      <c r="AA72" s="13">
        <v>4.4000000000000004</v>
      </c>
      <c r="AB72" s="16">
        <f>AA72*10</f>
        <v>44</v>
      </c>
      <c r="AC72" s="13">
        <v>1.5</v>
      </c>
      <c r="AD72" s="16">
        <f>AC72*10</f>
        <v>15</v>
      </c>
      <c r="AE72" s="1">
        <v>1</v>
      </c>
    </row>
    <row r="73" spans="1:31" x14ac:dyDescent="0.2">
      <c r="A73" s="1">
        <v>72</v>
      </c>
      <c r="B73" s="1">
        <v>2021</v>
      </c>
      <c r="C73" s="1" t="s">
        <v>88</v>
      </c>
      <c r="D73" s="1" t="s">
        <v>1023</v>
      </c>
      <c r="E73" s="8" t="s">
        <v>337</v>
      </c>
      <c r="F73" s="1" t="s">
        <v>32</v>
      </c>
      <c r="I73" s="12">
        <v>5.4951380882615002</v>
      </c>
      <c r="J73" s="12">
        <v>15.700394537999999</v>
      </c>
      <c r="L73" s="16">
        <v>2041.050814679</v>
      </c>
      <c r="N73" s="16">
        <v>11063.548245440999</v>
      </c>
      <c r="O73" s="15">
        <v>28.975860699999998</v>
      </c>
      <c r="P73" s="15">
        <v>6.4377500000000003</v>
      </c>
      <c r="Q73" s="15">
        <v>63.2485</v>
      </c>
      <c r="R73" s="15">
        <v>30.582999999999998</v>
      </c>
      <c r="U73" s="15">
        <v>11.744249999999999</v>
      </c>
      <c r="V73" s="15">
        <v>11.2395</v>
      </c>
      <c r="W73" s="12">
        <v>0.51786312099999998</v>
      </c>
      <c r="X73" s="15">
        <v>69.390500000000003</v>
      </c>
      <c r="Y73" s="15">
        <v>53.49988827</v>
      </c>
      <c r="Z73" s="12"/>
      <c r="AA73" s="15">
        <v>1.625</v>
      </c>
      <c r="AB73" s="16">
        <f>AA73*33.334</f>
        <v>54.167750000000005</v>
      </c>
      <c r="AC73" s="1">
        <v>0</v>
      </c>
      <c r="AD73" s="16">
        <f>AC73*33.334</f>
        <v>0</v>
      </c>
      <c r="AE73" s="1">
        <v>1</v>
      </c>
    </row>
    <row r="74" spans="1:31" x14ac:dyDescent="0.2">
      <c r="A74" s="1">
        <v>73</v>
      </c>
      <c r="B74" s="1">
        <v>2016</v>
      </c>
      <c r="C74" s="1" t="s">
        <v>88</v>
      </c>
      <c r="D74" s="8" t="s">
        <v>90</v>
      </c>
      <c r="E74" s="8" t="s">
        <v>247</v>
      </c>
      <c r="F74" s="1" t="s">
        <v>32</v>
      </c>
      <c r="H74" s="1" t="s">
        <v>34</v>
      </c>
      <c r="I74" s="12">
        <v>10.55</v>
      </c>
      <c r="J74" s="7">
        <v>30.1</v>
      </c>
      <c r="L74" s="5">
        <v>2048.5</v>
      </c>
      <c r="N74" s="5">
        <v>21551.7</v>
      </c>
      <c r="O74" s="6">
        <v>25.195</v>
      </c>
      <c r="P74" s="6">
        <v>4.5674999999999999</v>
      </c>
      <c r="Q74" s="6">
        <v>70.06</v>
      </c>
      <c r="R74" s="6">
        <v>37.762500000000003</v>
      </c>
      <c r="S74" s="6"/>
      <c r="T74" s="6">
        <v>49.08</v>
      </c>
      <c r="U74" s="6">
        <v>0.42499999999999999</v>
      </c>
      <c r="V74" s="6">
        <v>15.13</v>
      </c>
      <c r="W74" s="7">
        <v>0.53</v>
      </c>
      <c r="X74" s="13"/>
      <c r="Y74" s="6">
        <v>43.842500000000001</v>
      </c>
      <c r="Z74" s="3">
        <v>2.79</v>
      </c>
      <c r="AA74" s="13">
        <v>2</v>
      </c>
      <c r="AB74" s="16">
        <f>AA74*10</f>
        <v>20</v>
      </c>
      <c r="AC74" s="13">
        <v>1.37</v>
      </c>
      <c r="AD74" s="16">
        <f>AC74*10</f>
        <v>13.700000000000001</v>
      </c>
      <c r="AE74" s="1">
        <v>1</v>
      </c>
    </row>
    <row r="75" spans="1:31" x14ac:dyDescent="0.2">
      <c r="A75" s="1">
        <v>74</v>
      </c>
      <c r="B75" s="1">
        <v>2016</v>
      </c>
      <c r="C75" s="1" t="s">
        <v>96</v>
      </c>
      <c r="D75" s="1" t="s">
        <v>246</v>
      </c>
      <c r="E75" s="1" t="s">
        <v>594</v>
      </c>
      <c r="F75" s="1" t="s">
        <v>83</v>
      </c>
      <c r="I75" s="12">
        <v>5.8045737700000002</v>
      </c>
      <c r="J75" s="3">
        <v>16.5844965</v>
      </c>
      <c r="L75" s="5">
        <v>2052.5</v>
      </c>
      <c r="N75" s="5">
        <v>11906.539199999899</v>
      </c>
      <c r="O75" s="6">
        <v>33.020000000000003</v>
      </c>
      <c r="P75" s="6">
        <v>7.4</v>
      </c>
      <c r="Q75" s="6">
        <v>68.599999999999994</v>
      </c>
      <c r="R75" s="6">
        <v>35.157499999999999</v>
      </c>
      <c r="S75" s="6">
        <v>28.774999999999999</v>
      </c>
      <c r="T75" s="6"/>
      <c r="U75" s="15">
        <v>0.95</v>
      </c>
      <c r="V75" s="15">
        <v>10.2475</v>
      </c>
      <c r="W75" s="3">
        <v>0.53469999999999995</v>
      </c>
      <c r="X75" s="6"/>
      <c r="Y75" s="6">
        <v>43.46</v>
      </c>
      <c r="Z75" s="3">
        <v>1.36461984</v>
      </c>
      <c r="AA75" s="6">
        <v>7.75</v>
      </c>
      <c r="AB75" s="16">
        <f>AA75*10</f>
        <v>77.5</v>
      </c>
      <c r="AC75" s="6">
        <v>3.75</v>
      </c>
      <c r="AD75" s="16">
        <f>AC75*10</f>
        <v>37.5</v>
      </c>
      <c r="AE75" s="1">
        <v>0</v>
      </c>
    </row>
    <row r="76" spans="1:31" x14ac:dyDescent="0.2">
      <c r="A76" s="1">
        <v>75</v>
      </c>
      <c r="B76" s="1">
        <v>2018</v>
      </c>
      <c r="C76" s="1" t="s">
        <v>96</v>
      </c>
      <c r="D76" s="1" t="s">
        <v>90</v>
      </c>
      <c r="E76" s="8" t="s">
        <v>100</v>
      </c>
      <c r="F76" s="1" t="s">
        <v>32</v>
      </c>
      <c r="H76" s="1" t="s">
        <v>34</v>
      </c>
      <c r="I76" s="12">
        <v>9.98</v>
      </c>
      <c r="J76" s="7">
        <v>28.53</v>
      </c>
      <c r="L76" s="16">
        <v>2053.25</v>
      </c>
      <c r="M76" s="1" t="s">
        <v>34</v>
      </c>
      <c r="N76" s="14">
        <v>20353.3</v>
      </c>
      <c r="O76" s="15">
        <v>45.29</v>
      </c>
      <c r="P76" s="15">
        <v>6.2874999999999996</v>
      </c>
      <c r="Q76" s="15">
        <v>67.83</v>
      </c>
      <c r="R76" s="15">
        <v>40.274999999999999</v>
      </c>
      <c r="S76" s="12">
        <v>23.88</v>
      </c>
      <c r="U76" s="15">
        <v>0.52249999999999996</v>
      </c>
      <c r="V76" s="15">
        <v>9.567499999999999</v>
      </c>
      <c r="W76" s="12">
        <v>0.51395000000000002</v>
      </c>
      <c r="X76" s="15"/>
      <c r="Y76" s="15">
        <v>45.017499999999998</v>
      </c>
      <c r="Z76" s="12">
        <v>1.23</v>
      </c>
      <c r="AA76" s="16">
        <v>2.25</v>
      </c>
      <c r="AB76" s="16">
        <f>AA76*33.334</f>
        <v>75.001500000000007</v>
      </c>
      <c r="AC76" s="16">
        <v>0.5</v>
      </c>
      <c r="AD76" s="16">
        <f>AC76*33.334</f>
        <v>16.667000000000002</v>
      </c>
      <c r="AE76" s="1">
        <v>0</v>
      </c>
    </row>
    <row r="77" spans="1:31" x14ac:dyDescent="0.2">
      <c r="A77" s="1">
        <v>76</v>
      </c>
      <c r="B77" s="1">
        <v>2009</v>
      </c>
      <c r="C77" s="1" t="s">
        <v>96</v>
      </c>
      <c r="D77" s="1" t="s">
        <v>916</v>
      </c>
      <c r="E77" s="8" t="s">
        <v>147</v>
      </c>
      <c r="F77" s="1" t="s">
        <v>83</v>
      </c>
      <c r="H77" s="1" t="s">
        <v>34</v>
      </c>
      <c r="I77" s="12">
        <v>7.67</v>
      </c>
      <c r="J77" s="7">
        <v>21.9</v>
      </c>
      <c r="L77" s="14">
        <v>2070</v>
      </c>
      <c r="M77" s="14" t="s">
        <v>34</v>
      </c>
      <c r="N77" s="14">
        <v>15866</v>
      </c>
      <c r="O77" s="13">
        <v>27.2</v>
      </c>
      <c r="P77" s="13">
        <v>10.1</v>
      </c>
      <c r="Q77" s="13">
        <v>58.2</v>
      </c>
      <c r="R77" s="13">
        <v>51.3</v>
      </c>
      <c r="S77" s="13"/>
      <c r="T77" s="13">
        <v>38.799999999999997</v>
      </c>
      <c r="U77" s="13">
        <v>4.7</v>
      </c>
      <c r="V77" s="13">
        <v>1.5</v>
      </c>
      <c r="W77" s="12" t="s">
        <v>89</v>
      </c>
      <c r="X77" s="13">
        <v>71.599999999999994</v>
      </c>
      <c r="Y77" s="13">
        <v>59.2</v>
      </c>
      <c r="Z77" s="7">
        <v>2.29</v>
      </c>
      <c r="AA77" s="13">
        <v>0</v>
      </c>
      <c r="AB77" s="16">
        <v>0</v>
      </c>
      <c r="AC77" s="13">
        <v>0</v>
      </c>
      <c r="AD77" s="16">
        <f>AC77*10</f>
        <v>0</v>
      </c>
      <c r="AE77" s="1">
        <v>0</v>
      </c>
    </row>
    <row r="78" spans="1:31" x14ac:dyDescent="0.2">
      <c r="A78" s="1">
        <v>77</v>
      </c>
      <c r="B78" s="1">
        <v>2010</v>
      </c>
      <c r="C78" s="1" t="s">
        <v>96</v>
      </c>
      <c r="D78" s="8" t="s">
        <v>187</v>
      </c>
      <c r="E78" s="8" t="s">
        <v>192</v>
      </c>
      <c r="F78" s="8" t="s">
        <v>83</v>
      </c>
      <c r="G78" s="8"/>
      <c r="H78" s="8"/>
      <c r="I78" s="12">
        <v>5.82</v>
      </c>
      <c r="J78" s="7">
        <v>17.600000000000001</v>
      </c>
      <c r="K78" s="13" t="s">
        <v>34</v>
      </c>
      <c r="L78" s="14">
        <v>2073</v>
      </c>
      <c r="M78" s="14"/>
      <c r="N78" s="14">
        <v>12063</v>
      </c>
      <c r="O78" s="13">
        <v>28.4</v>
      </c>
      <c r="P78" s="13">
        <v>7.6</v>
      </c>
      <c r="Q78" s="13">
        <v>54.7</v>
      </c>
      <c r="R78" s="13">
        <v>47</v>
      </c>
      <c r="S78" s="13"/>
      <c r="T78" s="13">
        <v>36.5</v>
      </c>
      <c r="U78" s="15"/>
      <c r="V78" s="15"/>
      <c r="W78" s="12"/>
      <c r="X78" s="15"/>
      <c r="Y78" s="13">
        <v>60.4</v>
      </c>
      <c r="Z78" s="7">
        <v>1.5</v>
      </c>
      <c r="AA78" s="13">
        <v>1</v>
      </c>
      <c r="AB78" s="16">
        <f>AA78*10</f>
        <v>10</v>
      </c>
      <c r="AC78" s="13">
        <v>1.2</v>
      </c>
      <c r="AD78" s="16">
        <f>AC78*10</f>
        <v>12</v>
      </c>
      <c r="AE78" s="1">
        <v>0</v>
      </c>
    </row>
    <row r="79" spans="1:31" x14ac:dyDescent="0.2">
      <c r="A79" s="1">
        <v>78</v>
      </c>
      <c r="B79" s="1">
        <v>2021</v>
      </c>
      <c r="C79" s="1" t="s">
        <v>96</v>
      </c>
      <c r="D79" s="1" t="s">
        <v>1023</v>
      </c>
      <c r="E79" s="1" t="s">
        <v>796</v>
      </c>
      <c r="F79" s="1" t="s">
        <v>32</v>
      </c>
      <c r="I79" s="12">
        <v>6.2556809485354998</v>
      </c>
      <c r="J79" s="12">
        <v>17.873374138999999</v>
      </c>
      <c r="K79" s="1" t="s">
        <v>34</v>
      </c>
      <c r="L79" s="16">
        <v>2077.2369360140001</v>
      </c>
      <c r="N79" s="16">
        <v>13021.019693101</v>
      </c>
      <c r="O79" s="15">
        <v>24.563473699999999</v>
      </c>
      <c r="P79" s="15">
        <v>7.0045000000000002</v>
      </c>
      <c r="Q79" s="15">
        <v>69.266750000000002</v>
      </c>
      <c r="R79" s="15">
        <v>37.558250000000001</v>
      </c>
      <c r="U79" s="15">
        <v>5.1675000000000004</v>
      </c>
      <c r="V79" s="15">
        <v>9.9252500000000001</v>
      </c>
      <c r="W79" s="12">
        <v>0.51729951799999996</v>
      </c>
      <c r="X79" s="15">
        <v>67.725750000000005</v>
      </c>
      <c r="Y79" s="15">
        <v>55.048071594</v>
      </c>
      <c r="Z79" s="12"/>
      <c r="AA79" s="1">
        <v>1.5</v>
      </c>
      <c r="AB79" s="16">
        <f>AA79*33.334</f>
        <v>50.001000000000005</v>
      </c>
      <c r="AD79" s="16"/>
      <c r="AE79" s="1">
        <v>0</v>
      </c>
    </row>
    <row r="80" spans="1:31" ht="17" x14ac:dyDescent="0.2">
      <c r="A80" s="1">
        <v>79</v>
      </c>
      <c r="B80" s="1">
        <v>2021</v>
      </c>
      <c r="C80" s="1" t="s">
        <v>88</v>
      </c>
      <c r="D80" s="9" t="s">
        <v>747</v>
      </c>
      <c r="E80" s="1" t="s">
        <v>748</v>
      </c>
      <c r="F80" s="1" t="s">
        <v>32</v>
      </c>
      <c r="I80" s="12">
        <v>4.6524368153144993</v>
      </c>
      <c r="J80" s="12">
        <v>13.292676615</v>
      </c>
      <c r="L80" s="16">
        <v>2077.5635650610002</v>
      </c>
      <c r="N80" s="16">
        <v>9924.1021098719993</v>
      </c>
      <c r="O80" s="15">
        <v>32.084874899999996</v>
      </c>
      <c r="P80" s="15">
        <v>5.9497499999999999</v>
      </c>
      <c r="Q80" s="15">
        <v>64.985749999999996</v>
      </c>
      <c r="R80" s="15">
        <v>31.355499999999999</v>
      </c>
      <c r="U80" s="15">
        <v>10.324</v>
      </c>
      <c r="V80" s="15">
        <v>11.6975</v>
      </c>
      <c r="W80" s="12">
        <v>0.52349902599999998</v>
      </c>
      <c r="X80" s="15">
        <v>69.076750000000004</v>
      </c>
      <c r="Y80" s="15">
        <v>53.828627564000001</v>
      </c>
      <c r="Z80" s="12"/>
      <c r="AA80" s="15">
        <v>1.125</v>
      </c>
      <c r="AB80" s="16">
        <f>AA80*33.334</f>
        <v>37.500750000000004</v>
      </c>
      <c r="AC80" s="1">
        <v>0</v>
      </c>
      <c r="AD80" s="16">
        <f>AC80*33.334</f>
        <v>0</v>
      </c>
      <c r="AE80" s="1">
        <v>1</v>
      </c>
    </row>
    <row r="81" spans="1:31" x14ac:dyDescent="0.2">
      <c r="A81" s="1">
        <v>80</v>
      </c>
      <c r="B81" s="1">
        <v>2008</v>
      </c>
      <c r="C81" s="8" t="s">
        <v>88</v>
      </c>
      <c r="D81" s="8" t="s">
        <v>90</v>
      </c>
      <c r="E81" s="8" t="s">
        <v>91</v>
      </c>
      <c r="F81" s="8" t="s">
        <v>32</v>
      </c>
      <c r="G81" s="8"/>
      <c r="H81" s="8"/>
      <c r="I81" s="12">
        <v>8.7899999999999991</v>
      </c>
      <c r="J81" s="7">
        <v>25.1</v>
      </c>
      <c r="K81" s="13"/>
      <c r="L81" s="14">
        <v>2080</v>
      </c>
      <c r="M81" s="14"/>
      <c r="N81" s="14">
        <v>18290</v>
      </c>
      <c r="O81" s="13">
        <v>26</v>
      </c>
      <c r="P81" s="13">
        <v>5.9</v>
      </c>
      <c r="Q81" s="13">
        <v>67.400000000000006</v>
      </c>
      <c r="R81" s="13">
        <v>47.8</v>
      </c>
      <c r="S81" s="13"/>
      <c r="T81" s="13"/>
      <c r="U81" s="13">
        <v>41.6</v>
      </c>
      <c r="V81" s="15" t="s">
        <v>89</v>
      </c>
      <c r="X81" s="15"/>
      <c r="Y81" s="13">
        <v>55.1</v>
      </c>
      <c r="Z81" s="7">
        <v>2.84</v>
      </c>
      <c r="AB81" s="16"/>
      <c r="AD81" s="16"/>
      <c r="AE81" s="1">
        <v>1</v>
      </c>
    </row>
    <row r="82" spans="1:31" x14ac:dyDescent="0.2">
      <c r="A82" s="1">
        <v>81</v>
      </c>
      <c r="B82" s="1">
        <v>2012</v>
      </c>
      <c r="C82" s="1" t="s">
        <v>88</v>
      </c>
      <c r="D82" s="8" t="s">
        <v>1023</v>
      </c>
      <c r="E82" s="8" t="s">
        <v>338</v>
      </c>
      <c r="F82" s="1" t="s">
        <v>83</v>
      </c>
      <c r="I82" s="12">
        <v>4.4400000000000004</v>
      </c>
      <c r="J82" s="7">
        <v>12.7</v>
      </c>
      <c r="K82" s="13"/>
      <c r="L82" s="14">
        <v>2083</v>
      </c>
      <c r="M82" s="14"/>
      <c r="N82" s="14">
        <v>9216</v>
      </c>
      <c r="O82" s="13">
        <v>30.3</v>
      </c>
      <c r="P82" s="13">
        <v>6.36</v>
      </c>
      <c r="Q82" s="13">
        <v>66.8</v>
      </c>
      <c r="R82" s="13">
        <v>37.6</v>
      </c>
      <c r="S82" s="13"/>
      <c r="T82" s="13"/>
      <c r="U82" s="13">
        <v>14.3</v>
      </c>
      <c r="V82" s="13">
        <v>0.5</v>
      </c>
      <c r="W82" s="7">
        <v>0.55000000000000004</v>
      </c>
      <c r="X82" s="15"/>
      <c r="Y82" s="15"/>
      <c r="Z82" s="7">
        <v>1.1100000000000001</v>
      </c>
      <c r="AA82" s="7">
        <v>6.5</v>
      </c>
      <c r="AB82" s="16">
        <f>AA82*10</f>
        <v>65</v>
      </c>
      <c r="AC82" s="7">
        <v>4.7</v>
      </c>
      <c r="AD82" s="16">
        <f>AC82*10</f>
        <v>47</v>
      </c>
      <c r="AE82" s="1">
        <v>1</v>
      </c>
    </row>
    <row r="83" spans="1:31" x14ac:dyDescent="0.2">
      <c r="A83" s="1">
        <v>82</v>
      </c>
      <c r="B83" s="1">
        <v>2014</v>
      </c>
      <c r="C83" s="1" t="s">
        <v>31</v>
      </c>
      <c r="D83" s="1" t="s">
        <v>916</v>
      </c>
      <c r="E83" s="1" t="s">
        <v>404</v>
      </c>
      <c r="F83" s="1" t="s">
        <v>83</v>
      </c>
      <c r="G83" s="1">
        <v>130</v>
      </c>
      <c r="H83" s="1" t="s">
        <v>34</v>
      </c>
      <c r="I83" s="12">
        <v>6.51</v>
      </c>
      <c r="J83" s="12">
        <v>18.600000000000001</v>
      </c>
      <c r="L83" s="16">
        <v>2084</v>
      </c>
      <c r="N83" s="16">
        <v>13601</v>
      </c>
      <c r="O83" s="15">
        <v>31</v>
      </c>
      <c r="P83" s="15">
        <v>7.34</v>
      </c>
      <c r="Q83" s="15">
        <v>50.2</v>
      </c>
      <c r="R83" s="15">
        <v>50.3</v>
      </c>
      <c r="T83" s="15"/>
      <c r="U83" s="15">
        <v>9.6999999999999993</v>
      </c>
      <c r="V83" s="15">
        <v>14.7</v>
      </c>
      <c r="W83" s="12">
        <v>0.65</v>
      </c>
      <c r="X83" s="15"/>
      <c r="Y83" s="15">
        <v>63.5</v>
      </c>
      <c r="Z83" s="12">
        <v>1.65</v>
      </c>
      <c r="AA83" s="1">
        <v>3</v>
      </c>
      <c r="AB83" s="16">
        <f>AA83*10</f>
        <v>30</v>
      </c>
      <c r="AD83" s="16"/>
      <c r="AE83" s="1">
        <v>1</v>
      </c>
    </row>
    <row r="84" spans="1:31" x14ac:dyDescent="0.2">
      <c r="A84" s="1">
        <v>83</v>
      </c>
      <c r="B84" s="1">
        <v>2012</v>
      </c>
      <c r="C84" s="1" t="s">
        <v>88</v>
      </c>
      <c r="D84" s="8" t="s">
        <v>332</v>
      </c>
      <c r="E84" s="8" t="s">
        <v>334</v>
      </c>
      <c r="F84" s="1" t="s">
        <v>83</v>
      </c>
      <c r="H84" s="1" t="s">
        <v>34</v>
      </c>
      <c r="I84" s="12">
        <v>8.0399999999999991</v>
      </c>
      <c r="J84" s="7">
        <v>23</v>
      </c>
      <c r="K84" s="13"/>
      <c r="L84" s="14">
        <v>2094</v>
      </c>
      <c r="M84" s="14" t="s">
        <v>34</v>
      </c>
      <c r="N84" s="14">
        <v>16869</v>
      </c>
      <c r="O84" s="13">
        <v>32.5</v>
      </c>
      <c r="P84" s="13">
        <v>6.01</v>
      </c>
      <c r="Q84" s="13">
        <v>67.599999999999994</v>
      </c>
      <c r="R84" s="13">
        <v>41.4</v>
      </c>
      <c r="S84" s="13"/>
      <c r="T84" s="13"/>
      <c r="U84" s="13">
        <v>4.5</v>
      </c>
      <c r="V84" s="13">
        <v>0.3</v>
      </c>
      <c r="W84" s="7">
        <v>0.54</v>
      </c>
      <c r="X84" s="15"/>
      <c r="Y84" s="15"/>
      <c r="Z84" s="7">
        <v>2.2599999999999998</v>
      </c>
      <c r="AA84" s="7">
        <v>2.5</v>
      </c>
      <c r="AB84" s="16">
        <f>AA84*10</f>
        <v>25</v>
      </c>
      <c r="AC84" s="7">
        <v>0</v>
      </c>
      <c r="AD84" s="16">
        <f>AC84*10</f>
        <v>0</v>
      </c>
      <c r="AE84" s="1">
        <v>1</v>
      </c>
    </row>
    <row r="85" spans="1:31" x14ac:dyDescent="0.2">
      <c r="A85" s="1">
        <v>84</v>
      </c>
      <c r="B85" s="1">
        <v>2021</v>
      </c>
      <c r="C85" s="1" t="s">
        <v>88</v>
      </c>
      <c r="D85" s="28" t="s">
        <v>914</v>
      </c>
      <c r="E85" s="1" t="s">
        <v>792</v>
      </c>
      <c r="F85" s="1" t="s">
        <v>32</v>
      </c>
      <c r="I85" s="12">
        <v>3.5215272499129999</v>
      </c>
      <c r="J85" s="12">
        <v>10.061506428</v>
      </c>
      <c r="L85" s="16">
        <v>2094.367870823</v>
      </c>
      <c r="N85" s="16">
        <v>7310.7726463830004</v>
      </c>
      <c r="O85" s="15">
        <v>28.285605800000003</v>
      </c>
      <c r="P85" s="15">
        <v>7.4427500000000002</v>
      </c>
      <c r="Q85" s="15">
        <v>61.47</v>
      </c>
      <c r="R85" s="15">
        <v>30.779499999999999</v>
      </c>
      <c r="U85" s="15">
        <v>13.819000000000001</v>
      </c>
      <c r="V85" s="15">
        <v>11.16325</v>
      </c>
      <c r="W85" s="12">
        <v>0.524132504</v>
      </c>
      <c r="X85" s="15">
        <v>71.219250000000002</v>
      </c>
      <c r="Y85" s="15">
        <v>54.580493941999997</v>
      </c>
      <c r="Z85" s="12"/>
      <c r="AA85" s="15">
        <v>1.875</v>
      </c>
      <c r="AB85" s="16">
        <f>AA85*33.334</f>
        <v>62.501250000000006</v>
      </c>
      <c r="AC85" s="1">
        <v>2.5</v>
      </c>
      <c r="AD85" s="16">
        <f>AC85*33.334</f>
        <v>83.335000000000008</v>
      </c>
      <c r="AE85" s="1">
        <v>1</v>
      </c>
    </row>
    <row r="86" spans="1:31" x14ac:dyDescent="0.2">
      <c r="A86" s="1">
        <v>85</v>
      </c>
      <c r="B86" s="1">
        <v>2017</v>
      </c>
      <c r="C86" s="1" t="s">
        <v>96</v>
      </c>
      <c r="D86" s="1" t="s">
        <v>1023</v>
      </c>
      <c r="E86" s="1" t="s">
        <v>646</v>
      </c>
      <c r="F86" s="1" t="s">
        <v>32</v>
      </c>
      <c r="I86" s="12">
        <v>6.84</v>
      </c>
      <c r="J86" s="3">
        <v>19.600000000000001</v>
      </c>
      <c r="L86" s="5">
        <v>2100</v>
      </c>
      <c r="N86" s="5">
        <v>14321</v>
      </c>
      <c r="O86" s="6">
        <v>29.2</v>
      </c>
      <c r="P86" s="6">
        <v>4.3</v>
      </c>
      <c r="Q86" s="6">
        <v>72.3</v>
      </c>
      <c r="R86" s="6">
        <v>48.3</v>
      </c>
      <c r="S86" s="6">
        <v>22</v>
      </c>
      <c r="U86" s="15">
        <v>0.6</v>
      </c>
      <c r="V86" s="15">
        <v>14.5</v>
      </c>
      <c r="W86" s="3">
        <v>0.52200000000000002</v>
      </c>
      <c r="X86" s="6"/>
      <c r="Y86" s="6">
        <v>47.5</v>
      </c>
      <c r="Z86" s="3">
        <v>2.4</v>
      </c>
      <c r="AB86" s="16"/>
      <c r="AD86" s="16"/>
      <c r="AE86" s="1">
        <v>0</v>
      </c>
    </row>
    <row r="87" spans="1:31" x14ac:dyDescent="0.2">
      <c r="A87" s="1">
        <v>86</v>
      </c>
      <c r="B87" s="1">
        <v>2021</v>
      </c>
      <c r="C87" s="1" t="s">
        <v>88</v>
      </c>
      <c r="D87" s="8" t="s">
        <v>874</v>
      </c>
      <c r="E87" s="1" t="s">
        <v>835</v>
      </c>
      <c r="F87" s="1" t="s">
        <v>32</v>
      </c>
      <c r="I87" s="12">
        <v>6.8404875970800001</v>
      </c>
      <c r="J87" s="12">
        <v>19.544250277</v>
      </c>
      <c r="L87" s="16">
        <v>2101.8192593130002</v>
      </c>
      <c r="N87" s="16">
        <v>14439.055224936001</v>
      </c>
      <c r="O87" s="15">
        <v>27.327471199999998</v>
      </c>
      <c r="P87" s="15">
        <v>5.9779999999999998</v>
      </c>
      <c r="Q87" s="15">
        <v>62.914000000000001</v>
      </c>
      <c r="R87" s="15">
        <v>30.769749999999998</v>
      </c>
      <c r="U87" s="15">
        <v>10.94375</v>
      </c>
      <c r="V87" s="15">
        <v>12.61675</v>
      </c>
      <c r="W87" s="12">
        <v>0.52658839599999996</v>
      </c>
      <c r="X87" s="15">
        <v>70.834500000000006</v>
      </c>
      <c r="Y87" s="15">
        <v>54.373468385999999</v>
      </c>
      <c r="Z87" s="12"/>
      <c r="AA87" s="15">
        <v>1</v>
      </c>
      <c r="AB87" s="16">
        <f>AA87*33.334</f>
        <v>33.334000000000003</v>
      </c>
      <c r="AC87" s="1">
        <v>0</v>
      </c>
      <c r="AD87" s="16">
        <f>AC87*33.334</f>
        <v>0</v>
      </c>
      <c r="AE87" s="1">
        <v>1</v>
      </c>
    </row>
    <row r="88" spans="1:31" x14ac:dyDescent="0.2">
      <c r="A88" s="1">
        <v>87</v>
      </c>
      <c r="B88" s="1">
        <v>2011</v>
      </c>
      <c r="C88" s="1" t="s">
        <v>88</v>
      </c>
      <c r="D88" s="1" t="s">
        <v>916</v>
      </c>
      <c r="E88" s="8" t="s">
        <v>236</v>
      </c>
      <c r="F88" s="1" t="s">
        <v>83</v>
      </c>
      <c r="I88" s="12">
        <v>5.73</v>
      </c>
      <c r="J88" s="12">
        <v>17.899999999999999</v>
      </c>
      <c r="K88" s="13"/>
      <c r="L88" s="14">
        <v>2102</v>
      </c>
      <c r="M88" s="14"/>
      <c r="N88" s="14">
        <v>12040</v>
      </c>
      <c r="O88" s="13">
        <v>27.8</v>
      </c>
      <c r="P88" s="13">
        <v>5.2</v>
      </c>
      <c r="Q88" s="13">
        <v>53.6</v>
      </c>
      <c r="R88" s="13">
        <v>55.9</v>
      </c>
      <c r="T88" s="15"/>
      <c r="U88" s="13">
        <v>8.4</v>
      </c>
      <c r="V88" s="13">
        <v>1.8</v>
      </c>
      <c r="W88" s="12" t="s">
        <v>89</v>
      </c>
      <c r="X88" s="15" t="s">
        <v>89</v>
      </c>
      <c r="Y88" s="13">
        <v>64.7</v>
      </c>
      <c r="Z88" s="7">
        <v>1.72</v>
      </c>
      <c r="AA88" s="1">
        <v>2</v>
      </c>
      <c r="AB88" s="16">
        <f>AA88*10</f>
        <v>20</v>
      </c>
      <c r="AC88" s="1">
        <v>2</v>
      </c>
      <c r="AD88" s="16">
        <f>AC88*10</f>
        <v>20</v>
      </c>
      <c r="AE88" s="1">
        <v>1</v>
      </c>
    </row>
    <row r="89" spans="1:31" x14ac:dyDescent="0.2">
      <c r="A89" s="1">
        <v>88</v>
      </c>
      <c r="B89" s="1">
        <v>2021</v>
      </c>
      <c r="C89" s="1" t="s">
        <v>88</v>
      </c>
      <c r="D89" s="1" t="s">
        <v>1023</v>
      </c>
      <c r="E89" s="1" t="s">
        <v>790</v>
      </c>
      <c r="F89" s="1" t="s">
        <v>32</v>
      </c>
      <c r="I89" s="12">
        <v>7.0411109421365001</v>
      </c>
      <c r="J89" s="12">
        <v>20.117459834999998</v>
      </c>
      <c r="L89" s="16">
        <v>2102.9229524540001</v>
      </c>
      <c r="M89" s="1" t="s">
        <v>34</v>
      </c>
      <c r="N89" s="16">
        <v>15075.18226614</v>
      </c>
      <c r="O89" s="15">
        <v>31.628330200000001</v>
      </c>
      <c r="P89" s="15">
        <v>5.7887500000000003</v>
      </c>
      <c r="Q89" s="15">
        <v>63.02825</v>
      </c>
      <c r="R89" s="15">
        <v>31.03875</v>
      </c>
      <c r="U89" s="15">
        <v>12.898999999999999</v>
      </c>
      <c r="V89" s="15">
        <v>11.651999999999999</v>
      </c>
      <c r="W89" s="12">
        <v>0.52629948299999996</v>
      </c>
      <c r="X89" s="15">
        <v>70.221249999999998</v>
      </c>
      <c r="Y89" s="15">
        <v>54.443760431999998</v>
      </c>
      <c r="Z89" s="12"/>
      <c r="AA89" s="15">
        <v>0.875</v>
      </c>
      <c r="AB89" s="16">
        <f>AA89*33.334</f>
        <v>29.167250000000003</v>
      </c>
      <c r="AC89" s="1">
        <v>0</v>
      </c>
      <c r="AD89" s="16">
        <f>AC89*33.334</f>
        <v>0</v>
      </c>
      <c r="AE89" s="1">
        <v>1</v>
      </c>
    </row>
    <row r="90" spans="1:31" x14ac:dyDescent="0.2">
      <c r="A90" s="1">
        <v>89</v>
      </c>
      <c r="B90" s="1">
        <v>2017</v>
      </c>
      <c r="C90" s="1" t="s">
        <v>88</v>
      </c>
      <c r="D90" s="1" t="s">
        <v>246</v>
      </c>
      <c r="E90" s="1" t="s">
        <v>578</v>
      </c>
      <c r="F90" s="1" t="s">
        <v>32</v>
      </c>
      <c r="H90" s="1" t="s">
        <v>34</v>
      </c>
      <c r="I90" s="12">
        <v>7.1</v>
      </c>
      <c r="J90" s="3">
        <v>20.3</v>
      </c>
      <c r="L90" s="5">
        <v>2110</v>
      </c>
      <c r="N90" s="5">
        <v>15003.5666</v>
      </c>
      <c r="O90" s="6">
        <v>28.132128000000002</v>
      </c>
      <c r="P90" s="6">
        <v>4.6624999999999996</v>
      </c>
      <c r="Q90" s="6">
        <v>71.099999999999994</v>
      </c>
      <c r="R90" s="15">
        <v>40.515000000000001</v>
      </c>
      <c r="S90" s="15">
        <v>27.7</v>
      </c>
      <c r="U90" s="6">
        <v>1.8674999999999999</v>
      </c>
      <c r="V90" s="6">
        <v>13.8</v>
      </c>
      <c r="W90" s="3">
        <v>0.53395000000000004</v>
      </c>
      <c r="X90" s="6"/>
      <c r="Y90" s="15">
        <v>45.217500000000001</v>
      </c>
      <c r="Z90" s="3">
        <v>2.1</v>
      </c>
      <c r="AB90" s="16"/>
      <c r="AD90" s="16"/>
      <c r="AE90" s="1">
        <v>1</v>
      </c>
    </row>
    <row r="91" spans="1:31" x14ac:dyDescent="0.2">
      <c r="A91" s="1">
        <v>90</v>
      </c>
      <c r="B91" s="1">
        <v>2012</v>
      </c>
      <c r="C91" s="1" t="s">
        <v>96</v>
      </c>
      <c r="D91" s="8" t="s">
        <v>1023</v>
      </c>
      <c r="E91" s="8" t="s">
        <v>345</v>
      </c>
      <c r="F91" s="1" t="s">
        <v>83</v>
      </c>
      <c r="I91" s="12">
        <v>4.75</v>
      </c>
      <c r="J91" s="7">
        <v>13.6</v>
      </c>
      <c r="K91" s="13"/>
      <c r="L91" s="14">
        <v>2123</v>
      </c>
      <c r="M91" s="14"/>
      <c r="N91" s="14">
        <v>10063</v>
      </c>
      <c r="O91" s="13">
        <v>29.9</v>
      </c>
      <c r="P91" s="13">
        <v>8.2899999999999991</v>
      </c>
      <c r="Q91" s="13">
        <v>64.400000000000006</v>
      </c>
      <c r="R91" s="13">
        <v>38.4</v>
      </c>
      <c r="S91" s="13"/>
      <c r="T91" s="13"/>
      <c r="U91" s="15"/>
      <c r="V91" s="13">
        <v>0.5</v>
      </c>
      <c r="W91" s="7">
        <v>0.54</v>
      </c>
      <c r="X91" s="13">
        <v>60.3</v>
      </c>
      <c r="Y91" s="15"/>
      <c r="Z91" s="7">
        <v>1.18</v>
      </c>
      <c r="AA91" s="7">
        <v>5.4</v>
      </c>
      <c r="AB91" s="16">
        <f>AA91*10</f>
        <v>54</v>
      </c>
      <c r="AC91" s="7">
        <v>9.1999999999999993</v>
      </c>
      <c r="AD91" s="16">
        <f>AC91*10</f>
        <v>92</v>
      </c>
      <c r="AE91" s="1">
        <v>0</v>
      </c>
    </row>
    <row r="92" spans="1:31" x14ac:dyDescent="0.2">
      <c r="A92" s="1">
        <v>91</v>
      </c>
      <c r="B92" s="1">
        <v>2012</v>
      </c>
      <c r="C92" s="1" t="s">
        <v>96</v>
      </c>
      <c r="D92" s="8" t="s">
        <v>341</v>
      </c>
      <c r="E92" s="8" t="s">
        <v>342</v>
      </c>
      <c r="F92" s="1" t="s">
        <v>32</v>
      </c>
      <c r="I92" s="12">
        <v>6.75</v>
      </c>
      <c r="J92" s="7">
        <v>19.285714285714299</v>
      </c>
      <c r="K92" s="13"/>
      <c r="L92" s="14">
        <v>2124</v>
      </c>
      <c r="M92" s="14"/>
      <c r="N92" s="14">
        <v>14352</v>
      </c>
      <c r="O92" s="13">
        <v>28.1</v>
      </c>
      <c r="P92" s="13">
        <v>3.6</v>
      </c>
      <c r="Q92" s="13">
        <v>71.3</v>
      </c>
      <c r="R92" s="13">
        <v>53.5</v>
      </c>
      <c r="S92" s="13"/>
      <c r="T92" s="13"/>
      <c r="U92" s="13">
        <v>5.0999999999999996</v>
      </c>
      <c r="V92" s="13">
        <v>0.2</v>
      </c>
      <c r="W92" s="7">
        <v>0.56000000000000005</v>
      </c>
      <c r="X92" s="15"/>
      <c r="Y92" s="15"/>
      <c r="Z92" s="7">
        <v>2.57</v>
      </c>
      <c r="AA92" s="7">
        <v>3.1</v>
      </c>
      <c r="AB92" s="16">
        <f>AA92*10</f>
        <v>31</v>
      </c>
      <c r="AC92" s="7">
        <v>2.2999999999999998</v>
      </c>
      <c r="AD92" s="16">
        <f>AC92*10</f>
        <v>23</v>
      </c>
      <c r="AE92" s="1">
        <v>0</v>
      </c>
    </row>
    <row r="93" spans="1:31" x14ac:dyDescent="0.2">
      <c r="A93" s="1">
        <v>92</v>
      </c>
      <c r="B93" s="1">
        <v>2008</v>
      </c>
      <c r="C93" s="1" t="s">
        <v>31</v>
      </c>
      <c r="D93" s="1" t="s">
        <v>916</v>
      </c>
      <c r="E93" s="8" t="s">
        <v>85</v>
      </c>
      <c r="F93" s="8" t="s">
        <v>83</v>
      </c>
      <c r="G93" s="8"/>
      <c r="H93" s="8"/>
      <c r="I93" s="12">
        <v>4.4400000000000004</v>
      </c>
      <c r="J93" s="7">
        <v>12.685714285714287</v>
      </c>
      <c r="K93" s="13"/>
      <c r="L93" s="14">
        <v>2140</v>
      </c>
      <c r="M93" s="14"/>
      <c r="N93" s="14">
        <v>9560</v>
      </c>
      <c r="O93" s="13">
        <v>29.6</v>
      </c>
      <c r="P93" s="13">
        <v>10.5</v>
      </c>
      <c r="Q93" s="13">
        <v>52.5</v>
      </c>
      <c r="R93" s="13">
        <v>22.3</v>
      </c>
      <c r="S93" s="13"/>
      <c r="T93" s="13">
        <v>25.2</v>
      </c>
      <c r="U93" s="13">
        <v>15</v>
      </c>
      <c r="V93" s="15"/>
      <c r="X93" s="15"/>
      <c r="Y93" s="13">
        <v>52.7</v>
      </c>
      <c r="Z93" s="7">
        <v>0.53</v>
      </c>
      <c r="AB93" s="16"/>
      <c r="AD93" s="16"/>
      <c r="AE93" s="1">
        <v>1</v>
      </c>
    </row>
    <row r="94" spans="1:31" x14ac:dyDescent="0.2">
      <c r="A94" s="1">
        <v>93</v>
      </c>
      <c r="B94" s="1">
        <v>2021</v>
      </c>
      <c r="C94" s="1" t="s">
        <v>88</v>
      </c>
      <c r="D94" s="28" t="s">
        <v>914</v>
      </c>
      <c r="E94" s="1" t="s">
        <v>639</v>
      </c>
      <c r="F94" s="1" t="s">
        <v>32</v>
      </c>
      <c r="I94" s="12">
        <v>2.8236813474085003</v>
      </c>
      <c r="J94" s="12">
        <v>8.0676609930000005</v>
      </c>
      <c r="L94" s="16">
        <v>2142.4850027550001</v>
      </c>
      <c r="N94" s="16">
        <v>6039.7265773859999</v>
      </c>
      <c r="O94" s="15">
        <v>23.570765900000001</v>
      </c>
      <c r="P94" s="15">
        <v>6.524</v>
      </c>
      <c r="Q94" s="15">
        <v>60.158999999999999</v>
      </c>
      <c r="R94" s="15">
        <v>30.43675</v>
      </c>
      <c r="U94" s="15">
        <v>12.644500000000001</v>
      </c>
      <c r="V94" s="15">
        <v>13.0235</v>
      </c>
      <c r="W94" s="12">
        <v>0.53111143199999999</v>
      </c>
      <c r="X94" s="15">
        <v>73.580500000000001</v>
      </c>
      <c r="Y94" s="15">
        <v>55.338050903000003</v>
      </c>
      <c r="Z94" s="12"/>
      <c r="AA94" s="15">
        <v>1.75</v>
      </c>
      <c r="AB94" s="16">
        <f>AA94*33.334</f>
        <v>58.334500000000006</v>
      </c>
      <c r="AC94" s="1">
        <v>2.5</v>
      </c>
      <c r="AD94" s="16">
        <f>AC94*33.334</f>
        <v>83.335000000000008</v>
      </c>
      <c r="AE94" s="1">
        <v>1</v>
      </c>
    </row>
    <row r="95" spans="1:31" x14ac:dyDescent="0.2">
      <c r="A95" s="1">
        <v>94</v>
      </c>
      <c r="B95" s="1">
        <v>2012</v>
      </c>
      <c r="C95" s="1" t="s">
        <v>96</v>
      </c>
      <c r="D95" s="8" t="s">
        <v>332</v>
      </c>
      <c r="E95" s="8" t="s">
        <v>344</v>
      </c>
      <c r="F95" s="1" t="s">
        <v>83</v>
      </c>
      <c r="I95" s="12">
        <v>5.15</v>
      </c>
      <c r="J95" s="7">
        <v>14.7</v>
      </c>
      <c r="K95" s="8"/>
      <c r="L95" s="14">
        <v>2144</v>
      </c>
      <c r="M95" s="8"/>
      <c r="N95" s="14">
        <v>11079</v>
      </c>
      <c r="O95" s="13">
        <v>26.4</v>
      </c>
      <c r="P95" s="13">
        <v>7.93</v>
      </c>
      <c r="Q95" s="13">
        <v>63.9</v>
      </c>
      <c r="R95" s="13">
        <v>38.4</v>
      </c>
      <c r="S95" s="13"/>
      <c r="T95" s="13"/>
      <c r="U95" s="15"/>
      <c r="V95" s="13">
        <v>0.5</v>
      </c>
      <c r="W95" s="7">
        <v>0.55000000000000004</v>
      </c>
      <c r="X95" s="13">
        <v>60.6</v>
      </c>
      <c r="Y95" s="15"/>
      <c r="Z95" s="7">
        <v>1.26</v>
      </c>
      <c r="AA95" s="7">
        <v>3</v>
      </c>
      <c r="AB95" s="16">
        <f>AA95*10</f>
        <v>30</v>
      </c>
      <c r="AC95" s="7">
        <v>0</v>
      </c>
      <c r="AD95" s="16">
        <f>AC95*10</f>
        <v>0</v>
      </c>
      <c r="AE95" s="1">
        <v>0</v>
      </c>
    </row>
    <row r="96" spans="1:31" x14ac:dyDescent="0.2">
      <c r="A96" s="1">
        <v>95</v>
      </c>
      <c r="B96" s="1">
        <v>2008</v>
      </c>
      <c r="C96" s="1" t="s">
        <v>31</v>
      </c>
      <c r="D96" s="8" t="s">
        <v>78</v>
      </c>
      <c r="E96" s="8" t="s">
        <v>81</v>
      </c>
      <c r="F96" s="8" t="s">
        <v>83</v>
      </c>
      <c r="G96" s="8"/>
      <c r="H96" s="8"/>
      <c r="I96" s="12">
        <v>3.96</v>
      </c>
      <c r="J96" s="7">
        <v>11.314285714285715</v>
      </c>
      <c r="K96" s="13"/>
      <c r="L96" s="14">
        <v>2161</v>
      </c>
      <c r="M96" s="14"/>
      <c r="N96" s="14">
        <v>8545</v>
      </c>
      <c r="O96" s="13">
        <v>28.1</v>
      </c>
      <c r="P96" s="13">
        <v>10.4</v>
      </c>
      <c r="Q96" s="13">
        <v>52.5</v>
      </c>
      <c r="R96" s="13">
        <v>26.7</v>
      </c>
      <c r="S96" s="13"/>
      <c r="T96" s="13">
        <v>25.6</v>
      </c>
      <c r="U96" s="13">
        <v>14.8</v>
      </c>
      <c r="V96" s="15"/>
      <c r="X96" s="15"/>
      <c r="Y96" s="13">
        <v>53.1</v>
      </c>
      <c r="Z96" s="7">
        <v>0.55000000000000004</v>
      </c>
      <c r="AB96" s="16"/>
      <c r="AD96" s="16"/>
      <c r="AE96" s="1">
        <v>1</v>
      </c>
    </row>
    <row r="97" spans="1:31" x14ac:dyDescent="0.2">
      <c r="A97" s="1">
        <v>96</v>
      </c>
      <c r="B97" s="1">
        <v>2016</v>
      </c>
      <c r="C97" s="1" t="s">
        <v>96</v>
      </c>
      <c r="D97" s="1" t="s">
        <v>90</v>
      </c>
      <c r="E97" s="8" t="s">
        <v>100</v>
      </c>
      <c r="F97" s="1" t="s">
        <v>83</v>
      </c>
      <c r="I97" s="12">
        <v>6.7828488</v>
      </c>
      <c r="J97" s="3">
        <v>19.379567999999999</v>
      </c>
      <c r="L97" s="5">
        <v>2179</v>
      </c>
      <c r="N97" s="5">
        <v>14769.4139</v>
      </c>
      <c r="O97" s="6">
        <v>29.639312100000001</v>
      </c>
      <c r="P97" s="6">
        <v>5.8250000000000002</v>
      </c>
      <c r="Q97" s="6">
        <v>66</v>
      </c>
      <c r="R97" s="6">
        <v>37.522500000000001</v>
      </c>
      <c r="S97" s="6">
        <v>26.717500000000001</v>
      </c>
      <c r="T97" s="6"/>
      <c r="U97" s="15">
        <v>0.60250000000000004</v>
      </c>
      <c r="V97" s="15">
        <v>15.4</v>
      </c>
      <c r="W97" s="3">
        <v>0.54535</v>
      </c>
      <c r="X97" s="6"/>
      <c r="Y97" s="6">
        <v>45.895000000000003</v>
      </c>
      <c r="Z97" s="3">
        <v>1.64017133</v>
      </c>
      <c r="AA97" s="6">
        <v>2.5</v>
      </c>
      <c r="AB97" s="16">
        <f>AA97*10</f>
        <v>25</v>
      </c>
      <c r="AC97" s="6">
        <v>1</v>
      </c>
      <c r="AD97" s="16">
        <f>AC97*10</f>
        <v>10</v>
      </c>
      <c r="AE97" s="1">
        <v>0</v>
      </c>
    </row>
    <row r="98" spans="1:31" x14ac:dyDescent="0.2">
      <c r="A98" s="1">
        <v>97</v>
      </c>
      <c r="B98" s="1">
        <v>2013</v>
      </c>
      <c r="C98" s="1" t="s">
        <v>96</v>
      </c>
      <c r="D98" s="8" t="s">
        <v>1023</v>
      </c>
      <c r="E98" s="8" t="s">
        <v>397</v>
      </c>
      <c r="F98" s="1" t="s">
        <v>83</v>
      </c>
      <c r="I98" s="12">
        <v>3.36</v>
      </c>
      <c r="J98" s="7">
        <v>9.6</v>
      </c>
      <c r="K98" s="13"/>
      <c r="L98" s="14">
        <v>2190</v>
      </c>
      <c r="M98" s="14"/>
      <c r="N98" s="14">
        <v>7334</v>
      </c>
      <c r="O98" s="13">
        <v>23.2</v>
      </c>
      <c r="P98" s="13">
        <v>10.199999999999999</v>
      </c>
      <c r="Q98" s="13">
        <v>62.1</v>
      </c>
      <c r="R98" s="13">
        <v>43.1</v>
      </c>
      <c r="S98" s="13" t="s">
        <v>89</v>
      </c>
      <c r="T98" s="13"/>
      <c r="U98" s="13">
        <v>9.3000000000000007</v>
      </c>
      <c r="V98" s="13">
        <v>1.1000000000000001</v>
      </c>
      <c r="W98" s="7">
        <v>0.51</v>
      </c>
      <c r="X98" s="13">
        <v>64.599999999999994</v>
      </c>
      <c r="Y98" s="13">
        <v>50.6</v>
      </c>
      <c r="Z98" s="7">
        <v>0.9</v>
      </c>
      <c r="AA98" s="13">
        <v>4</v>
      </c>
      <c r="AB98" s="16">
        <f>AA98*10</f>
        <v>40</v>
      </c>
      <c r="AC98" s="13">
        <v>0</v>
      </c>
      <c r="AD98" s="16">
        <f>AC205*10</f>
        <v>0</v>
      </c>
      <c r="AE98" s="1">
        <v>0</v>
      </c>
    </row>
    <row r="99" spans="1:31" x14ac:dyDescent="0.2">
      <c r="A99" s="1">
        <v>98</v>
      </c>
      <c r="B99" s="1">
        <v>2015</v>
      </c>
      <c r="C99" s="8" t="s">
        <v>96</v>
      </c>
      <c r="D99" s="8" t="s">
        <v>90</v>
      </c>
      <c r="E99" s="8" t="s">
        <v>100</v>
      </c>
      <c r="F99" s="1" t="s">
        <v>83</v>
      </c>
      <c r="I99" s="12">
        <v>8.5</v>
      </c>
      <c r="J99" s="7">
        <v>24.3</v>
      </c>
      <c r="L99" s="14">
        <v>2190</v>
      </c>
      <c r="N99" s="14">
        <v>18726</v>
      </c>
      <c r="O99" s="13">
        <v>29.3</v>
      </c>
      <c r="P99" s="13">
        <v>6.2</v>
      </c>
      <c r="Q99" s="13">
        <v>67.599999999999994</v>
      </c>
      <c r="R99" s="13">
        <v>39.5</v>
      </c>
      <c r="S99" s="8"/>
      <c r="T99" s="15" t="s">
        <v>89</v>
      </c>
      <c r="U99" s="13">
        <v>2.2999999999999998</v>
      </c>
      <c r="V99" s="13">
        <v>12.6</v>
      </c>
      <c r="W99" s="7">
        <v>0.56000000000000005</v>
      </c>
      <c r="X99" s="13"/>
      <c r="Y99" s="13">
        <v>46.4</v>
      </c>
      <c r="Z99" s="7">
        <v>2.2799999999999998</v>
      </c>
      <c r="AA99" s="13">
        <v>1.2</v>
      </c>
      <c r="AB99" s="16">
        <f>AA99*10</f>
        <v>12</v>
      </c>
      <c r="AC99" s="13">
        <v>1</v>
      </c>
      <c r="AD99" s="16">
        <f>AC99*10</f>
        <v>10</v>
      </c>
      <c r="AE99" s="1">
        <v>0</v>
      </c>
    </row>
    <row r="100" spans="1:31" x14ac:dyDescent="0.2">
      <c r="A100" s="1">
        <v>99</v>
      </c>
      <c r="B100" s="1">
        <v>2011</v>
      </c>
      <c r="C100" s="1" t="s">
        <v>88</v>
      </c>
      <c r="D100" s="8" t="s">
        <v>187</v>
      </c>
      <c r="E100" s="8" t="s">
        <v>188</v>
      </c>
      <c r="F100" s="1" t="s">
        <v>32</v>
      </c>
      <c r="I100" s="12">
        <v>8.18</v>
      </c>
      <c r="J100" s="12">
        <v>14.882595262000001</v>
      </c>
      <c r="K100" s="13"/>
      <c r="L100" s="14">
        <v>2193</v>
      </c>
      <c r="M100" s="14"/>
      <c r="N100" s="14">
        <v>17937</v>
      </c>
      <c r="O100" s="13">
        <v>28.8</v>
      </c>
      <c r="P100" s="13">
        <v>5.3</v>
      </c>
      <c r="Q100" s="13">
        <v>61.1</v>
      </c>
      <c r="R100" s="13">
        <v>47.2</v>
      </c>
      <c r="T100" s="15"/>
      <c r="U100" s="15" t="s">
        <v>89</v>
      </c>
      <c r="V100" s="13">
        <v>0.9</v>
      </c>
      <c r="W100" s="12" t="s">
        <v>89</v>
      </c>
      <c r="X100" s="15" t="s">
        <v>89</v>
      </c>
      <c r="Y100" s="13">
        <v>59</v>
      </c>
      <c r="Z100" s="7">
        <v>2.35</v>
      </c>
      <c r="AA100" s="1">
        <v>0.5</v>
      </c>
      <c r="AB100" s="16">
        <f>AA100*10</f>
        <v>5</v>
      </c>
      <c r="AC100" s="1">
        <v>3.8</v>
      </c>
      <c r="AD100" s="16">
        <f>AC100*10</f>
        <v>38</v>
      </c>
      <c r="AE100" s="1">
        <v>1</v>
      </c>
    </row>
    <row r="101" spans="1:31" x14ac:dyDescent="0.2">
      <c r="A101" s="1">
        <v>100</v>
      </c>
      <c r="B101" s="1">
        <v>2015</v>
      </c>
      <c r="C101" s="8" t="s">
        <v>96</v>
      </c>
      <c r="D101" s="8" t="s">
        <v>187</v>
      </c>
      <c r="E101" s="8" t="s">
        <v>521</v>
      </c>
      <c r="F101" s="1" t="s">
        <v>83</v>
      </c>
      <c r="I101" s="12">
        <v>8.1</v>
      </c>
      <c r="J101" s="7">
        <v>23.142857142857142</v>
      </c>
      <c r="L101" s="14">
        <v>2199</v>
      </c>
      <c r="N101" s="14">
        <v>17811</v>
      </c>
      <c r="O101" s="13">
        <v>28.6</v>
      </c>
      <c r="P101" s="13">
        <v>5.8</v>
      </c>
      <c r="Q101" s="13">
        <v>71.099999999999994</v>
      </c>
      <c r="R101" s="13">
        <v>42.6</v>
      </c>
      <c r="S101" s="8"/>
      <c r="T101" s="15" t="s">
        <v>89</v>
      </c>
      <c r="U101" s="13">
        <v>1.7</v>
      </c>
      <c r="V101" s="13">
        <v>12.5</v>
      </c>
      <c r="W101" s="7">
        <v>0.55000000000000004</v>
      </c>
      <c r="X101" s="13"/>
      <c r="Y101" s="13">
        <v>47.1</v>
      </c>
      <c r="Z101" s="7">
        <v>2.4500000000000002</v>
      </c>
      <c r="AA101" s="13">
        <v>1.7</v>
      </c>
      <c r="AB101" s="16">
        <f>AA101*10</f>
        <v>17</v>
      </c>
      <c r="AC101" s="13">
        <v>1</v>
      </c>
      <c r="AD101" s="16">
        <f>AC101*10</f>
        <v>10</v>
      </c>
      <c r="AE101" s="1">
        <v>0</v>
      </c>
    </row>
    <row r="102" spans="1:31" x14ac:dyDescent="0.2">
      <c r="A102" s="1">
        <v>101</v>
      </c>
      <c r="B102" s="1">
        <v>2017</v>
      </c>
      <c r="C102" s="1" t="s">
        <v>88</v>
      </c>
      <c r="D102" s="1" t="s">
        <v>246</v>
      </c>
      <c r="E102" s="1" t="s">
        <v>514</v>
      </c>
      <c r="F102" s="1" t="s">
        <v>32</v>
      </c>
      <c r="H102" s="1" t="s">
        <v>34</v>
      </c>
      <c r="I102" s="12">
        <v>6.87</v>
      </c>
      <c r="J102" s="3">
        <v>19.600000000000001</v>
      </c>
      <c r="L102" s="5">
        <v>2203.25</v>
      </c>
      <c r="N102" s="5">
        <v>15204.9426</v>
      </c>
      <c r="O102" s="6">
        <v>28.958066299999999</v>
      </c>
      <c r="P102" s="6">
        <v>4.6325000000000003</v>
      </c>
      <c r="Q102" s="6">
        <v>69.3</v>
      </c>
      <c r="R102" s="15">
        <v>42.365000000000002</v>
      </c>
      <c r="S102" s="15">
        <v>27.2</v>
      </c>
      <c r="U102" s="6">
        <v>5.5225</v>
      </c>
      <c r="V102" s="6">
        <v>10.7</v>
      </c>
      <c r="W102" s="3">
        <v>0.54759999999999998</v>
      </c>
      <c r="X102" s="6"/>
      <c r="Y102" s="15">
        <v>46.024999999999999</v>
      </c>
      <c r="Z102" s="3">
        <v>1.8775308399999999</v>
      </c>
      <c r="AB102" s="16"/>
      <c r="AD102" s="16"/>
      <c r="AE102" s="1">
        <v>1</v>
      </c>
    </row>
    <row r="103" spans="1:31" x14ac:dyDescent="0.2">
      <c r="A103" s="1">
        <v>102</v>
      </c>
      <c r="B103" s="1">
        <v>2021</v>
      </c>
      <c r="C103" s="1" t="s">
        <v>88</v>
      </c>
      <c r="D103" s="28" t="s">
        <v>914</v>
      </c>
      <c r="E103" s="1" t="s">
        <v>837</v>
      </c>
      <c r="F103" s="1" t="s">
        <v>32</v>
      </c>
      <c r="I103" s="12">
        <v>5.1185687142855008</v>
      </c>
      <c r="J103" s="12">
        <v>14.624482041</v>
      </c>
      <c r="L103" s="16">
        <v>2206.6031119190002</v>
      </c>
      <c r="N103" s="16">
        <v>11582.824492502999</v>
      </c>
      <c r="O103" s="15">
        <v>24.2288961</v>
      </c>
      <c r="P103" s="15">
        <v>7.2735000000000003</v>
      </c>
      <c r="Q103" s="15">
        <v>58.659750000000003</v>
      </c>
      <c r="R103" s="15">
        <v>30.038250000000001</v>
      </c>
      <c r="U103" s="15">
        <v>13.7585</v>
      </c>
      <c r="V103" s="15">
        <v>12.784000000000001</v>
      </c>
      <c r="W103" s="12">
        <v>0.54038013699999998</v>
      </c>
      <c r="X103" s="15">
        <v>73.416250000000005</v>
      </c>
      <c r="Y103" s="15">
        <v>56.303098224999999</v>
      </c>
      <c r="Z103" s="12"/>
      <c r="AA103" s="15">
        <v>1.25</v>
      </c>
      <c r="AB103" s="16">
        <f>AA103*33.334</f>
        <v>41.667500000000004</v>
      </c>
      <c r="AC103" s="1">
        <v>1.75</v>
      </c>
      <c r="AD103" s="16">
        <f>AC103*33.334</f>
        <v>58.334500000000006</v>
      </c>
      <c r="AE103" s="1">
        <v>1</v>
      </c>
    </row>
    <row r="104" spans="1:31" x14ac:dyDescent="0.2">
      <c r="A104" s="1">
        <v>103</v>
      </c>
      <c r="B104" s="1">
        <v>2010</v>
      </c>
      <c r="C104" s="1" t="s">
        <v>88</v>
      </c>
      <c r="D104" s="8" t="s">
        <v>1023</v>
      </c>
      <c r="E104" s="8">
        <v>7301</v>
      </c>
      <c r="F104" s="1" t="s">
        <v>83</v>
      </c>
      <c r="I104" s="12">
        <v>4.47</v>
      </c>
      <c r="J104" s="7">
        <v>12.771428571428601</v>
      </c>
      <c r="L104" s="16">
        <v>2211</v>
      </c>
      <c r="N104" s="16">
        <v>9765</v>
      </c>
      <c r="O104" s="15">
        <v>26.6</v>
      </c>
      <c r="P104" s="15">
        <v>8.6</v>
      </c>
      <c r="Q104" s="15">
        <v>53.3</v>
      </c>
      <c r="R104" s="15">
        <v>47.9</v>
      </c>
      <c r="T104" s="15"/>
      <c r="U104" s="15">
        <v>35.700000000000003</v>
      </c>
      <c r="V104" s="15">
        <v>2.2999999999999998</v>
      </c>
      <c r="W104" s="12"/>
      <c r="X104" s="15"/>
      <c r="Y104" s="15">
        <v>62.2</v>
      </c>
      <c r="Z104" s="12">
        <v>1.1499999999999999</v>
      </c>
      <c r="AA104" s="13">
        <v>2.5</v>
      </c>
      <c r="AB104" s="16">
        <f>AA104*10</f>
        <v>25</v>
      </c>
      <c r="AC104" s="13">
        <v>10</v>
      </c>
      <c r="AD104" s="16">
        <f>AC104*10</f>
        <v>100</v>
      </c>
      <c r="AE104" s="1">
        <v>1</v>
      </c>
    </row>
    <row r="105" spans="1:31" x14ac:dyDescent="0.2">
      <c r="A105" s="1">
        <v>104</v>
      </c>
      <c r="B105" s="1">
        <v>2014</v>
      </c>
      <c r="C105" s="1" t="s">
        <v>96</v>
      </c>
      <c r="D105" s="8" t="s">
        <v>187</v>
      </c>
      <c r="E105" s="8" t="s">
        <v>465</v>
      </c>
      <c r="F105" s="8" t="s">
        <v>32</v>
      </c>
      <c r="H105" s="1" t="s">
        <v>34</v>
      </c>
      <c r="I105" s="12">
        <v>9.9</v>
      </c>
      <c r="J105" s="7">
        <v>28.3</v>
      </c>
      <c r="K105" s="13"/>
      <c r="L105" s="14">
        <v>2211</v>
      </c>
      <c r="M105" s="14" t="s">
        <v>34</v>
      </c>
      <c r="N105" s="14">
        <v>21888</v>
      </c>
      <c r="O105" s="13">
        <v>30.1</v>
      </c>
      <c r="P105" s="13">
        <v>6.6</v>
      </c>
      <c r="Q105" s="13">
        <v>60.9</v>
      </c>
      <c r="R105" s="13">
        <v>45.5</v>
      </c>
      <c r="T105" s="15"/>
      <c r="U105" s="13">
        <v>8.3000000000000007</v>
      </c>
      <c r="V105" s="13">
        <v>1.3</v>
      </c>
      <c r="W105" s="7">
        <v>0.53</v>
      </c>
      <c r="X105" s="15"/>
      <c r="Y105" s="13">
        <v>52.3</v>
      </c>
      <c r="Z105" s="7">
        <v>2.74</v>
      </c>
      <c r="AA105" s="13">
        <v>4.0999999999999996</v>
      </c>
      <c r="AB105" s="16">
        <f>AA105*10</f>
        <v>41</v>
      </c>
      <c r="AC105" s="8">
        <v>0</v>
      </c>
      <c r="AD105" s="16">
        <f>AC105*10</f>
        <v>0</v>
      </c>
      <c r="AE105" s="1">
        <v>0</v>
      </c>
    </row>
    <row r="106" spans="1:31" x14ac:dyDescent="0.2">
      <c r="A106" s="1">
        <v>105</v>
      </c>
      <c r="B106" s="1">
        <v>2020</v>
      </c>
      <c r="C106" s="1" t="s">
        <v>88</v>
      </c>
      <c r="D106" s="28" t="s">
        <v>914</v>
      </c>
      <c r="E106" s="1" t="s">
        <v>793</v>
      </c>
      <c r="F106" s="1" t="s">
        <v>83</v>
      </c>
      <c r="I106" s="12">
        <v>4.6621446088444998</v>
      </c>
      <c r="J106" s="12">
        <v>13.320413168</v>
      </c>
      <c r="K106" s="1" t="s">
        <v>754</v>
      </c>
      <c r="L106" s="16">
        <v>2213.437030306</v>
      </c>
      <c r="N106" s="16">
        <v>10381.163878177</v>
      </c>
      <c r="O106" s="10">
        <v>22.390287400000002</v>
      </c>
      <c r="P106" s="15">
        <v>7.9950000000000001</v>
      </c>
      <c r="Q106" s="15">
        <v>64.44</v>
      </c>
      <c r="R106" s="15">
        <v>22.895</v>
      </c>
      <c r="S106" s="15"/>
      <c r="T106" s="15">
        <v>37.365000000000002</v>
      </c>
      <c r="U106" s="15">
        <v>7.3674999999999997</v>
      </c>
      <c r="V106" s="15">
        <v>7.77</v>
      </c>
      <c r="W106" s="12">
        <v>0.536004959</v>
      </c>
      <c r="X106" s="15"/>
      <c r="Y106" s="15">
        <v>57.393172180999997</v>
      </c>
      <c r="Z106" s="12"/>
      <c r="AA106" s="15">
        <v>1.375</v>
      </c>
      <c r="AB106" s="16">
        <f>AA106*33.334</f>
        <v>45.834250000000004</v>
      </c>
      <c r="AC106" s="1">
        <v>0</v>
      </c>
      <c r="AD106" s="16">
        <f>AC106*33.334</f>
        <v>0</v>
      </c>
      <c r="AE106" s="1">
        <v>1</v>
      </c>
    </row>
    <row r="107" spans="1:31" x14ac:dyDescent="0.2">
      <c r="A107" s="1">
        <v>106</v>
      </c>
      <c r="B107" s="1">
        <v>2009</v>
      </c>
      <c r="C107" s="1" t="s">
        <v>96</v>
      </c>
      <c r="D107" s="1" t="s">
        <v>916</v>
      </c>
      <c r="E107" s="8" t="s">
        <v>99</v>
      </c>
      <c r="F107" s="1" t="s">
        <v>83</v>
      </c>
      <c r="I107" s="12">
        <v>4.75</v>
      </c>
      <c r="J107" s="7">
        <v>13.6</v>
      </c>
      <c r="L107" s="14">
        <v>2215</v>
      </c>
      <c r="M107" s="14"/>
      <c r="N107" s="14">
        <v>10568</v>
      </c>
      <c r="O107" s="13">
        <v>28.3</v>
      </c>
      <c r="P107" s="13">
        <v>9</v>
      </c>
      <c r="Q107" s="13">
        <v>59.7</v>
      </c>
      <c r="R107" s="13">
        <v>45.7</v>
      </c>
      <c r="S107" s="13"/>
      <c r="T107" s="13">
        <v>40.200000000000003</v>
      </c>
      <c r="U107" s="13">
        <v>8.6999999999999993</v>
      </c>
      <c r="V107" s="13">
        <v>2.1</v>
      </c>
      <c r="W107" s="12" t="s">
        <v>89</v>
      </c>
      <c r="X107" s="13">
        <v>67.599999999999994</v>
      </c>
      <c r="Y107" s="13">
        <v>58</v>
      </c>
      <c r="Z107" s="7">
        <v>1.3</v>
      </c>
      <c r="AA107" s="13">
        <v>1</v>
      </c>
      <c r="AB107" s="14">
        <v>10</v>
      </c>
      <c r="AC107" s="13">
        <v>1</v>
      </c>
      <c r="AD107" s="16">
        <f>AC107*10</f>
        <v>10</v>
      </c>
      <c r="AE107" s="1">
        <v>0</v>
      </c>
    </row>
    <row r="108" spans="1:31" x14ac:dyDescent="0.2">
      <c r="A108" s="1">
        <v>107</v>
      </c>
      <c r="B108" s="1">
        <v>2016</v>
      </c>
      <c r="C108" s="1" t="s">
        <v>88</v>
      </c>
      <c r="D108" s="1" t="s">
        <v>246</v>
      </c>
      <c r="E108" s="1" t="s">
        <v>514</v>
      </c>
      <c r="F108" s="1" t="s">
        <v>83</v>
      </c>
      <c r="I108" s="12">
        <v>5.2913221699999999</v>
      </c>
      <c r="J108" s="3">
        <v>15.1180634</v>
      </c>
      <c r="L108" s="5">
        <v>2221.5</v>
      </c>
      <c r="N108" s="5">
        <v>11732.511699999999</v>
      </c>
      <c r="O108" s="6">
        <v>30.000568399999999</v>
      </c>
      <c r="P108" s="6">
        <v>6.3075000000000001</v>
      </c>
      <c r="Q108" s="6">
        <v>66.599999999999994</v>
      </c>
      <c r="R108" s="15">
        <v>37.412500000000001</v>
      </c>
      <c r="S108" s="6">
        <v>27.962499999999999</v>
      </c>
      <c r="T108" s="6"/>
      <c r="U108" s="6">
        <v>1.5325</v>
      </c>
      <c r="V108" s="6">
        <v>13.5025</v>
      </c>
      <c r="W108" s="3">
        <v>0.55412499999999998</v>
      </c>
      <c r="X108" s="6"/>
      <c r="Y108" s="15">
        <v>46.26</v>
      </c>
      <c r="Z108" s="3">
        <v>1.2875596199999999</v>
      </c>
      <c r="AA108" s="6">
        <v>2.625</v>
      </c>
      <c r="AB108" s="16">
        <f>AA108*10</f>
        <v>26.25</v>
      </c>
      <c r="AC108" s="6">
        <v>1</v>
      </c>
      <c r="AD108" s="16">
        <f>AC108*10</f>
        <v>10</v>
      </c>
      <c r="AE108" s="1">
        <v>1</v>
      </c>
    </row>
    <row r="109" spans="1:31" x14ac:dyDescent="0.2">
      <c r="A109" s="1">
        <v>108</v>
      </c>
      <c r="B109" s="1">
        <v>2011</v>
      </c>
      <c r="C109" s="1" t="s">
        <v>96</v>
      </c>
      <c r="D109" s="8" t="s">
        <v>246</v>
      </c>
      <c r="E109" s="8" t="s">
        <v>262</v>
      </c>
      <c r="F109" s="1" t="s">
        <v>83</v>
      </c>
      <c r="H109" s="1" t="s">
        <v>34</v>
      </c>
      <c r="I109" s="12">
        <v>6.01</v>
      </c>
      <c r="J109" s="12">
        <v>22</v>
      </c>
      <c r="K109" s="8"/>
      <c r="L109" s="14">
        <v>2230</v>
      </c>
      <c r="M109" s="8"/>
      <c r="N109" s="14">
        <v>13423</v>
      </c>
      <c r="O109" s="13">
        <v>29.8</v>
      </c>
      <c r="P109" s="13">
        <v>5.7</v>
      </c>
      <c r="Q109" s="13">
        <v>67.099999999999994</v>
      </c>
      <c r="R109" s="13">
        <v>38.6</v>
      </c>
      <c r="S109" s="13"/>
      <c r="T109" s="13"/>
      <c r="U109" s="13">
        <v>4.5999999999999996</v>
      </c>
      <c r="V109" s="13">
        <v>0.5</v>
      </c>
      <c r="W109" s="7" t="s">
        <v>89</v>
      </c>
      <c r="X109" s="13" t="s">
        <v>89</v>
      </c>
      <c r="Y109" s="13">
        <v>54.6</v>
      </c>
      <c r="Z109" s="7">
        <v>1.55</v>
      </c>
      <c r="AA109" s="13">
        <v>1.25</v>
      </c>
      <c r="AB109" s="16">
        <f>AA109*10</f>
        <v>12.5</v>
      </c>
      <c r="AC109" s="13">
        <v>1</v>
      </c>
      <c r="AD109" s="16">
        <f>AC109*10</f>
        <v>10</v>
      </c>
      <c r="AE109" s="1">
        <v>0</v>
      </c>
    </row>
    <row r="110" spans="1:31" x14ac:dyDescent="0.2">
      <c r="A110" s="1">
        <v>109</v>
      </c>
      <c r="B110" s="1">
        <v>2012</v>
      </c>
      <c r="C110" s="1" t="s">
        <v>96</v>
      </c>
      <c r="D110" s="8" t="s">
        <v>1023</v>
      </c>
      <c r="E110" s="8" t="s">
        <v>347</v>
      </c>
      <c r="F110" s="1" t="s">
        <v>83</v>
      </c>
      <c r="I110" s="12">
        <v>3.36</v>
      </c>
      <c r="J110" s="7">
        <v>9.6</v>
      </c>
      <c r="K110" s="13"/>
      <c r="L110" s="14">
        <v>2231</v>
      </c>
      <c r="M110" s="14"/>
      <c r="N110" s="14">
        <v>7502</v>
      </c>
      <c r="O110" s="13">
        <v>28.4</v>
      </c>
      <c r="P110" s="13">
        <v>7.54</v>
      </c>
      <c r="Q110" s="13">
        <v>65.599999999999994</v>
      </c>
      <c r="R110" s="13">
        <v>40.9</v>
      </c>
      <c r="S110" s="13"/>
      <c r="T110" s="13"/>
      <c r="U110" s="15"/>
      <c r="V110" s="13">
        <v>0.4</v>
      </c>
      <c r="W110" s="7">
        <v>0.56000000000000005</v>
      </c>
      <c r="X110" s="13">
        <v>61.3</v>
      </c>
      <c r="Y110" s="15"/>
      <c r="Z110" s="7">
        <v>0.9</v>
      </c>
      <c r="AA110" s="7">
        <v>5</v>
      </c>
      <c r="AB110" s="16">
        <f>AA110*10</f>
        <v>50</v>
      </c>
      <c r="AC110" s="7">
        <v>0</v>
      </c>
      <c r="AD110" s="16">
        <f>AC110*10</f>
        <v>0</v>
      </c>
      <c r="AE110" s="1">
        <v>0</v>
      </c>
    </row>
    <row r="111" spans="1:31" ht="17" x14ac:dyDescent="0.2">
      <c r="A111" s="1">
        <v>110</v>
      </c>
      <c r="B111" s="1">
        <v>2020</v>
      </c>
      <c r="C111" s="1" t="s">
        <v>88</v>
      </c>
      <c r="D111" s="9" t="s">
        <v>747</v>
      </c>
      <c r="E111" s="1" t="s">
        <v>748</v>
      </c>
      <c r="F111" s="1" t="s">
        <v>83</v>
      </c>
      <c r="I111" s="12">
        <v>5.3906757205005</v>
      </c>
      <c r="J111" s="12">
        <v>15.401930630000001</v>
      </c>
      <c r="K111" s="1" t="s">
        <v>754</v>
      </c>
      <c r="L111" s="16">
        <v>2239.7793256959999</v>
      </c>
      <c r="N111" s="16">
        <v>12124.944137637</v>
      </c>
      <c r="O111" s="10">
        <v>26.250577200000002</v>
      </c>
      <c r="P111" s="15">
        <v>7.45</v>
      </c>
      <c r="Q111" s="15">
        <v>64.677499999999995</v>
      </c>
      <c r="R111" s="15">
        <v>26.412500000000001</v>
      </c>
      <c r="S111" s="15"/>
      <c r="T111" s="15">
        <v>35.792499999999997</v>
      </c>
      <c r="U111" s="15">
        <v>8.0724999999999998</v>
      </c>
      <c r="V111" s="15">
        <v>8.5399999999999991</v>
      </c>
      <c r="W111" s="12">
        <v>0.53642468399999998</v>
      </c>
      <c r="X111" s="15"/>
      <c r="Y111" s="15">
        <v>58.509208022000003</v>
      </c>
      <c r="Z111" s="12"/>
      <c r="AA111" s="15">
        <v>1.875</v>
      </c>
      <c r="AB111" s="16">
        <f>AA111*33.334</f>
        <v>62.501250000000006</v>
      </c>
      <c r="AC111" s="1">
        <v>0</v>
      </c>
      <c r="AD111" s="16">
        <f>AC111*33.334</f>
        <v>0</v>
      </c>
      <c r="AE111" s="1">
        <v>1</v>
      </c>
    </row>
    <row r="112" spans="1:31" ht="17" x14ac:dyDescent="0.2">
      <c r="A112" s="1">
        <v>111</v>
      </c>
      <c r="B112" s="1">
        <v>2019</v>
      </c>
      <c r="C112" s="1" t="s">
        <v>96</v>
      </c>
      <c r="D112" s="8" t="s">
        <v>187</v>
      </c>
      <c r="E112" s="8" t="s">
        <v>752</v>
      </c>
      <c r="F112" s="1" t="s">
        <v>32</v>
      </c>
      <c r="H112" s="1" t="s">
        <v>34</v>
      </c>
      <c r="I112" s="12">
        <v>9.4</v>
      </c>
      <c r="J112" s="3">
        <v>26.7</v>
      </c>
      <c r="L112" s="5">
        <v>2252.25</v>
      </c>
      <c r="M112" s="6" t="s">
        <v>34</v>
      </c>
      <c r="N112" s="5">
        <v>21062</v>
      </c>
      <c r="O112" s="6">
        <v>30.734999999999999</v>
      </c>
      <c r="P112" s="6">
        <v>4.5824999999999996</v>
      </c>
      <c r="Q112" s="6">
        <v>64</v>
      </c>
      <c r="R112" s="6">
        <v>42.487499999999997</v>
      </c>
      <c r="S112" s="3"/>
      <c r="T112" s="6">
        <v>43.9</v>
      </c>
      <c r="U112" s="6">
        <v>1.5725</v>
      </c>
      <c r="V112" s="6">
        <v>16.940000000000001</v>
      </c>
      <c r="W112" s="3">
        <v>0.57572499999999993</v>
      </c>
      <c r="X112" s="6"/>
      <c r="Y112" s="6">
        <v>48.352499999999999</v>
      </c>
      <c r="Z112" s="3">
        <v>2.5</v>
      </c>
      <c r="AB112" s="16"/>
      <c r="AC112" s="6">
        <v>0</v>
      </c>
      <c r="AD112" s="16">
        <f>AC112*10</f>
        <v>0</v>
      </c>
      <c r="AE112" s="1">
        <v>0</v>
      </c>
    </row>
    <row r="113" spans="1:31" x14ac:dyDescent="0.2">
      <c r="A113" s="1">
        <v>112</v>
      </c>
      <c r="B113" s="1">
        <v>2018</v>
      </c>
      <c r="C113" s="1" t="s">
        <v>88</v>
      </c>
      <c r="D113" s="1" t="s">
        <v>90</v>
      </c>
      <c r="E113" s="1" t="s">
        <v>247</v>
      </c>
      <c r="F113" s="1" t="s">
        <v>32</v>
      </c>
      <c r="I113" s="12">
        <v>8.6248569733839098</v>
      </c>
      <c r="J113" s="3">
        <v>24.642448495382599</v>
      </c>
      <c r="L113" s="5">
        <v>2271.25</v>
      </c>
      <c r="N113" s="5">
        <v>19509.517609455001</v>
      </c>
      <c r="O113" s="6">
        <v>29.551832836658701</v>
      </c>
      <c r="P113" s="18">
        <v>4.7024999999999997</v>
      </c>
      <c r="Q113" s="6">
        <v>67.2</v>
      </c>
      <c r="R113" s="6">
        <v>44.174999999999997</v>
      </c>
      <c r="S113" s="3">
        <v>21.75</v>
      </c>
      <c r="U113" s="6">
        <v>0.53249999999999997</v>
      </c>
      <c r="V113" s="6">
        <v>12.835000000000001</v>
      </c>
      <c r="W113" s="3">
        <v>0.54484999999999995</v>
      </c>
      <c r="X113" s="6"/>
      <c r="Y113" s="6">
        <v>48.677500000000002</v>
      </c>
      <c r="Z113" s="3">
        <v>1.1583419445598699</v>
      </c>
      <c r="AA113" s="5">
        <v>2.25</v>
      </c>
      <c r="AB113" s="16">
        <f>AA113*33.334</f>
        <v>75.001500000000007</v>
      </c>
      <c r="AC113" s="5">
        <v>1.25</v>
      </c>
      <c r="AD113" s="16">
        <f>AC113*33.334</f>
        <v>41.667500000000004</v>
      </c>
      <c r="AE113" s="1">
        <v>1</v>
      </c>
    </row>
    <row r="114" spans="1:31" x14ac:dyDescent="0.2">
      <c r="A114" s="1">
        <v>113</v>
      </c>
      <c r="B114" s="1">
        <v>2008</v>
      </c>
      <c r="C114" s="8" t="s">
        <v>96</v>
      </c>
      <c r="D114" s="8" t="s">
        <v>90</v>
      </c>
      <c r="E114" s="8" t="s">
        <v>100</v>
      </c>
      <c r="F114" s="8" t="s">
        <v>83</v>
      </c>
      <c r="G114" s="8"/>
      <c r="H114" s="8" t="s">
        <v>34</v>
      </c>
      <c r="I114" s="12">
        <v>5.08</v>
      </c>
      <c r="J114" s="7">
        <v>14.5</v>
      </c>
      <c r="K114" s="13"/>
      <c r="L114" s="14">
        <v>2276</v>
      </c>
      <c r="M114" s="14"/>
      <c r="N114" s="14">
        <v>11551</v>
      </c>
      <c r="O114" s="13">
        <v>28.6</v>
      </c>
      <c r="P114" s="13">
        <v>4.8</v>
      </c>
      <c r="Q114" s="13">
        <v>61.6</v>
      </c>
      <c r="R114" s="13">
        <v>46.6</v>
      </c>
      <c r="S114" s="13"/>
      <c r="T114" s="13"/>
      <c r="U114" s="13">
        <v>38.700000000000003</v>
      </c>
      <c r="V114" s="15" t="s">
        <v>89</v>
      </c>
      <c r="X114" s="15"/>
      <c r="Y114" s="13">
        <v>58.3</v>
      </c>
      <c r="Z114" s="7">
        <v>1.46</v>
      </c>
      <c r="AB114" s="16"/>
      <c r="AD114" s="16"/>
      <c r="AE114" s="1">
        <v>0</v>
      </c>
    </row>
    <row r="115" spans="1:31" x14ac:dyDescent="0.2">
      <c r="A115" s="1">
        <v>114</v>
      </c>
      <c r="B115" s="1">
        <v>2008</v>
      </c>
      <c r="C115" s="8" t="s">
        <v>96</v>
      </c>
      <c r="D115" s="8" t="s">
        <v>90</v>
      </c>
      <c r="E115" s="8" t="s">
        <v>101</v>
      </c>
      <c r="F115" s="8" t="s">
        <v>32</v>
      </c>
      <c r="G115" s="8"/>
      <c r="H115" s="8" t="s">
        <v>34</v>
      </c>
      <c r="I115" s="12">
        <v>9.34</v>
      </c>
      <c r="J115" s="7">
        <v>26.7</v>
      </c>
      <c r="K115" s="13"/>
      <c r="L115" s="14">
        <v>2283</v>
      </c>
      <c r="M115" s="14" t="s">
        <v>34</v>
      </c>
      <c r="N115" s="14">
        <v>21314</v>
      </c>
      <c r="O115" s="13">
        <v>31.9</v>
      </c>
      <c r="P115" s="13">
        <v>8</v>
      </c>
      <c r="Q115" s="13">
        <v>56.9</v>
      </c>
      <c r="R115" s="13">
        <v>40.4</v>
      </c>
      <c r="S115" s="13"/>
      <c r="T115" s="13"/>
      <c r="U115" s="13">
        <v>37.6</v>
      </c>
      <c r="V115" s="15" t="s">
        <v>89</v>
      </c>
      <c r="X115" s="15"/>
      <c r="Y115" s="13">
        <v>59.6</v>
      </c>
      <c r="Z115" s="7">
        <v>2.15</v>
      </c>
      <c r="AB115" s="16"/>
      <c r="AD115" s="16"/>
      <c r="AE115" s="1">
        <v>0</v>
      </c>
    </row>
    <row r="116" spans="1:31" x14ac:dyDescent="0.2">
      <c r="A116" s="1">
        <v>115</v>
      </c>
      <c r="B116" s="1">
        <v>2020</v>
      </c>
      <c r="C116" s="1" t="s">
        <v>88</v>
      </c>
      <c r="D116" s="1" t="s">
        <v>1023</v>
      </c>
      <c r="E116" s="1" t="s">
        <v>732</v>
      </c>
      <c r="F116" s="1" t="s">
        <v>83</v>
      </c>
      <c r="I116" s="12">
        <v>5.0152042131404997</v>
      </c>
      <c r="J116" s="12">
        <v>14.329154895</v>
      </c>
      <c r="K116" s="1" t="s">
        <v>754</v>
      </c>
      <c r="L116" s="16">
        <v>2289.8211054799999</v>
      </c>
      <c r="N116" s="16">
        <v>11466.156214942001</v>
      </c>
      <c r="O116" s="10">
        <v>25.1041004</v>
      </c>
      <c r="P116" s="15">
        <v>7.7549999999999999</v>
      </c>
      <c r="Q116" s="15">
        <v>65.207499999999996</v>
      </c>
      <c r="R116" s="15">
        <v>24.59</v>
      </c>
      <c r="S116" s="15"/>
      <c r="T116" s="15">
        <v>37.344999999999999</v>
      </c>
      <c r="U116" s="15">
        <v>7.48</v>
      </c>
      <c r="V116" s="15">
        <v>7.8949999999999996</v>
      </c>
      <c r="W116" s="12">
        <v>0.54500989700000002</v>
      </c>
      <c r="X116" s="15"/>
      <c r="Y116" s="15">
        <v>58.978330233999998</v>
      </c>
      <c r="Z116" s="12"/>
      <c r="AA116" s="15">
        <v>1.875</v>
      </c>
      <c r="AB116" s="16">
        <f>AA116*33.334</f>
        <v>62.501250000000006</v>
      </c>
      <c r="AC116" s="1">
        <v>0</v>
      </c>
      <c r="AD116" s="16">
        <f>AC116*33.334</f>
        <v>0</v>
      </c>
      <c r="AE116" s="1">
        <v>1</v>
      </c>
    </row>
    <row r="117" spans="1:31" x14ac:dyDescent="0.2">
      <c r="A117" s="1">
        <v>116</v>
      </c>
      <c r="B117" s="1">
        <v>2020</v>
      </c>
      <c r="C117" s="1" t="s">
        <v>88</v>
      </c>
      <c r="D117" s="28" t="s">
        <v>914</v>
      </c>
      <c r="E117" s="1" t="s">
        <v>792</v>
      </c>
      <c r="F117" s="1" t="s">
        <v>83</v>
      </c>
      <c r="I117" s="12">
        <v>5.1023235940784994</v>
      </c>
      <c r="J117" s="12">
        <v>14.578067411999999</v>
      </c>
      <c r="K117" s="1" t="s">
        <v>754</v>
      </c>
      <c r="L117" s="16">
        <v>2298.8384186640001</v>
      </c>
      <c r="N117" s="16">
        <v>11713.96827297</v>
      </c>
      <c r="O117" s="10">
        <v>24.8124501</v>
      </c>
      <c r="P117" s="15">
        <v>7.9474999999999998</v>
      </c>
      <c r="Q117" s="15">
        <v>65.927499999999995</v>
      </c>
      <c r="R117" s="15">
        <v>24.99</v>
      </c>
      <c r="S117" s="15"/>
      <c r="T117" s="15">
        <v>38.130000000000003</v>
      </c>
      <c r="U117" s="15">
        <v>7.5949999999999998</v>
      </c>
      <c r="V117" s="15">
        <v>7.2074999999999996</v>
      </c>
      <c r="W117" s="12">
        <v>0.54584054400000004</v>
      </c>
      <c r="X117" s="15"/>
      <c r="Y117" s="15">
        <v>59.231090234</v>
      </c>
      <c r="Z117" s="12"/>
      <c r="AA117" s="15">
        <v>2.375</v>
      </c>
      <c r="AB117" s="16">
        <f>AA117*33.334</f>
        <v>79.16825</v>
      </c>
      <c r="AC117" s="1">
        <v>0</v>
      </c>
      <c r="AD117" s="16">
        <f>AC117*33.334</f>
        <v>0</v>
      </c>
      <c r="AE117" s="1">
        <v>1</v>
      </c>
    </row>
    <row r="118" spans="1:31" x14ac:dyDescent="0.2">
      <c r="A118" s="1">
        <v>117</v>
      </c>
      <c r="B118" s="1">
        <v>2018</v>
      </c>
      <c r="C118" s="1" t="s">
        <v>96</v>
      </c>
      <c r="D118" s="1" t="s">
        <v>90</v>
      </c>
      <c r="E118" s="1" t="s">
        <v>698</v>
      </c>
      <c r="F118" s="1" t="s">
        <v>32</v>
      </c>
      <c r="I118" s="12">
        <v>6.8386278233124402</v>
      </c>
      <c r="J118" s="12">
        <v>19.538936638035601</v>
      </c>
      <c r="L118" s="16">
        <v>2303.25</v>
      </c>
      <c r="N118" s="16">
        <v>15666.4961132346</v>
      </c>
      <c r="O118" s="15">
        <v>27.93</v>
      </c>
      <c r="P118" s="15">
        <v>8.91</v>
      </c>
      <c r="Q118" s="15">
        <v>65.95</v>
      </c>
      <c r="R118" s="15">
        <v>49.42</v>
      </c>
      <c r="S118" s="12">
        <v>20.170000000000002</v>
      </c>
      <c r="U118" s="15">
        <v>0.315</v>
      </c>
      <c r="V118" s="15">
        <v>9.2925000000000004</v>
      </c>
      <c r="W118" s="12">
        <v>0.53634999999999999</v>
      </c>
      <c r="X118" s="15"/>
      <c r="Y118" s="15">
        <v>50.7575</v>
      </c>
      <c r="Z118" s="12">
        <v>1.0063980765137901</v>
      </c>
      <c r="AA118" s="16">
        <v>2.75</v>
      </c>
      <c r="AB118" s="16">
        <f>AA118*33.334</f>
        <v>91.668500000000009</v>
      </c>
      <c r="AC118" s="16">
        <v>1.5</v>
      </c>
      <c r="AD118" s="16">
        <f>AC118*33.334</f>
        <v>50.001000000000005</v>
      </c>
      <c r="AE118" s="1">
        <v>0</v>
      </c>
    </row>
    <row r="119" spans="1:31" x14ac:dyDescent="0.2">
      <c r="A119" s="1">
        <v>118</v>
      </c>
      <c r="B119" s="1">
        <v>2011</v>
      </c>
      <c r="C119" s="1" t="s">
        <v>88</v>
      </c>
      <c r="D119" s="8" t="s">
        <v>240</v>
      </c>
      <c r="E119" s="8" t="s">
        <v>245</v>
      </c>
      <c r="F119" s="1" t="s">
        <v>83</v>
      </c>
      <c r="I119" s="12">
        <v>5.49</v>
      </c>
      <c r="J119" s="12">
        <v>24.532590899999999</v>
      </c>
      <c r="K119" s="13"/>
      <c r="L119" s="14">
        <v>2309</v>
      </c>
      <c r="M119" s="14"/>
      <c r="N119" s="14">
        <v>12683</v>
      </c>
      <c r="O119" s="13">
        <v>25.8</v>
      </c>
      <c r="P119" s="13">
        <v>7.5</v>
      </c>
      <c r="Q119" s="13">
        <v>62.7</v>
      </c>
      <c r="R119" s="13">
        <v>52.2</v>
      </c>
      <c r="T119" s="15"/>
      <c r="U119" s="13">
        <v>4.5</v>
      </c>
      <c r="V119" s="13">
        <v>0.8</v>
      </c>
      <c r="W119" s="12" t="s">
        <v>89</v>
      </c>
      <c r="X119" s="15" t="s">
        <v>89</v>
      </c>
      <c r="Y119" s="13">
        <v>58.6</v>
      </c>
      <c r="Z119" s="7">
        <v>1.79</v>
      </c>
      <c r="AA119" s="1">
        <v>1</v>
      </c>
      <c r="AB119" s="16">
        <f>AA119*10</f>
        <v>10</v>
      </c>
      <c r="AC119" s="1">
        <v>2.25</v>
      </c>
      <c r="AD119" s="16">
        <f t="shared" ref="AD119:AD125" si="7">AC119*10</f>
        <v>22.5</v>
      </c>
      <c r="AE119" s="1">
        <v>1</v>
      </c>
    </row>
    <row r="120" spans="1:31" x14ac:dyDescent="0.2">
      <c r="A120" s="1">
        <v>119</v>
      </c>
      <c r="B120" s="1">
        <v>2019</v>
      </c>
      <c r="C120" s="1" t="s">
        <v>96</v>
      </c>
      <c r="D120" s="28" t="s">
        <v>914</v>
      </c>
      <c r="E120" s="1" t="s">
        <v>750</v>
      </c>
      <c r="F120" s="1" t="s">
        <v>32</v>
      </c>
      <c r="I120" s="12">
        <v>6.85</v>
      </c>
      <c r="J120" s="3">
        <v>23.1</v>
      </c>
      <c r="L120" s="5">
        <v>2314</v>
      </c>
      <c r="N120" s="5">
        <v>18766.5</v>
      </c>
      <c r="O120" s="6">
        <v>41.6</v>
      </c>
      <c r="P120" s="6">
        <v>4.5999999999999996</v>
      </c>
      <c r="Q120" s="6">
        <v>64.8</v>
      </c>
      <c r="R120" s="6">
        <v>40.185000000000002</v>
      </c>
      <c r="S120" s="3"/>
      <c r="T120" s="6">
        <v>45.1</v>
      </c>
      <c r="U120" s="6">
        <v>4.9000000000000004</v>
      </c>
      <c r="V120" s="6">
        <v>13.932499999999999</v>
      </c>
      <c r="W120" s="3">
        <v>0.59155000000000002</v>
      </c>
      <c r="X120" s="6"/>
      <c r="Y120" s="6">
        <v>48.372500000000002</v>
      </c>
      <c r="Z120" s="3">
        <v>2.11</v>
      </c>
      <c r="AB120" s="16"/>
      <c r="AC120" s="6">
        <v>0</v>
      </c>
      <c r="AD120" s="16">
        <f t="shared" si="7"/>
        <v>0</v>
      </c>
      <c r="AE120" s="1">
        <v>0</v>
      </c>
    </row>
    <row r="121" spans="1:31" x14ac:dyDescent="0.2">
      <c r="A121" s="1">
        <v>120</v>
      </c>
      <c r="B121" s="1">
        <v>2013</v>
      </c>
      <c r="C121" s="1" t="s">
        <v>88</v>
      </c>
      <c r="D121" s="8" t="s">
        <v>1023</v>
      </c>
      <c r="E121" s="8" t="s">
        <v>238</v>
      </c>
      <c r="F121" s="1" t="s">
        <v>83</v>
      </c>
      <c r="I121" s="12">
        <v>3.93</v>
      </c>
      <c r="J121" s="7">
        <v>11.228571428571399</v>
      </c>
      <c r="K121" s="13"/>
      <c r="L121" s="14">
        <v>2315</v>
      </c>
      <c r="M121" s="14"/>
      <c r="N121" s="14">
        <v>9088</v>
      </c>
      <c r="O121" s="13">
        <v>26.8</v>
      </c>
      <c r="P121" s="13">
        <v>9.8000000000000007</v>
      </c>
      <c r="Q121" s="13">
        <v>62.8</v>
      </c>
      <c r="R121" s="13">
        <v>47.1</v>
      </c>
      <c r="S121" s="13"/>
      <c r="T121" s="13"/>
      <c r="U121" s="13">
        <v>8.8000000000000007</v>
      </c>
      <c r="V121" s="13">
        <v>1.7</v>
      </c>
      <c r="W121" s="7">
        <v>0.51</v>
      </c>
      <c r="X121" s="13">
        <v>66.8</v>
      </c>
      <c r="Y121" s="13">
        <v>51</v>
      </c>
      <c r="Z121" s="7">
        <v>1.17</v>
      </c>
      <c r="AA121" s="13">
        <v>3.9</v>
      </c>
      <c r="AB121" s="16">
        <f>AA121*10</f>
        <v>39</v>
      </c>
      <c r="AC121" s="13">
        <v>3.4</v>
      </c>
      <c r="AD121" s="16">
        <f t="shared" si="7"/>
        <v>34</v>
      </c>
      <c r="AE121" s="1">
        <v>1</v>
      </c>
    </row>
    <row r="122" spans="1:31" x14ac:dyDescent="0.2">
      <c r="A122" s="1">
        <v>121</v>
      </c>
      <c r="B122" s="1">
        <v>2013</v>
      </c>
      <c r="C122" s="1" t="s">
        <v>96</v>
      </c>
      <c r="D122" s="8" t="s">
        <v>1023</v>
      </c>
      <c r="E122" s="8" t="s">
        <v>395</v>
      </c>
      <c r="F122" s="1" t="s">
        <v>32</v>
      </c>
      <c r="I122" s="12">
        <v>6.67</v>
      </c>
      <c r="J122" s="7">
        <v>19.0571428571429</v>
      </c>
      <c r="K122" s="13"/>
      <c r="L122" s="14">
        <v>2319</v>
      </c>
      <c r="M122" s="14"/>
      <c r="N122" s="14">
        <v>15471</v>
      </c>
      <c r="O122" s="13">
        <v>34.1</v>
      </c>
      <c r="P122" s="13">
        <v>5</v>
      </c>
      <c r="Q122" s="13">
        <v>61.8</v>
      </c>
      <c r="R122" s="13">
        <v>48.8</v>
      </c>
      <c r="S122" s="13" t="s">
        <v>89</v>
      </c>
      <c r="T122" s="13"/>
      <c r="U122" s="13">
        <v>12.7</v>
      </c>
      <c r="V122" s="13">
        <v>0.9</v>
      </c>
      <c r="W122" s="7">
        <v>0.55000000000000004</v>
      </c>
      <c r="X122" s="13">
        <v>68.400000000000006</v>
      </c>
      <c r="Y122" s="13">
        <v>54.4</v>
      </c>
      <c r="Z122" s="7">
        <v>2.02</v>
      </c>
      <c r="AA122" s="13">
        <v>1.9</v>
      </c>
      <c r="AB122" s="16">
        <f>AA122*10</f>
        <v>19</v>
      </c>
      <c r="AC122" s="13">
        <v>0.6</v>
      </c>
      <c r="AD122" s="16">
        <f t="shared" si="7"/>
        <v>6</v>
      </c>
      <c r="AE122" s="1">
        <v>0</v>
      </c>
    </row>
    <row r="123" spans="1:31" x14ac:dyDescent="0.2">
      <c r="A123" s="1">
        <v>122</v>
      </c>
      <c r="B123" s="1">
        <v>2013</v>
      </c>
      <c r="C123" s="1" t="s">
        <v>88</v>
      </c>
      <c r="D123" s="8" t="s">
        <v>1023</v>
      </c>
      <c r="E123" s="8" t="s">
        <v>386</v>
      </c>
      <c r="F123" s="1" t="s">
        <v>83</v>
      </c>
      <c r="I123" s="12">
        <v>4.82</v>
      </c>
      <c r="J123" s="7">
        <v>13.771428571428601</v>
      </c>
      <c r="K123" s="13"/>
      <c r="L123" s="14">
        <v>2323</v>
      </c>
      <c r="M123" s="14"/>
      <c r="N123" s="14">
        <v>11171</v>
      </c>
      <c r="O123" s="13">
        <v>28.5</v>
      </c>
      <c r="P123" s="13">
        <v>6.9</v>
      </c>
      <c r="Q123" s="13">
        <v>59.9</v>
      </c>
      <c r="R123" s="13">
        <v>42.1</v>
      </c>
      <c r="S123" s="13"/>
      <c r="T123" s="13"/>
      <c r="U123" s="13">
        <v>15.1</v>
      </c>
      <c r="V123" s="13">
        <v>1.5</v>
      </c>
      <c r="W123" s="7">
        <v>0.54</v>
      </c>
      <c r="X123" s="13">
        <v>65</v>
      </c>
      <c r="Y123" s="13">
        <v>53.6</v>
      </c>
      <c r="Z123" s="7">
        <v>1.2</v>
      </c>
      <c r="AA123" s="13">
        <v>3.9</v>
      </c>
      <c r="AB123" s="16">
        <f>AA123*10</f>
        <v>39</v>
      </c>
      <c r="AC123" s="13">
        <v>1</v>
      </c>
      <c r="AD123" s="16">
        <f t="shared" si="7"/>
        <v>10</v>
      </c>
      <c r="AE123" s="1">
        <v>1</v>
      </c>
    </row>
    <row r="124" spans="1:31" x14ac:dyDescent="0.2">
      <c r="A124" s="1">
        <v>123</v>
      </c>
      <c r="B124" s="1">
        <v>2015</v>
      </c>
      <c r="C124" s="8" t="s">
        <v>96</v>
      </c>
      <c r="D124" s="8" t="s">
        <v>187</v>
      </c>
      <c r="E124" s="8" t="s">
        <v>521</v>
      </c>
      <c r="F124" s="1" t="s">
        <v>32</v>
      </c>
      <c r="I124" s="12">
        <v>9.82</v>
      </c>
      <c r="J124" s="7">
        <v>28.05714285714286</v>
      </c>
      <c r="L124" s="14">
        <v>2326</v>
      </c>
      <c r="M124" s="1" t="s">
        <v>34</v>
      </c>
      <c r="N124" s="14">
        <v>22862</v>
      </c>
      <c r="O124" s="13">
        <v>28.6</v>
      </c>
      <c r="P124" s="13">
        <v>5.5</v>
      </c>
      <c r="Q124" s="13">
        <v>70.2</v>
      </c>
      <c r="R124" s="13">
        <v>47.6</v>
      </c>
      <c r="S124" s="8"/>
      <c r="T124" s="15" t="s">
        <v>89</v>
      </c>
      <c r="U124" s="13">
        <v>4</v>
      </c>
      <c r="V124" s="13">
        <v>14.1</v>
      </c>
      <c r="W124" s="7">
        <v>0.55000000000000004</v>
      </c>
      <c r="X124" s="13"/>
      <c r="Y124" s="13">
        <v>49.8</v>
      </c>
      <c r="Z124" s="7">
        <v>3.25</v>
      </c>
      <c r="AA124" s="13">
        <v>1</v>
      </c>
      <c r="AB124" s="16">
        <f>AA124*10</f>
        <v>10</v>
      </c>
      <c r="AC124" s="13">
        <v>1</v>
      </c>
      <c r="AD124" s="16">
        <f t="shared" si="7"/>
        <v>10</v>
      </c>
      <c r="AE124" s="1">
        <v>0</v>
      </c>
    </row>
    <row r="125" spans="1:31" x14ac:dyDescent="0.2">
      <c r="A125" s="1">
        <v>124</v>
      </c>
      <c r="B125" s="1">
        <v>2015</v>
      </c>
      <c r="C125" s="8" t="s">
        <v>96</v>
      </c>
      <c r="D125" s="8" t="s">
        <v>187</v>
      </c>
      <c r="E125" s="8" t="s">
        <v>467</v>
      </c>
      <c r="F125" s="1" t="s">
        <v>83</v>
      </c>
      <c r="I125" s="12">
        <v>3.7</v>
      </c>
      <c r="J125" s="7">
        <v>10.571428571428573</v>
      </c>
      <c r="L125" s="14">
        <v>2333</v>
      </c>
      <c r="N125" s="14">
        <v>8753</v>
      </c>
      <c r="O125" s="13">
        <v>30</v>
      </c>
      <c r="P125" s="13">
        <v>8.5</v>
      </c>
      <c r="Q125" s="13">
        <v>65</v>
      </c>
      <c r="R125" s="13">
        <v>38.200000000000003</v>
      </c>
      <c r="S125" s="8"/>
      <c r="T125" s="15" t="s">
        <v>89</v>
      </c>
      <c r="U125" s="13">
        <v>8.5</v>
      </c>
      <c r="V125" s="13">
        <v>8</v>
      </c>
      <c r="W125" s="7">
        <v>0.57999999999999996</v>
      </c>
      <c r="X125" s="13"/>
      <c r="Y125" s="13">
        <v>48.3</v>
      </c>
      <c r="Z125" s="7">
        <v>0.93</v>
      </c>
      <c r="AA125" s="13">
        <v>3</v>
      </c>
      <c r="AB125" s="16">
        <f>AA125*10</f>
        <v>30</v>
      </c>
      <c r="AC125" s="13">
        <v>1</v>
      </c>
      <c r="AD125" s="16">
        <f t="shared" si="7"/>
        <v>10</v>
      </c>
      <c r="AE125" s="1">
        <v>0</v>
      </c>
    </row>
    <row r="126" spans="1:31" x14ac:dyDescent="0.2">
      <c r="A126" s="1">
        <v>125</v>
      </c>
      <c r="B126" s="1">
        <v>2008</v>
      </c>
      <c r="C126" s="8" t="s">
        <v>96</v>
      </c>
      <c r="D126" s="1" t="s">
        <v>916</v>
      </c>
      <c r="E126" s="8" t="s">
        <v>99</v>
      </c>
      <c r="F126" s="8" t="s">
        <v>83</v>
      </c>
      <c r="G126" s="8"/>
      <c r="H126" s="8"/>
      <c r="I126" s="12">
        <v>2.8</v>
      </c>
      <c r="J126" s="7">
        <v>8</v>
      </c>
      <c r="K126" s="13"/>
      <c r="L126" s="14">
        <v>2349</v>
      </c>
      <c r="M126" s="14"/>
      <c r="N126" s="14">
        <v>6594</v>
      </c>
      <c r="O126" s="13">
        <v>31.4</v>
      </c>
      <c r="P126" s="13">
        <v>7.4</v>
      </c>
      <c r="Q126" s="13">
        <v>57</v>
      </c>
      <c r="R126" s="13">
        <v>43</v>
      </c>
      <c r="S126" s="13"/>
      <c r="T126" s="13"/>
      <c r="U126" s="13">
        <v>36.4</v>
      </c>
      <c r="V126" s="15" t="s">
        <v>89</v>
      </c>
      <c r="X126" s="15"/>
      <c r="Y126" s="13">
        <v>61.1</v>
      </c>
      <c r="Z126" s="7">
        <v>0.69</v>
      </c>
      <c r="AB126" s="16"/>
      <c r="AD126" s="16"/>
      <c r="AE126" s="1">
        <v>0</v>
      </c>
    </row>
    <row r="127" spans="1:31" x14ac:dyDescent="0.2">
      <c r="A127" s="1">
        <v>126</v>
      </c>
      <c r="B127" s="1">
        <v>2016</v>
      </c>
      <c r="C127" s="1" t="s">
        <v>88</v>
      </c>
      <c r="D127" s="1" t="s">
        <v>90</v>
      </c>
      <c r="E127" s="1" t="s">
        <v>247</v>
      </c>
      <c r="F127" s="1" t="s">
        <v>83</v>
      </c>
      <c r="H127" s="1" t="s">
        <v>34</v>
      </c>
      <c r="I127" s="12">
        <v>7.3</v>
      </c>
      <c r="J127" s="3">
        <v>20.8</v>
      </c>
      <c r="L127" s="5">
        <v>2350</v>
      </c>
      <c r="N127" s="5">
        <v>16982.3675</v>
      </c>
      <c r="O127" s="6">
        <v>29.969384900000001</v>
      </c>
      <c r="P127" s="6">
        <v>5.54</v>
      </c>
      <c r="Q127" s="6">
        <v>65.227500000000006</v>
      </c>
      <c r="R127" s="15">
        <v>37.590000000000003</v>
      </c>
      <c r="S127" s="6">
        <v>27.204999999999998</v>
      </c>
      <c r="T127" s="6"/>
      <c r="U127" s="6">
        <v>1.395</v>
      </c>
      <c r="V127" s="6">
        <v>14.8</v>
      </c>
      <c r="W127" s="3">
        <v>0.56685000000000008</v>
      </c>
      <c r="X127" s="6"/>
      <c r="Y127" s="15">
        <v>48.02</v>
      </c>
      <c r="Z127" s="3">
        <v>1.7265793700000001</v>
      </c>
      <c r="AA127" s="6">
        <v>2.2999999999999998</v>
      </c>
      <c r="AB127" s="16">
        <f>AA127*10</f>
        <v>23</v>
      </c>
      <c r="AC127" s="6">
        <v>2.5</v>
      </c>
      <c r="AD127" s="16">
        <f>AC127*10</f>
        <v>25</v>
      </c>
      <c r="AE127" s="1">
        <v>1</v>
      </c>
    </row>
    <row r="128" spans="1:31" x14ac:dyDescent="0.2">
      <c r="A128" s="1">
        <v>127</v>
      </c>
      <c r="B128" s="1">
        <v>2017</v>
      </c>
      <c r="C128" s="1" t="s">
        <v>96</v>
      </c>
      <c r="D128" s="1" t="s">
        <v>246</v>
      </c>
      <c r="E128" s="1" t="s">
        <v>251</v>
      </c>
      <c r="F128" s="1" t="s">
        <v>32</v>
      </c>
      <c r="I128" s="12">
        <v>6.74</v>
      </c>
      <c r="J128" s="3">
        <v>19.3</v>
      </c>
      <c r="L128" s="5">
        <v>2354</v>
      </c>
      <c r="M128" s="1" t="s">
        <v>34</v>
      </c>
      <c r="N128" s="5">
        <v>16053</v>
      </c>
      <c r="O128" s="6">
        <v>28.9</v>
      </c>
      <c r="P128" s="6">
        <v>3.5</v>
      </c>
      <c r="Q128" s="6">
        <v>66.7</v>
      </c>
      <c r="R128" s="6">
        <v>39.1</v>
      </c>
      <c r="S128" s="6">
        <v>27.7</v>
      </c>
      <c r="U128" s="15">
        <v>6.1</v>
      </c>
      <c r="V128" s="15">
        <v>14.8</v>
      </c>
      <c r="W128" s="3">
        <v>0.56799999999999995</v>
      </c>
      <c r="X128" s="6"/>
      <c r="Y128" s="6">
        <v>48.3</v>
      </c>
      <c r="Z128" s="3">
        <v>1.8</v>
      </c>
      <c r="AB128" s="16"/>
      <c r="AD128" s="16"/>
      <c r="AE128" s="1">
        <v>0</v>
      </c>
    </row>
    <row r="129" spans="1:31" x14ac:dyDescent="0.2">
      <c r="A129" s="1">
        <v>128</v>
      </c>
      <c r="B129" s="1">
        <v>2009</v>
      </c>
      <c r="C129" s="1" t="s">
        <v>96</v>
      </c>
      <c r="D129" s="1" t="s">
        <v>916</v>
      </c>
      <c r="E129" s="8" t="s">
        <v>148</v>
      </c>
      <c r="F129" s="1" t="s">
        <v>83</v>
      </c>
      <c r="I129" s="12">
        <v>6.52</v>
      </c>
      <c r="J129" s="7">
        <v>18.628571428571401</v>
      </c>
      <c r="L129" s="14">
        <v>2355</v>
      </c>
      <c r="M129" s="14" t="s">
        <v>34</v>
      </c>
      <c r="N129" s="14">
        <v>15357</v>
      </c>
      <c r="O129" s="13">
        <v>27.3</v>
      </c>
      <c r="P129" s="13">
        <v>9.9</v>
      </c>
      <c r="Q129" s="13">
        <v>56.1</v>
      </c>
      <c r="R129" s="13">
        <v>46</v>
      </c>
      <c r="S129" s="13"/>
      <c r="T129" s="13">
        <v>38.5</v>
      </c>
      <c r="U129" s="13">
        <v>11.2</v>
      </c>
      <c r="V129" s="13">
        <v>2.5</v>
      </c>
      <c r="W129" s="12" t="s">
        <v>89</v>
      </c>
      <c r="X129" s="13">
        <v>69.599999999999994</v>
      </c>
      <c r="Y129" s="13">
        <v>58.8</v>
      </c>
      <c r="Z129" s="7">
        <v>1.68</v>
      </c>
      <c r="AA129" s="13">
        <v>1</v>
      </c>
      <c r="AB129" s="14">
        <v>10</v>
      </c>
      <c r="AC129" s="13">
        <v>1.5</v>
      </c>
      <c r="AD129" s="16">
        <f>AC129*10</f>
        <v>15</v>
      </c>
      <c r="AE129" s="1">
        <v>0</v>
      </c>
    </row>
    <row r="130" spans="1:31" x14ac:dyDescent="0.2">
      <c r="A130" s="1">
        <v>129</v>
      </c>
      <c r="B130" s="1">
        <v>2020</v>
      </c>
      <c r="C130" s="1" t="s">
        <v>88</v>
      </c>
      <c r="D130" s="1" t="s">
        <v>246</v>
      </c>
      <c r="E130" s="1" t="s">
        <v>794</v>
      </c>
      <c r="F130" s="1" t="s">
        <v>83</v>
      </c>
      <c r="I130" s="12">
        <v>4.5909711241315003</v>
      </c>
      <c r="J130" s="12">
        <v>13.117060355</v>
      </c>
      <c r="K130" s="1" t="s">
        <v>754</v>
      </c>
      <c r="L130" s="16">
        <v>2360.3415791060002</v>
      </c>
      <c r="N130" s="16">
        <v>10752.710415865</v>
      </c>
      <c r="O130" s="10">
        <v>25.824029500000002</v>
      </c>
      <c r="P130" s="15">
        <v>9.0474999999999994</v>
      </c>
      <c r="Q130" s="15">
        <v>68.125</v>
      </c>
      <c r="R130" s="15">
        <v>27.004999999999999</v>
      </c>
      <c r="S130" s="15"/>
      <c r="T130" s="15">
        <v>39.032499999999999</v>
      </c>
      <c r="U130" s="15">
        <v>7.5175000000000001</v>
      </c>
      <c r="V130" s="15">
        <v>5.2374999999999998</v>
      </c>
      <c r="W130" s="12">
        <v>0.55597939600000001</v>
      </c>
      <c r="X130" s="15"/>
      <c r="Y130" s="15">
        <v>59.846813801000003</v>
      </c>
      <c r="Z130" s="12"/>
      <c r="AA130" s="15">
        <v>1.75</v>
      </c>
      <c r="AB130" s="16">
        <f>AA130*33.334</f>
        <v>58.334500000000006</v>
      </c>
      <c r="AC130" s="1">
        <v>0</v>
      </c>
      <c r="AD130" s="16">
        <f>AC130*33.334</f>
        <v>0</v>
      </c>
      <c r="AE130" s="1">
        <v>1</v>
      </c>
    </row>
    <row r="131" spans="1:31" x14ac:dyDescent="0.2">
      <c r="A131" s="1">
        <v>130</v>
      </c>
      <c r="B131" s="1">
        <v>2018</v>
      </c>
      <c r="C131" s="1" t="s">
        <v>96</v>
      </c>
      <c r="D131" s="28" t="s">
        <v>914</v>
      </c>
      <c r="E131" s="1" t="s">
        <v>696</v>
      </c>
      <c r="F131" s="1" t="s">
        <v>32</v>
      </c>
      <c r="H131" s="1" t="s">
        <v>34</v>
      </c>
      <c r="I131" s="12">
        <v>8.17</v>
      </c>
      <c r="J131" s="12">
        <v>23.356671183139401</v>
      </c>
      <c r="L131" s="16">
        <v>2360.5</v>
      </c>
      <c r="M131" s="1" t="s">
        <v>34</v>
      </c>
      <c r="N131" s="14">
        <v>19334.2</v>
      </c>
      <c r="O131" s="15">
        <v>39.31</v>
      </c>
      <c r="P131" s="15">
        <v>7.2450000000000001</v>
      </c>
      <c r="Q131" s="15">
        <v>70.569999999999993</v>
      </c>
      <c r="R131" s="15">
        <v>44.16</v>
      </c>
      <c r="S131" s="12">
        <v>23.48</v>
      </c>
      <c r="U131" s="15">
        <v>1.5375000000000001</v>
      </c>
      <c r="V131" s="15">
        <v>10.5</v>
      </c>
      <c r="W131" s="12">
        <v>0.56420000000000003</v>
      </c>
      <c r="X131" s="15"/>
      <c r="Y131" s="15">
        <v>49.325000000000003</v>
      </c>
      <c r="Z131" s="12">
        <v>1.1536413349930099</v>
      </c>
      <c r="AA131" s="16">
        <v>2</v>
      </c>
      <c r="AB131" s="16">
        <f>AA131*33.334</f>
        <v>66.668000000000006</v>
      </c>
      <c r="AC131" s="16">
        <v>1</v>
      </c>
      <c r="AD131" s="16">
        <f>AC131*33.334</f>
        <v>33.334000000000003</v>
      </c>
      <c r="AE131" s="1">
        <v>0</v>
      </c>
    </row>
    <row r="132" spans="1:31" ht="17" x14ac:dyDescent="0.2">
      <c r="A132" s="1">
        <v>131</v>
      </c>
      <c r="B132" s="1">
        <v>2019</v>
      </c>
      <c r="C132" s="1" t="s">
        <v>88</v>
      </c>
      <c r="D132" s="9" t="s">
        <v>738</v>
      </c>
      <c r="E132" s="9" t="s">
        <v>742</v>
      </c>
      <c r="F132" s="1" t="s">
        <v>83</v>
      </c>
      <c r="H132" s="1" t="s">
        <v>34</v>
      </c>
      <c r="I132" s="12">
        <v>7.03</v>
      </c>
      <c r="J132" s="3">
        <v>20</v>
      </c>
      <c r="L132" s="5">
        <v>2362.25</v>
      </c>
      <c r="N132" s="5">
        <v>16682.625</v>
      </c>
      <c r="O132" s="6">
        <v>24.622499999999999</v>
      </c>
      <c r="P132" s="6">
        <v>8.99</v>
      </c>
      <c r="Q132" s="6">
        <v>63.57</v>
      </c>
      <c r="R132" s="6">
        <v>42.854999999999997</v>
      </c>
      <c r="S132" s="3"/>
      <c r="T132" s="6">
        <v>40.4</v>
      </c>
      <c r="U132" s="6">
        <v>2.19</v>
      </c>
      <c r="V132" s="6">
        <v>10.657500000000001</v>
      </c>
      <c r="W132" s="3">
        <v>0.58397500000000002</v>
      </c>
      <c r="X132" s="6"/>
      <c r="Y132" s="6">
        <v>57.335000000000001</v>
      </c>
      <c r="Z132" s="3">
        <v>1.91</v>
      </c>
      <c r="AB132" s="16"/>
      <c r="AC132" s="4">
        <v>5</v>
      </c>
      <c r="AD132" s="16">
        <f>AC132*10</f>
        <v>50</v>
      </c>
      <c r="AE132" s="1">
        <v>1</v>
      </c>
    </row>
    <row r="133" spans="1:31" x14ac:dyDescent="0.2">
      <c r="A133" s="1">
        <v>132</v>
      </c>
      <c r="B133" s="1">
        <v>2016</v>
      </c>
      <c r="C133" s="1" t="s">
        <v>96</v>
      </c>
      <c r="D133" s="1" t="s">
        <v>459</v>
      </c>
      <c r="E133" s="1" t="s">
        <v>589</v>
      </c>
      <c r="F133" s="1" t="s">
        <v>83</v>
      </c>
      <c r="H133" s="1" t="s">
        <v>34</v>
      </c>
      <c r="I133" s="12">
        <v>7.85</v>
      </c>
      <c r="J133" s="3">
        <v>22.4</v>
      </c>
      <c r="L133" s="5">
        <v>2363</v>
      </c>
      <c r="M133" s="1" t="s">
        <v>34</v>
      </c>
      <c r="N133" s="5">
        <v>18564</v>
      </c>
      <c r="O133" s="6">
        <v>30.333549699999999</v>
      </c>
      <c r="P133" s="6">
        <v>6.0750000000000002</v>
      </c>
      <c r="Q133" s="6">
        <v>66.599999999999994</v>
      </c>
      <c r="R133" s="6">
        <v>42.837499999999999</v>
      </c>
      <c r="S133" s="6">
        <v>24.965</v>
      </c>
      <c r="T133" s="6"/>
      <c r="U133" s="15">
        <v>0.71499999999999997</v>
      </c>
      <c r="V133" s="15">
        <v>15.2</v>
      </c>
      <c r="W133" s="3">
        <v>0.56075000000000008</v>
      </c>
      <c r="X133" s="6"/>
      <c r="Y133" s="6">
        <v>49.46</v>
      </c>
      <c r="Z133" s="3">
        <v>2.2000000000000002</v>
      </c>
      <c r="AA133" s="6">
        <v>3</v>
      </c>
      <c r="AB133" s="16">
        <f>AA133*10</f>
        <v>30</v>
      </c>
      <c r="AC133" s="6">
        <v>1</v>
      </c>
      <c r="AD133" s="16">
        <f>AC133*10</f>
        <v>10</v>
      </c>
      <c r="AE133" s="1">
        <v>0</v>
      </c>
    </row>
    <row r="134" spans="1:31" x14ac:dyDescent="0.2">
      <c r="A134" s="1">
        <v>133</v>
      </c>
      <c r="B134" s="1">
        <v>2013</v>
      </c>
      <c r="C134" s="1" t="s">
        <v>96</v>
      </c>
      <c r="D134" s="8" t="s">
        <v>1023</v>
      </c>
      <c r="E134" s="8" t="s">
        <v>395</v>
      </c>
      <c r="F134" s="1" t="s">
        <v>83</v>
      </c>
      <c r="I134" s="12">
        <v>4.83</v>
      </c>
      <c r="J134" s="7">
        <v>13.8</v>
      </c>
      <c r="K134" s="13" t="s">
        <v>34</v>
      </c>
      <c r="L134" s="14">
        <v>2374</v>
      </c>
      <c r="M134" s="14"/>
      <c r="N134" s="14">
        <v>11458</v>
      </c>
      <c r="O134" s="13">
        <v>26.6</v>
      </c>
      <c r="P134" s="13">
        <v>8.1</v>
      </c>
      <c r="Q134" s="13">
        <v>59.5</v>
      </c>
      <c r="R134" s="13">
        <v>43.7</v>
      </c>
      <c r="S134" s="13" t="s">
        <v>89</v>
      </c>
      <c r="T134" s="13"/>
      <c r="U134" s="13">
        <v>13.2</v>
      </c>
      <c r="V134" s="13">
        <v>1.1000000000000001</v>
      </c>
      <c r="W134" s="7">
        <v>0.53</v>
      </c>
      <c r="X134" s="13">
        <v>66.5</v>
      </c>
      <c r="Y134" s="13">
        <v>52.8</v>
      </c>
      <c r="Z134" s="7">
        <v>1.25</v>
      </c>
      <c r="AA134" s="13">
        <v>3.3</v>
      </c>
      <c r="AB134" s="16">
        <f>AA134*10</f>
        <v>33</v>
      </c>
      <c r="AC134" s="13">
        <v>0.8</v>
      </c>
      <c r="AD134" s="16">
        <f>AC241*10</f>
        <v>0</v>
      </c>
      <c r="AE134" s="1">
        <v>0</v>
      </c>
    </row>
    <row r="135" spans="1:31" x14ac:dyDescent="0.2">
      <c r="A135" s="1">
        <v>134</v>
      </c>
      <c r="B135" s="1">
        <v>2008</v>
      </c>
      <c r="C135" s="1" t="s">
        <v>31</v>
      </c>
      <c r="D135" s="8" t="s">
        <v>37</v>
      </c>
      <c r="E135" s="8" t="s">
        <v>84</v>
      </c>
      <c r="F135" s="8" t="s">
        <v>83</v>
      </c>
      <c r="G135" s="8"/>
      <c r="H135" s="8"/>
      <c r="I135" s="12">
        <v>4.4800000000000004</v>
      </c>
      <c r="J135" s="7">
        <v>12.800000000000002</v>
      </c>
      <c r="K135" s="13"/>
      <c r="L135" s="14">
        <v>2382</v>
      </c>
      <c r="M135" s="14"/>
      <c r="N135" s="14">
        <v>10676</v>
      </c>
      <c r="O135" s="13">
        <v>30.4</v>
      </c>
      <c r="P135" s="13">
        <v>11.2</v>
      </c>
      <c r="Q135" s="13">
        <v>49.2</v>
      </c>
      <c r="R135" s="13">
        <v>26.6</v>
      </c>
      <c r="S135" s="13"/>
      <c r="T135" s="13">
        <v>23.7</v>
      </c>
      <c r="U135" s="13">
        <v>18.100000000000001</v>
      </c>
      <c r="V135" s="15"/>
      <c r="X135" s="15"/>
      <c r="Y135" s="13">
        <v>56.4</v>
      </c>
      <c r="Z135" s="7">
        <v>0.56999999999999995</v>
      </c>
      <c r="AB135" s="16"/>
      <c r="AD135" s="16"/>
      <c r="AE135" s="1">
        <v>1</v>
      </c>
    </row>
    <row r="136" spans="1:31" ht="17" x14ac:dyDescent="0.2">
      <c r="A136" s="1">
        <v>135</v>
      </c>
      <c r="B136" s="1">
        <v>2019</v>
      </c>
      <c r="C136" s="1" t="s">
        <v>88</v>
      </c>
      <c r="D136" s="9" t="s">
        <v>738</v>
      </c>
      <c r="E136" s="9" t="s">
        <v>578</v>
      </c>
      <c r="F136" s="1" t="s">
        <v>83</v>
      </c>
      <c r="I136" s="12">
        <v>6.15</v>
      </c>
      <c r="J136" s="3">
        <v>17.574999999999999</v>
      </c>
      <c r="L136" s="5">
        <v>2384.5</v>
      </c>
      <c r="N136" s="5">
        <v>14657.55</v>
      </c>
      <c r="O136" s="6">
        <v>21.945</v>
      </c>
      <c r="P136" s="6">
        <v>9.4250000000000007</v>
      </c>
      <c r="Q136" s="6">
        <v>65.150000000000006</v>
      </c>
      <c r="R136" s="6">
        <v>46.48</v>
      </c>
      <c r="S136" s="3"/>
      <c r="T136" s="6">
        <v>40.119999999999997</v>
      </c>
      <c r="U136" s="6">
        <v>0.1275</v>
      </c>
      <c r="V136" s="6">
        <v>11.68</v>
      </c>
      <c r="W136" s="3">
        <v>0.58484999999999998</v>
      </c>
      <c r="X136" s="6"/>
      <c r="Y136" s="6">
        <v>57.414999999999999</v>
      </c>
      <c r="Z136" s="3">
        <v>1.87</v>
      </c>
      <c r="AB136" s="16"/>
      <c r="AC136" s="4">
        <v>5</v>
      </c>
      <c r="AD136" s="16">
        <f>AC136*10</f>
        <v>50</v>
      </c>
      <c r="AE136" s="1">
        <v>1</v>
      </c>
    </row>
    <row r="137" spans="1:31" x14ac:dyDescent="0.2">
      <c r="A137" s="1">
        <v>136</v>
      </c>
      <c r="B137" s="1">
        <v>2020</v>
      </c>
      <c r="C137" s="1" t="s">
        <v>88</v>
      </c>
      <c r="D137" s="1" t="s">
        <v>1023</v>
      </c>
      <c r="E137" s="1" t="s">
        <v>790</v>
      </c>
      <c r="F137" s="1" t="s">
        <v>83</v>
      </c>
      <c r="I137" s="12">
        <v>4.8604290569920003</v>
      </c>
      <c r="J137" s="12">
        <v>13.886940163</v>
      </c>
      <c r="K137" s="1" t="s">
        <v>754</v>
      </c>
      <c r="L137" s="16">
        <v>2391.9378678550001</v>
      </c>
      <c r="N137" s="16">
        <v>11515.383255860001</v>
      </c>
      <c r="O137" s="10">
        <v>28.014918100000003</v>
      </c>
      <c r="P137" s="15">
        <v>7.875</v>
      </c>
      <c r="Q137" s="15">
        <v>66.655000000000001</v>
      </c>
      <c r="R137" s="15">
        <v>25.324999999999999</v>
      </c>
      <c r="S137" s="15"/>
      <c r="T137" s="15">
        <v>37.792499999999997</v>
      </c>
      <c r="U137" s="15">
        <v>8.4649999999999999</v>
      </c>
      <c r="V137" s="15">
        <v>6.5274999999999999</v>
      </c>
      <c r="W137" s="12">
        <v>0.56184845299999997</v>
      </c>
      <c r="X137" s="15"/>
      <c r="Y137" s="15">
        <v>59.979065609999999</v>
      </c>
      <c r="Z137" s="12"/>
      <c r="AA137" s="15">
        <v>2.25</v>
      </c>
      <c r="AB137" s="16">
        <f>AA137*33.334</f>
        <v>75.001500000000007</v>
      </c>
      <c r="AC137" s="1">
        <v>0</v>
      </c>
      <c r="AD137" s="16">
        <f>AC137*33.334</f>
        <v>0</v>
      </c>
      <c r="AE137" s="1">
        <v>1</v>
      </c>
    </row>
    <row r="138" spans="1:31" x14ac:dyDescent="0.2">
      <c r="A138" s="1">
        <v>137</v>
      </c>
      <c r="B138" s="1">
        <v>2008</v>
      </c>
      <c r="C138" s="8" t="s">
        <v>96</v>
      </c>
      <c r="D138" s="1" t="s">
        <v>916</v>
      </c>
      <c r="E138" s="8" t="s">
        <v>98</v>
      </c>
      <c r="F138" s="8" t="s">
        <v>83</v>
      </c>
      <c r="G138" s="8"/>
      <c r="H138" s="8" t="s">
        <v>34</v>
      </c>
      <c r="I138" s="12">
        <v>4.75</v>
      </c>
      <c r="J138" s="7">
        <v>13.6</v>
      </c>
      <c r="K138" s="13"/>
      <c r="L138" s="14">
        <v>2395</v>
      </c>
      <c r="M138" s="14"/>
      <c r="N138" s="14">
        <v>11366</v>
      </c>
      <c r="O138" s="13">
        <v>29.4</v>
      </c>
      <c r="P138" s="13">
        <v>5.6</v>
      </c>
      <c r="Q138" s="13">
        <v>60.1</v>
      </c>
      <c r="R138" s="13">
        <v>49</v>
      </c>
      <c r="S138" s="13"/>
      <c r="T138" s="13"/>
      <c r="U138" s="13">
        <v>37.799999999999997</v>
      </c>
      <c r="V138" s="15" t="s">
        <v>89</v>
      </c>
      <c r="X138" s="15"/>
      <c r="Y138" s="13">
        <v>59.5</v>
      </c>
      <c r="Z138" s="7">
        <v>1.4</v>
      </c>
      <c r="AB138" s="16"/>
      <c r="AD138" s="16"/>
      <c r="AE138" s="1">
        <v>0</v>
      </c>
    </row>
    <row r="139" spans="1:31" x14ac:dyDescent="0.2">
      <c r="A139" s="1">
        <v>138</v>
      </c>
      <c r="B139" s="1">
        <v>2015</v>
      </c>
      <c r="C139" s="8" t="s">
        <v>96</v>
      </c>
      <c r="D139" s="8" t="s">
        <v>459</v>
      </c>
      <c r="E139" s="8" t="s">
        <v>517</v>
      </c>
      <c r="F139" s="1" t="s">
        <v>83</v>
      </c>
      <c r="H139" s="1" t="s">
        <v>34</v>
      </c>
      <c r="I139" s="12">
        <v>9.6999999999999993</v>
      </c>
      <c r="J139" s="7">
        <v>27.7</v>
      </c>
      <c r="L139" s="14">
        <v>2409</v>
      </c>
      <c r="M139" s="1" t="s">
        <v>34</v>
      </c>
      <c r="N139" s="14">
        <v>23286</v>
      </c>
      <c r="O139" s="13">
        <v>28</v>
      </c>
      <c r="P139" s="13">
        <v>5.8</v>
      </c>
      <c r="Q139" s="13">
        <v>65</v>
      </c>
      <c r="R139" s="13">
        <v>42.5</v>
      </c>
      <c r="S139" s="8"/>
      <c r="T139" s="15" t="s">
        <v>89</v>
      </c>
      <c r="U139" s="13">
        <v>3.8</v>
      </c>
      <c r="V139" s="13">
        <v>14.7</v>
      </c>
      <c r="W139" s="7">
        <v>0.59</v>
      </c>
      <c r="X139" s="13"/>
      <c r="Y139" s="13">
        <v>50.1</v>
      </c>
      <c r="Z139" s="7">
        <v>2.68</v>
      </c>
      <c r="AA139" s="13">
        <v>2.2000000000000002</v>
      </c>
      <c r="AB139" s="16">
        <f>AA139*10</f>
        <v>22</v>
      </c>
      <c r="AC139" s="13">
        <v>1</v>
      </c>
      <c r="AD139" s="16">
        <f>AC139*10</f>
        <v>10</v>
      </c>
      <c r="AE139" s="1">
        <v>0</v>
      </c>
    </row>
    <row r="140" spans="1:31" x14ac:dyDescent="0.2">
      <c r="A140" s="1">
        <v>139</v>
      </c>
      <c r="B140" s="1">
        <v>2020</v>
      </c>
      <c r="C140" s="1" t="s">
        <v>88</v>
      </c>
      <c r="D140" s="28" t="s">
        <v>914</v>
      </c>
      <c r="E140" s="1" t="s">
        <v>639</v>
      </c>
      <c r="F140" s="1" t="s">
        <v>83</v>
      </c>
      <c r="I140" s="12">
        <v>3.348271550737</v>
      </c>
      <c r="J140" s="12">
        <v>9.5664901449999995</v>
      </c>
      <c r="K140" s="1" t="s">
        <v>754</v>
      </c>
      <c r="L140" s="16">
        <v>2409.701055001</v>
      </c>
      <c r="N140" s="16">
        <v>7930.9603358670001</v>
      </c>
      <c r="O140" s="10">
        <v>23.732542300000002</v>
      </c>
      <c r="P140" s="15">
        <v>7.0925000000000002</v>
      </c>
      <c r="Q140" s="15">
        <v>65.397499999999994</v>
      </c>
      <c r="R140" s="15">
        <v>27.445</v>
      </c>
      <c r="S140" s="15"/>
      <c r="T140" s="15">
        <v>37.7575</v>
      </c>
      <c r="U140" s="15">
        <v>7.0575000000000001</v>
      </c>
      <c r="V140" s="15">
        <v>8.9600000000000009</v>
      </c>
      <c r="W140" s="12">
        <v>0.55852801500000004</v>
      </c>
      <c r="X140" s="15"/>
      <c r="Y140" s="15">
        <v>61.593449458999999</v>
      </c>
      <c r="Z140" s="12"/>
      <c r="AA140" s="15">
        <v>1.125</v>
      </c>
      <c r="AB140" s="16">
        <f>AA140*33.334</f>
        <v>37.500750000000004</v>
      </c>
      <c r="AC140" s="15">
        <v>1.75</v>
      </c>
      <c r="AD140" s="16">
        <f>AC140*33.334</f>
        <v>58.334500000000006</v>
      </c>
      <c r="AE140" s="1">
        <v>1</v>
      </c>
    </row>
    <row r="141" spans="1:31" x14ac:dyDescent="0.2">
      <c r="A141" s="1">
        <v>140</v>
      </c>
      <c r="B141" s="1">
        <v>2018</v>
      </c>
      <c r="C141" s="1" t="s">
        <v>96</v>
      </c>
      <c r="D141" s="28" t="s">
        <v>914</v>
      </c>
      <c r="E141" s="1" t="s">
        <v>697</v>
      </c>
      <c r="F141" s="1" t="s">
        <v>32</v>
      </c>
      <c r="H141" s="1" t="s">
        <v>34</v>
      </c>
      <c r="I141" s="12">
        <v>9.43</v>
      </c>
      <c r="J141" s="7">
        <v>26.95</v>
      </c>
      <c r="L141" s="16">
        <v>2410.5</v>
      </c>
      <c r="M141" s="1" t="s">
        <v>34</v>
      </c>
      <c r="N141" s="14">
        <v>22674</v>
      </c>
      <c r="O141" s="15">
        <v>35.82</v>
      </c>
      <c r="P141" s="15">
        <v>6.82</v>
      </c>
      <c r="Q141" s="15">
        <v>66.907499999999999</v>
      </c>
      <c r="R141" s="15">
        <v>50.92</v>
      </c>
      <c r="S141" s="12">
        <v>18.919999999999998</v>
      </c>
      <c r="U141" s="15">
        <v>0.41</v>
      </c>
      <c r="V141" s="15">
        <v>15.46</v>
      </c>
      <c r="W141" s="12">
        <v>0.55632499999999996</v>
      </c>
      <c r="X141" s="15"/>
      <c r="Y141" s="15">
        <v>52.302500000000002</v>
      </c>
      <c r="Z141" s="12">
        <v>1.46</v>
      </c>
      <c r="AA141" s="16">
        <v>2.5</v>
      </c>
      <c r="AB141" s="16">
        <f>AA141*33.334</f>
        <v>83.335000000000008</v>
      </c>
      <c r="AC141" s="16">
        <v>0.5</v>
      </c>
      <c r="AD141" s="16">
        <f>AC141*33.334</f>
        <v>16.667000000000002</v>
      </c>
      <c r="AE141" s="1">
        <v>0</v>
      </c>
    </row>
    <row r="142" spans="1:31" x14ac:dyDescent="0.2">
      <c r="A142" s="1">
        <v>141</v>
      </c>
      <c r="B142" s="1">
        <v>2019</v>
      </c>
      <c r="C142" s="1" t="s">
        <v>96</v>
      </c>
      <c r="D142" s="28" t="s">
        <v>914</v>
      </c>
      <c r="E142" s="1" t="s">
        <v>749</v>
      </c>
      <c r="F142" s="1" t="s">
        <v>83</v>
      </c>
      <c r="I142" s="12">
        <v>4.125</v>
      </c>
      <c r="J142" s="3">
        <v>11.775</v>
      </c>
      <c r="L142" s="5">
        <v>2431.75</v>
      </c>
      <c r="N142" s="5">
        <v>10068.35</v>
      </c>
      <c r="O142" s="6">
        <v>23.56</v>
      </c>
      <c r="P142" s="6">
        <v>8.91</v>
      </c>
      <c r="Q142" s="6">
        <v>60.57</v>
      </c>
      <c r="R142" s="6">
        <v>50.53</v>
      </c>
      <c r="S142" s="3"/>
      <c r="T142" s="6">
        <v>41.13</v>
      </c>
      <c r="U142" s="6">
        <v>1.7050000000000001</v>
      </c>
      <c r="V142" s="6">
        <v>11.74</v>
      </c>
      <c r="W142" s="3">
        <v>0.58252499999999996</v>
      </c>
      <c r="X142" s="6"/>
      <c r="Y142" s="6">
        <v>57.207500000000003</v>
      </c>
      <c r="Z142" s="3">
        <v>1.2675000000000001</v>
      </c>
      <c r="AB142" s="16"/>
      <c r="AC142" s="4">
        <v>5</v>
      </c>
      <c r="AD142" s="16">
        <f>AC142*10</f>
        <v>50</v>
      </c>
      <c r="AE142" s="1">
        <v>0</v>
      </c>
    </row>
    <row r="143" spans="1:31" x14ac:dyDescent="0.2">
      <c r="A143" s="1">
        <v>142</v>
      </c>
      <c r="B143" s="1">
        <v>2013</v>
      </c>
      <c r="C143" s="1" t="s">
        <v>96</v>
      </c>
      <c r="D143" s="8" t="s">
        <v>1023</v>
      </c>
      <c r="E143" s="8" t="s">
        <v>398</v>
      </c>
      <c r="F143" s="1" t="s">
        <v>83</v>
      </c>
      <c r="I143" s="12">
        <v>4.5999999999999996</v>
      </c>
      <c r="J143" s="7">
        <v>13.1428571428571</v>
      </c>
      <c r="K143" s="13" t="s">
        <v>34</v>
      </c>
      <c r="L143" s="14">
        <v>2436</v>
      </c>
      <c r="M143" s="14"/>
      <c r="N143" s="14">
        <v>11251</v>
      </c>
      <c r="O143" s="13">
        <v>27.4</v>
      </c>
      <c r="P143" s="13">
        <v>7.5</v>
      </c>
      <c r="Q143" s="13">
        <v>61.1</v>
      </c>
      <c r="R143" s="13">
        <v>43.3</v>
      </c>
      <c r="S143" s="13" t="s">
        <v>89</v>
      </c>
      <c r="T143" s="13"/>
      <c r="U143" s="13">
        <v>12.8</v>
      </c>
      <c r="V143" s="13">
        <v>1.2</v>
      </c>
      <c r="W143" s="7">
        <v>0.55000000000000004</v>
      </c>
      <c r="X143" s="13">
        <v>65.3</v>
      </c>
      <c r="Y143" s="13">
        <v>54.5</v>
      </c>
      <c r="Z143" s="7">
        <v>1.1200000000000001</v>
      </c>
      <c r="AA143" s="13">
        <v>1.5</v>
      </c>
      <c r="AB143" s="16">
        <f>AA143*10</f>
        <v>15</v>
      </c>
      <c r="AC143" s="13">
        <v>1</v>
      </c>
      <c r="AD143" s="16">
        <f>AC250*10</f>
        <v>8</v>
      </c>
      <c r="AE143" s="1">
        <v>0</v>
      </c>
    </row>
    <row r="144" spans="1:31" x14ac:dyDescent="0.2">
      <c r="A144" s="1">
        <v>143</v>
      </c>
      <c r="B144" s="1">
        <v>2012</v>
      </c>
      <c r="C144" s="1" t="s">
        <v>96</v>
      </c>
      <c r="D144" s="8" t="s">
        <v>1023</v>
      </c>
      <c r="E144" s="8" t="s">
        <v>348</v>
      </c>
      <c r="F144" s="1" t="s">
        <v>83</v>
      </c>
      <c r="I144" s="12">
        <v>3.23</v>
      </c>
      <c r="J144" s="7">
        <v>9.1999999999999993</v>
      </c>
      <c r="K144" s="13"/>
      <c r="L144" s="14">
        <v>2438</v>
      </c>
      <c r="M144" s="14"/>
      <c r="N144" s="14">
        <v>7887</v>
      </c>
      <c r="O144" s="13">
        <v>30.4</v>
      </c>
      <c r="P144" s="13">
        <v>9.5299999999999994</v>
      </c>
      <c r="Q144" s="13">
        <v>61.4</v>
      </c>
      <c r="R144" s="13">
        <v>47.2</v>
      </c>
      <c r="S144" s="13"/>
      <c r="T144" s="13"/>
      <c r="U144" s="15"/>
      <c r="V144" s="13">
        <v>0.7</v>
      </c>
      <c r="W144" s="7">
        <v>0.56000000000000005</v>
      </c>
      <c r="X144" s="13">
        <v>67.5</v>
      </c>
      <c r="Y144" s="15"/>
      <c r="Z144" s="7">
        <v>0.94</v>
      </c>
      <c r="AA144" s="7">
        <v>6</v>
      </c>
      <c r="AB144" s="16">
        <f>AA144*10</f>
        <v>60</v>
      </c>
      <c r="AC144" s="7">
        <v>0.5</v>
      </c>
      <c r="AD144" s="16">
        <f>AC144*10</f>
        <v>5</v>
      </c>
      <c r="AE144" s="1">
        <v>0</v>
      </c>
    </row>
    <row r="145" spans="1:31" ht="17" x14ac:dyDescent="0.2">
      <c r="A145" s="1">
        <v>144</v>
      </c>
      <c r="B145" s="1">
        <v>2019</v>
      </c>
      <c r="C145" s="1" t="s">
        <v>96</v>
      </c>
      <c r="D145" s="28" t="s">
        <v>914</v>
      </c>
      <c r="E145" s="1" t="s">
        <v>749</v>
      </c>
      <c r="F145" s="1" t="s">
        <v>32</v>
      </c>
      <c r="H145" s="1" t="s">
        <v>34</v>
      </c>
      <c r="I145" s="12">
        <v>10</v>
      </c>
      <c r="J145" s="3">
        <v>28.6</v>
      </c>
      <c r="L145" s="5">
        <v>2438.3333299999999</v>
      </c>
      <c r="M145" s="6" t="s">
        <v>34</v>
      </c>
      <c r="N145" s="5">
        <v>24382</v>
      </c>
      <c r="O145" s="6">
        <v>26.4933333</v>
      </c>
      <c r="P145" s="6">
        <v>4.98666667</v>
      </c>
      <c r="Q145" s="6">
        <v>61.4166667</v>
      </c>
      <c r="R145" s="6">
        <v>47.4</v>
      </c>
      <c r="S145" s="3"/>
      <c r="T145" s="6">
        <v>44.8</v>
      </c>
      <c r="U145" s="6">
        <v>2.2200000000000002</v>
      </c>
      <c r="V145" s="6">
        <v>16.6333333</v>
      </c>
      <c r="W145" s="3">
        <v>0.59116666699999998</v>
      </c>
      <c r="X145" s="6"/>
      <c r="Y145" s="6">
        <v>52.066666699999999</v>
      </c>
      <c r="Z145" s="3">
        <v>2.9</v>
      </c>
      <c r="AB145" s="16"/>
      <c r="AC145" s="6">
        <v>0</v>
      </c>
      <c r="AD145" s="16">
        <f>AC145*10</f>
        <v>0</v>
      </c>
      <c r="AE145" s="1">
        <v>0</v>
      </c>
    </row>
    <row r="146" spans="1:31" x14ac:dyDescent="0.2">
      <c r="A146" s="1">
        <v>145</v>
      </c>
      <c r="B146" s="1">
        <v>2020</v>
      </c>
      <c r="C146" s="1" t="s">
        <v>88</v>
      </c>
      <c r="D146" s="1" t="s">
        <v>246</v>
      </c>
      <c r="E146" s="1" t="s">
        <v>513</v>
      </c>
      <c r="F146" s="1" t="s">
        <v>83</v>
      </c>
      <c r="I146" s="12">
        <v>4.8976916628560003</v>
      </c>
      <c r="J146" s="12">
        <v>13.993404751</v>
      </c>
      <c r="K146" s="1" t="s">
        <v>754</v>
      </c>
      <c r="L146" s="16">
        <v>2450.0502558550002</v>
      </c>
      <c r="N146" s="16">
        <v>11927.300768081001</v>
      </c>
      <c r="O146" s="10">
        <v>22.706938099999999</v>
      </c>
      <c r="P146" s="15">
        <v>7.8425000000000002</v>
      </c>
      <c r="Q146" s="15">
        <v>66.84</v>
      </c>
      <c r="R146" s="15">
        <v>29.515000000000001</v>
      </c>
      <c r="S146" s="15"/>
      <c r="T146" s="15">
        <v>37.42</v>
      </c>
      <c r="U146" s="15">
        <v>5.2450000000000001</v>
      </c>
      <c r="V146" s="15">
        <v>8.9350000000000005</v>
      </c>
      <c r="W146" s="12">
        <v>0.56500040799999995</v>
      </c>
      <c r="X146" s="15"/>
      <c r="Y146" s="15">
        <v>62.217810258999997</v>
      </c>
      <c r="Z146" s="12"/>
      <c r="AA146" s="15">
        <v>2.25</v>
      </c>
      <c r="AB146" s="16">
        <f>AA146*33.334</f>
        <v>75.001500000000007</v>
      </c>
      <c r="AC146" s="1">
        <v>0</v>
      </c>
      <c r="AD146" s="16">
        <f>AC146*33.334</f>
        <v>0</v>
      </c>
      <c r="AE146" s="1">
        <v>1</v>
      </c>
    </row>
    <row r="147" spans="1:31" x14ac:dyDescent="0.2">
      <c r="A147" s="1">
        <v>146</v>
      </c>
      <c r="B147" s="1">
        <v>2021</v>
      </c>
      <c r="C147" s="1" t="s">
        <v>96</v>
      </c>
      <c r="D147" s="28" t="s">
        <v>914</v>
      </c>
      <c r="E147" s="1" t="s">
        <v>750</v>
      </c>
      <c r="F147" s="1" t="s">
        <v>83</v>
      </c>
      <c r="H147" s="1" t="s">
        <v>34</v>
      </c>
      <c r="I147" s="12">
        <v>6.4627161168549998</v>
      </c>
      <c r="J147" s="12">
        <v>18.464903191000001</v>
      </c>
      <c r="K147" s="1" t="s">
        <v>89</v>
      </c>
      <c r="L147" s="16">
        <v>2450.5</v>
      </c>
      <c r="N147" s="16">
        <v>15844.757470535</v>
      </c>
      <c r="O147" s="15">
        <v>33.047286900000003</v>
      </c>
      <c r="P147" s="15">
        <v>6.2959424589999999</v>
      </c>
      <c r="Q147" s="15">
        <v>72.452500000000001</v>
      </c>
      <c r="R147" s="15">
        <v>56.671679191000003</v>
      </c>
      <c r="U147" s="15">
        <v>0.1</v>
      </c>
      <c r="V147" s="15">
        <v>9.0150000000000006</v>
      </c>
      <c r="W147" s="12">
        <v>0.57087500000000002</v>
      </c>
      <c r="X147" s="15"/>
      <c r="Y147" s="15">
        <v>54.402500000000003</v>
      </c>
      <c r="Z147" s="12"/>
      <c r="AA147" s="1">
        <v>0.625</v>
      </c>
      <c r="AB147" s="16">
        <f>AA147*33.334</f>
        <v>20.833750000000002</v>
      </c>
      <c r="AD147" s="16"/>
      <c r="AE147" s="1">
        <v>0</v>
      </c>
    </row>
    <row r="148" spans="1:31" x14ac:dyDescent="0.2">
      <c r="A148" s="1">
        <v>147</v>
      </c>
      <c r="B148" s="1">
        <v>2011</v>
      </c>
      <c r="C148" s="1" t="s">
        <v>96</v>
      </c>
      <c r="D148" s="8" t="s">
        <v>90</v>
      </c>
      <c r="E148" s="8" t="s">
        <v>257</v>
      </c>
      <c r="F148" s="1" t="s">
        <v>32</v>
      </c>
      <c r="I148" s="12">
        <v>8</v>
      </c>
      <c r="J148" s="12">
        <v>16.642016099999999</v>
      </c>
      <c r="K148" s="8"/>
      <c r="L148" s="14">
        <v>2457</v>
      </c>
      <c r="M148" s="8"/>
      <c r="N148" s="14">
        <v>19801</v>
      </c>
      <c r="O148" s="13">
        <v>25.2</v>
      </c>
      <c r="P148" s="13">
        <v>6.9</v>
      </c>
      <c r="Q148" s="13">
        <v>59.5</v>
      </c>
      <c r="R148" s="13">
        <v>61.7</v>
      </c>
      <c r="T148" s="15"/>
      <c r="U148" s="15" t="s">
        <v>89</v>
      </c>
      <c r="V148" s="13">
        <v>1.3</v>
      </c>
      <c r="W148" s="12" t="s">
        <v>89</v>
      </c>
      <c r="X148" s="15" t="s">
        <v>89</v>
      </c>
      <c r="Y148" s="13">
        <v>61.2</v>
      </c>
      <c r="Z148" s="7">
        <v>2.94</v>
      </c>
      <c r="AA148" s="13">
        <v>0.75</v>
      </c>
      <c r="AB148" s="16">
        <f>AA148*10</f>
        <v>7.5</v>
      </c>
      <c r="AC148" s="13">
        <v>1</v>
      </c>
      <c r="AD148" s="16">
        <f>AC148*10</f>
        <v>10</v>
      </c>
      <c r="AE148" s="1">
        <v>0</v>
      </c>
    </row>
    <row r="149" spans="1:31" x14ac:dyDescent="0.2">
      <c r="A149" s="1">
        <v>148</v>
      </c>
      <c r="B149" s="1">
        <v>2018</v>
      </c>
      <c r="C149" s="1" t="s">
        <v>88</v>
      </c>
      <c r="D149" s="28" t="s">
        <v>914</v>
      </c>
      <c r="E149" s="8" t="s">
        <v>681</v>
      </c>
      <c r="F149" s="1" t="s">
        <v>83</v>
      </c>
      <c r="I149" s="12">
        <v>1.72533264</v>
      </c>
      <c r="J149" s="7">
        <v>4.9295217999999998</v>
      </c>
      <c r="L149" s="14">
        <v>2457.75</v>
      </c>
      <c r="N149" s="14">
        <v>4249.6990999999998</v>
      </c>
      <c r="O149" s="13">
        <v>38.85</v>
      </c>
      <c r="P149" s="13">
        <v>11.57</v>
      </c>
      <c r="Q149" s="13">
        <v>66.010000000000005</v>
      </c>
      <c r="R149" s="13">
        <v>48.37</v>
      </c>
      <c r="S149" s="7">
        <v>21.622499999999999</v>
      </c>
      <c r="U149" s="13">
        <v>5.6524999999999999</v>
      </c>
      <c r="V149" s="13">
        <v>6.77</v>
      </c>
      <c r="W149" s="7">
        <v>0.58484999999999998</v>
      </c>
      <c r="X149" s="13"/>
      <c r="Y149" s="13">
        <v>52.202500000000001</v>
      </c>
      <c r="Z149" s="7">
        <v>0.54926359000000002</v>
      </c>
      <c r="AA149" s="14">
        <v>3</v>
      </c>
      <c r="AB149" s="16">
        <f>AA149*33.334</f>
        <v>100.00200000000001</v>
      </c>
      <c r="AD149" s="16"/>
      <c r="AE149" s="1">
        <v>1</v>
      </c>
    </row>
    <row r="150" spans="1:31" x14ac:dyDescent="0.2">
      <c r="A150" s="1">
        <v>149</v>
      </c>
      <c r="B150" s="1">
        <v>2011</v>
      </c>
      <c r="C150" s="1" t="s">
        <v>88</v>
      </c>
      <c r="D150" s="8" t="s">
        <v>90</v>
      </c>
      <c r="E150" s="8" t="s">
        <v>91</v>
      </c>
      <c r="F150" s="1" t="s">
        <v>83</v>
      </c>
      <c r="I150" s="12">
        <v>5.17</v>
      </c>
      <c r="J150" s="12">
        <v>15.4</v>
      </c>
      <c r="K150" s="13"/>
      <c r="L150" s="14">
        <v>2458</v>
      </c>
      <c r="M150" s="14"/>
      <c r="N150" s="14">
        <v>12691</v>
      </c>
      <c r="O150" s="13">
        <v>25.6</v>
      </c>
      <c r="P150" s="13">
        <v>7</v>
      </c>
      <c r="Q150" s="13">
        <v>60.9</v>
      </c>
      <c r="R150" s="13">
        <v>55.4</v>
      </c>
      <c r="T150" s="15"/>
      <c r="U150" s="13">
        <v>6.3</v>
      </c>
      <c r="V150" s="13">
        <v>1.1000000000000001</v>
      </c>
      <c r="W150" s="12" t="s">
        <v>89</v>
      </c>
      <c r="X150" s="15" t="s">
        <v>89</v>
      </c>
      <c r="Y150" s="13">
        <v>62.8</v>
      </c>
      <c r="Z150" s="7">
        <v>1.75</v>
      </c>
      <c r="AA150" s="1">
        <v>5.75</v>
      </c>
      <c r="AB150" s="16">
        <f>AA150*10</f>
        <v>57.5</v>
      </c>
      <c r="AC150" s="1">
        <v>2</v>
      </c>
      <c r="AD150" s="16">
        <f>AC150*10</f>
        <v>20</v>
      </c>
      <c r="AE150" s="1">
        <v>1</v>
      </c>
    </row>
    <row r="151" spans="1:31" x14ac:dyDescent="0.2">
      <c r="A151" s="1">
        <v>150</v>
      </c>
      <c r="B151" s="1">
        <v>2016</v>
      </c>
      <c r="C151" s="1" t="s">
        <v>96</v>
      </c>
      <c r="D151" s="1" t="s">
        <v>246</v>
      </c>
      <c r="E151" s="1" t="s">
        <v>590</v>
      </c>
      <c r="F151" s="1" t="s">
        <v>83</v>
      </c>
      <c r="H151" s="1" t="s">
        <v>34</v>
      </c>
      <c r="I151" s="12">
        <v>8.09</v>
      </c>
      <c r="J151" s="3">
        <v>23.1</v>
      </c>
      <c r="L151" s="5">
        <v>2467.75</v>
      </c>
      <c r="M151" s="1" t="s">
        <v>34</v>
      </c>
      <c r="N151" s="5">
        <v>19975</v>
      </c>
      <c r="O151" s="6">
        <v>29.959679600000001</v>
      </c>
      <c r="P151" s="6">
        <v>5.4074999999999998</v>
      </c>
      <c r="Q151" s="6">
        <v>62.927500000000002</v>
      </c>
      <c r="R151" s="6">
        <v>40.505000000000003</v>
      </c>
      <c r="S151" s="6">
        <v>26.047499999999999</v>
      </c>
      <c r="T151" s="6"/>
      <c r="U151" s="15">
        <v>1.9875</v>
      </c>
      <c r="V151" s="15">
        <v>16.7</v>
      </c>
      <c r="W151" s="3">
        <v>0.57715000000000005</v>
      </c>
      <c r="X151" s="6"/>
      <c r="Y151" s="6">
        <v>50.467500000000001</v>
      </c>
      <c r="Z151" s="3">
        <v>2</v>
      </c>
      <c r="AA151" s="6">
        <v>2.25</v>
      </c>
      <c r="AB151" s="16">
        <f>AA151*10</f>
        <v>22.5</v>
      </c>
      <c r="AC151" s="6">
        <v>1</v>
      </c>
      <c r="AD151" s="16">
        <f>AC151*10</f>
        <v>10</v>
      </c>
      <c r="AE151" s="1">
        <v>0</v>
      </c>
    </row>
    <row r="152" spans="1:31" x14ac:dyDescent="0.2">
      <c r="A152" s="1">
        <v>151</v>
      </c>
      <c r="B152" s="1">
        <v>2008</v>
      </c>
      <c r="C152" s="8" t="s">
        <v>96</v>
      </c>
      <c r="D152" s="1" t="s">
        <v>916</v>
      </c>
      <c r="E152" s="8" t="s">
        <v>99</v>
      </c>
      <c r="F152" s="8" t="s">
        <v>32</v>
      </c>
      <c r="G152" s="8"/>
      <c r="H152" s="8"/>
      <c r="I152" s="12">
        <v>8.25</v>
      </c>
      <c r="J152" s="7">
        <v>23.6</v>
      </c>
      <c r="K152" s="13"/>
      <c r="L152" s="14">
        <v>2476</v>
      </c>
      <c r="M152" s="14" t="s">
        <v>34</v>
      </c>
      <c r="N152" s="14">
        <v>20444</v>
      </c>
      <c r="O152" s="13">
        <v>33.5</v>
      </c>
      <c r="P152" s="13">
        <v>6.5</v>
      </c>
      <c r="Q152" s="13">
        <v>56.5</v>
      </c>
      <c r="R152" s="13">
        <v>47</v>
      </c>
      <c r="S152" s="13"/>
      <c r="T152" s="13"/>
      <c r="U152" s="13">
        <v>36.5</v>
      </c>
      <c r="V152" s="15" t="s">
        <v>89</v>
      </c>
      <c r="X152" s="15"/>
      <c r="Y152" s="13">
        <v>61</v>
      </c>
      <c r="Z152" s="7">
        <v>2.2000000000000002</v>
      </c>
      <c r="AB152" s="16"/>
      <c r="AD152" s="16"/>
      <c r="AE152" s="1">
        <v>0</v>
      </c>
    </row>
    <row r="153" spans="1:31" x14ac:dyDescent="0.2">
      <c r="A153" s="1">
        <v>152</v>
      </c>
      <c r="B153" s="1">
        <v>2018</v>
      </c>
      <c r="C153" s="1" t="s">
        <v>88</v>
      </c>
      <c r="D153" s="1" t="s">
        <v>1023</v>
      </c>
      <c r="E153" s="1" t="s">
        <v>679</v>
      </c>
      <c r="F153" s="1" t="s">
        <v>32</v>
      </c>
      <c r="H153" s="1" t="s">
        <v>34</v>
      </c>
      <c r="I153" s="12">
        <v>8.59</v>
      </c>
      <c r="J153" s="7">
        <v>24.54</v>
      </c>
      <c r="L153" s="16">
        <v>2478.5</v>
      </c>
      <c r="N153" s="16">
        <v>21243.453652239299</v>
      </c>
      <c r="O153" s="15">
        <v>28.926095072224701</v>
      </c>
      <c r="P153" s="15">
        <v>8.4625000000000004</v>
      </c>
      <c r="Q153" s="15">
        <v>64.295000000000002</v>
      </c>
      <c r="R153" s="15">
        <v>52.97</v>
      </c>
      <c r="S153" s="12">
        <v>17.29</v>
      </c>
      <c r="U153" s="15">
        <v>0.48499999999999999</v>
      </c>
      <c r="V153" s="15">
        <v>12.9825</v>
      </c>
      <c r="W153" s="12">
        <v>0.55735000000000001</v>
      </c>
      <c r="X153" s="15"/>
      <c r="Y153" s="15">
        <v>53.942500000000003</v>
      </c>
      <c r="Z153" s="12">
        <v>1.32</v>
      </c>
      <c r="AA153" s="16">
        <v>1.25</v>
      </c>
      <c r="AB153" s="16">
        <f>AA153*33.334</f>
        <v>41.667500000000004</v>
      </c>
      <c r="AC153" s="16">
        <v>0</v>
      </c>
      <c r="AD153" s="16">
        <f>AC153*33.334</f>
        <v>0</v>
      </c>
      <c r="AE153" s="1">
        <v>1</v>
      </c>
    </row>
    <row r="154" spans="1:31" x14ac:dyDescent="0.2">
      <c r="A154" s="1">
        <v>153</v>
      </c>
      <c r="B154" s="1">
        <v>2018</v>
      </c>
      <c r="C154" s="1" t="s">
        <v>88</v>
      </c>
      <c r="D154" s="8" t="s">
        <v>90</v>
      </c>
      <c r="E154" s="8" t="s">
        <v>247</v>
      </c>
      <c r="F154" s="1" t="s">
        <v>83</v>
      </c>
      <c r="I154" s="12">
        <v>4.6946073000000004</v>
      </c>
      <c r="J154" s="3">
        <v>13.4131637</v>
      </c>
      <c r="L154" s="5">
        <v>2480.75</v>
      </c>
      <c r="N154" s="5">
        <v>11641.8858</v>
      </c>
      <c r="O154" s="6">
        <v>25.7225</v>
      </c>
      <c r="P154" s="18">
        <v>8.27</v>
      </c>
      <c r="Q154" s="6">
        <v>64.900000000000006</v>
      </c>
      <c r="R154" s="6">
        <v>48.38</v>
      </c>
      <c r="S154" s="3">
        <v>19.975000000000001</v>
      </c>
      <c r="U154" s="6">
        <v>0.36499999999999999</v>
      </c>
      <c r="V154" s="6">
        <v>12.2</v>
      </c>
      <c r="W154" s="3">
        <v>0.59017500000000001</v>
      </c>
      <c r="X154" s="6"/>
      <c r="Y154" s="6">
        <v>52.527500000000003</v>
      </c>
      <c r="Z154" s="3">
        <v>1.47</v>
      </c>
      <c r="AA154" s="5">
        <v>1.25</v>
      </c>
      <c r="AB154" s="16">
        <f>AA154*33.334</f>
        <v>41.667500000000004</v>
      </c>
      <c r="AD154" s="16"/>
      <c r="AE154" s="1">
        <v>1</v>
      </c>
    </row>
    <row r="155" spans="1:31" x14ac:dyDescent="0.2">
      <c r="A155" s="1">
        <v>154</v>
      </c>
      <c r="B155" s="1">
        <v>2008</v>
      </c>
      <c r="C155" s="8" t="s">
        <v>96</v>
      </c>
      <c r="D155" s="8" t="s">
        <v>90</v>
      </c>
      <c r="E155" s="8" t="s">
        <v>97</v>
      </c>
      <c r="F155" s="8" t="s">
        <v>83</v>
      </c>
      <c r="G155" s="8"/>
      <c r="H155" s="8"/>
      <c r="I155" s="12">
        <v>2.2000000000000002</v>
      </c>
      <c r="J155" s="7">
        <v>6.3</v>
      </c>
      <c r="K155" s="13"/>
      <c r="L155" s="14">
        <v>2483</v>
      </c>
      <c r="M155" s="14"/>
      <c r="N155" s="14">
        <v>5479</v>
      </c>
      <c r="O155" s="13">
        <v>27.1</v>
      </c>
      <c r="P155" s="13">
        <v>6.5</v>
      </c>
      <c r="Q155" s="13">
        <v>59.3</v>
      </c>
      <c r="R155" s="13">
        <v>51.5</v>
      </c>
      <c r="S155" s="13"/>
      <c r="T155" s="13"/>
      <c r="U155" s="13">
        <v>36</v>
      </c>
      <c r="V155" s="15" t="s">
        <v>89</v>
      </c>
      <c r="X155" s="15"/>
      <c r="Y155" s="13">
        <v>61.5</v>
      </c>
      <c r="Z155" s="7">
        <v>0.67</v>
      </c>
      <c r="AB155" s="16"/>
      <c r="AD155" s="16"/>
      <c r="AE155" s="1">
        <v>0</v>
      </c>
    </row>
    <row r="156" spans="1:31" x14ac:dyDescent="0.2">
      <c r="A156" s="1">
        <v>155</v>
      </c>
      <c r="B156" s="1">
        <v>2011</v>
      </c>
      <c r="C156" s="1" t="s">
        <v>88</v>
      </c>
      <c r="D156" s="8" t="s">
        <v>240</v>
      </c>
      <c r="E156" s="8" t="s">
        <v>244</v>
      </c>
      <c r="F156" s="1" t="s">
        <v>83</v>
      </c>
      <c r="I156" s="12">
        <v>4.25</v>
      </c>
      <c r="J156" s="12">
        <v>24.214279900000001</v>
      </c>
      <c r="K156" s="13"/>
      <c r="L156" s="14">
        <v>2483</v>
      </c>
      <c r="M156" s="14"/>
      <c r="N156" s="14">
        <v>10536</v>
      </c>
      <c r="O156" s="13">
        <v>31.8</v>
      </c>
      <c r="P156" s="13">
        <v>7.4</v>
      </c>
      <c r="Q156" s="13">
        <v>60.3</v>
      </c>
      <c r="R156" s="13">
        <v>51.4</v>
      </c>
      <c r="T156" s="15"/>
      <c r="U156" s="13">
        <v>8.3000000000000007</v>
      </c>
      <c r="V156" s="13">
        <v>1.2</v>
      </c>
      <c r="W156" s="12" t="s">
        <v>89</v>
      </c>
      <c r="X156" s="15" t="s">
        <v>89</v>
      </c>
      <c r="Y156" s="13">
        <v>59.9</v>
      </c>
      <c r="Z156" s="7">
        <v>1.31</v>
      </c>
      <c r="AA156" s="1">
        <v>1.1299999999999999</v>
      </c>
      <c r="AB156" s="16">
        <f>AA156*10</f>
        <v>11.299999999999999</v>
      </c>
      <c r="AC156" s="1">
        <v>1.5</v>
      </c>
      <c r="AD156" s="16">
        <f>AC156*10</f>
        <v>15</v>
      </c>
      <c r="AE156" s="1">
        <v>1</v>
      </c>
    </row>
    <row r="157" spans="1:31" x14ac:dyDescent="0.2">
      <c r="A157" s="1">
        <v>156</v>
      </c>
      <c r="B157" s="1">
        <v>2020</v>
      </c>
      <c r="C157" s="1" t="s">
        <v>88</v>
      </c>
      <c r="D157" s="28" t="s">
        <v>914</v>
      </c>
      <c r="E157" s="1" t="s">
        <v>692</v>
      </c>
      <c r="F157" s="1" t="s">
        <v>83</v>
      </c>
      <c r="I157" s="12">
        <v>3.9745789229690001</v>
      </c>
      <c r="J157" s="12">
        <v>11.35593978</v>
      </c>
      <c r="K157" s="1" t="s">
        <v>754</v>
      </c>
      <c r="L157" s="16">
        <v>2484.4441101399998</v>
      </c>
      <c r="N157" s="16">
        <v>9174.0799438970007</v>
      </c>
      <c r="O157" s="10">
        <v>24.7966053</v>
      </c>
      <c r="P157" s="15">
        <v>9.6675000000000004</v>
      </c>
      <c r="Q157" s="15">
        <v>66.424999999999997</v>
      </c>
      <c r="R157" s="15">
        <v>27.637499999999999</v>
      </c>
      <c r="S157" s="15"/>
      <c r="T157" s="15">
        <v>37.972499999999997</v>
      </c>
      <c r="U157" s="15">
        <v>7.1725000000000003</v>
      </c>
      <c r="V157" s="15">
        <v>6.0425000000000004</v>
      </c>
      <c r="W157" s="12">
        <v>0.57286640799999999</v>
      </c>
      <c r="X157" s="15"/>
      <c r="Y157" s="15">
        <v>61.921979624000002</v>
      </c>
      <c r="Z157" s="12"/>
      <c r="AA157" s="15">
        <v>2.375</v>
      </c>
      <c r="AB157" s="16">
        <f>AA157*33.334</f>
        <v>79.16825</v>
      </c>
      <c r="AC157" s="1">
        <v>0</v>
      </c>
      <c r="AD157" s="16">
        <f>AC157*33.334</f>
        <v>0</v>
      </c>
      <c r="AE157" s="1">
        <v>1</v>
      </c>
    </row>
    <row r="158" spans="1:31" x14ac:dyDescent="0.2">
      <c r="A158" s="1">
        <v>157</v>
      </c>
      <c r="B158" s="1">
        <v>2017</v>
      </c>
      <c r="C158" s="1" t="s">
        <v>96</v>
      </c>
      <c r="D158" s="1" t="s">
        <v>187</v>
      </c>
      <c r="E158" s="1" t="s">
        <v>645</v>
      </c>
      <c r="F158" s="1" t="s">
        <v>32</v>
      </c>
      <c r="I158" s="12">
        <v>6.28</v>
      </c>
      <c r="J158" s="3">
        <v>17.899999999999999</v>
      </c>
      <c r="L158" s="5">
        <v>2485</v>
      </c>
      <c r="N158" s="5">
        <v>15618</v>
      </c>
      <c r="O158" s="6">
        <v>29.6</v>
      </c>
      <c r="P158" s="6">
        <v>4.7</v>
      </c>
      <c r="Q158" s="6">
        <v>63.1</v>
      </c>
      <c r="R158" s="6">
        <v>41.7</v>
      </c>
      <c r="S158" s="6">
        <v>25</v>
      </c>
      <c r="U158" s="15">
        <v>6.7</v>
      </c>
      <c r="V158" s="15">
        <v>16.2</v>
      </c>
      <c r="W158" s="3">
        <v>0.57799999999999996</v>
      </c>
      <c r="X158" s="6"/>
      <c r="Y158" s="6">
        <v>50.9</v>
      </c>
      <c r="Z158" s="3">
        <v>1.7</v>
      </c>
      <c r="AB158" s="16"/>
      <c r="AD158" s="16"/>
      <c r="AE158" s="1">
        <v>0</v>
      </c>
    </row>
    <row r="159" spans="1:31" x14ac:dyDescent="0.2">
      <c r="A159" s="1">
        <v>158</v>
      </c>
      <c r="B159" s="1">
        <v>2008</v>
      </c>
      <c r="C159" s="1" t="s">
        <v>31</v>
      </c>
      <c r="D159" s="8" t="s">
        <v>71</v>
      </c>
      <c r="E159" s="8" t="s">
        <v>76</v>
      </c>
      <c r="F159" s="8" t="s">
        <v>83</v>
      </c>
      <c r="G159" s="8"/>
      <c r="H159" s="8"/>
      <c r="I159" s="12">
        <v>3.07</v>
      </c>
      <c r="J159" s="7">
        <v>8.7714285714285722</v>
      </c>
      <c r="K159" s="13"/>
      <c r="L159" s="14">
        <v>2487</v>
      </c>
      <c r="M159" s="14"/>
      <c r="N159" s="14">
        <v>7645</v>
      </c>
      <c r="O159" s="13">
        <v>29.4</v>
      </c>
      <c r="P159" s="13">
        <v>10.7</v>
      </c>
      <c r="Q159" s="13">
        <v>51.4</v>
      </c>
      <c r="R159" s="13">
        <v>37.6</v>
      </c>
      <c r="S159" s="13"/>
      <c r="T159" s="13">
        <v>28</v>
      </c>
      <c r="U159" s="13">
        <v>14.6</v>
      </c>
      <c r="V159" s="15"/>
      <c r="X159" s="15"/>
      <c r="Y159" s="13">
        <v>59</v>
      </c>
      <c r="Z159" s="7">
        <v>0.59</v>
      </c>
      <c r="AB159" s="16"/>
      <c r="AD159" s="16"/>
      <c r="AE159" s="1">
        <v>1</v>
      </c>
    </row>
    <row r="160" spans="1:31" ht="17" x14ac:dyDescent="0.2">
      <c r="A160" s="1">
        <v>159</v>
      </c>
      <c r="B160" s="1">
        <v>2019</v>
      </c>
      <c r="C160" s="1" t="s">
        <v>88</v>
      </c>
      <c r="D160" s="8" t="s">
        <v>738</v>
      </c>
      <c r="E160" s="8" t="s">
        <v>578</v>
      </c>
      <c r="F160" s="1" t="s">
        <v>32</v>
      </c>
      <c r="H160" s="1" t="s">
        <v>34</v>
      </c>
      <c r="I160" s="12">
        <v>10.199999999999999</v>
      </c>
      <c r="J160" s="3">
        <v>29.1</v>
      </c>
      <c r="L160" s="5">
        <v>2487.75</v>
      </c>
      <c r="M160" s="6" t="s">
        <v>34</v>
      </c>
      <c r="N160" s="5">
        <v>25400</v>
      </c>
      <c r="O160" s="6">
        <v>33.302500000000002</v>
      </c>
      <c r="P160" s="6">
        <v>4.9050000000000002</v>
      </c>
      <c r="Q160" s="6">
        <v>60.5</v>
      </c>
      <c r="R160" s="6">
        <v>38.56</v>
      </c>
      <c r="S160" s="3"/>
      <c r="T160" s="6">
        <v>41.4</v>
      </c>
      <c r="U160" s="6">
        <v>4.38</v>
      </c>
      <c r="V160" s="6">
        <v>19.217500000000001</v>
      </c>
      <c r="W160" s="3">
        <v>0.61887500000000006</v>
      </c>
      <c r="X160" s="6"/>
      <c r="Y160" s="6">
        <v>50.4925</v>
      </c>
      <c r="Z160" s="3">
        <v>2.4</v>
      </c>
      <c r="AB160" s="16"/>
      <c r="AC160" s="6">
        <v>0</v>
      </c>
      <c r="AD160" s="16">
        <f>AC160*10</f>
        <v>0</v>
      </c>
      <c r="AE160" s="1">
        <v>1</v>
      </c>
    </row>
    <row r="161" spans="1:31" x14ac:dyDescent="0.2">
      <c r="A161" s="1">
        <v>160</v>
      </c>
      <c r="B161" s="1">
        <v>2016</v>
      </c>
      <c r="C161" s="1" t="s">
        <v>88</v>
      </c>
      <c r="D161" s="8" t="s">
        <v>246</v>
      </c>
      <c r="E161" s="8" t="s">
        <v>578</v>
      </c>
      <c r="F161" s="1" t="s">
        <v>32</v>
      </c>
      <c r="H161" s="1" t="s">
        <v>34</v>
      </c>
      <c r="I161" s="12">
        <v>11.12</v>
      </c>
      <c r="J161" s="7">
        <v>31.8</v>
      </c>
      <c r="L161" s="5">
        <v>2491.5</v>
      </c>
      <c r="N161" s="5">
        <v>28030.424999999999</v>
      </c>
      <c r="O161" s="6">
        <v>33.715000000000003</v>
      </c>
      <c r="P161" s="6">
        <v>4.9950000000000001</v>
      </c>
      <c r="Q161" s="6">
        <v>61.32</v>
      </c>
      <c r="R161" s="6">
        <v>35.612499999999997</v>
      </c>
      <c r="S161" s="6"/>
      <c r="T161" s="6">
        <v>41.842500000000001</v>
      </c>
      <c r="U161" s="6">
        <v>10.414999999999999</v>
      </c>
      <c r="V161" s="6">
        <v>9.6999999999999993</v>
      </c>
      <c r="W161" s="7">
        <v>0.57999999999999996</v>
      </c>
      <c r="X161" s="13"/>
      <c r="Y161" s="6">
        <v>49.772500000000001</v>
      </c>
      <c r="Z161" s="3">
        <v>2.4362352899999999</v>
      </c>
      <c r="AA161" s="6">
        <v>3.25</v>
      </c>
      <c r="AB161" s="16">
        <f>AA161*10</f>
        <v>32.5</v>
      </c>
      <c r="AC161" s="6">
        <v>1</v>
      </c>
      <c r="AD161" s="16">
        <f>AC161*10</f>
        <v>10</v>
      </c>
      <c r="AE161" s="1">
        <v>1</v>
      </c>
    </row>
    <row r="162" spans="1:31" x14ac:dyDescent="0.2">
      <c r="A162" s="1">
        <v>161</v>
      </c>
      <c r="B162" s="1">
        <v>2008</v>
      </c>
      <c r="C162" s="1" t="s">
        <v>31</v>
      </c>
      <c r="D162" s="1" t="s">
        <v>916</v>
      </c>
      <c r="E162" s="8" t="s">
        <v>86</v>
      </c>
      <c r="F162" s="8" t="s">
        <v>83</v>
      </c>
      <c r="G162" s="8"/>
      <c r="H162" s="8"/>
      <c r="I162" s="12">
        <v>4.2300000000000004</v>
      </c>
      <c r="J162" s="7">
        <v>12.085714285714287</v>
      </c>
      <c r="K162" s="13"/>
      <c r="L162" s="14">
        <v>2497</v>
      </c>
      <c r="M162" s="14"/>
      <c r="N162" s="14">
        <v>10608</v>
      </c>
      <c r="O162" s="13">
        <v>29.3</v>
      </c>
      <c r="P162" s="13">
        <v>9.3000000000000007</v>
      </c>
      <c r="Q162" s="13">
        <v>45.6</v>
      </c>
      <c r="R162" s="13">
        <v>20.8</v>
      </c>
      <c r="S162" s="13"/>
      <c r="T162" s="13">
        <v>21.4</v>
      </c>
      <c r="U162" s="13">
        <v>25.5</v>
      </c>
      <c r="V162" s="15"/>
      <c r="X162" s="15"/>
      <c r="Y162" s="13">
        <v>57.8</v>
      </c>
      <c r="Z162" s="7">
        <v>0.4</v>
      </c>
      <c r="AB162" s="16"/>
      <c r="AD162" s="16"/>
      <c r="AE162" s="1">
        <v>1</v>
      </c>
    </row>
    <row r="163" spans="1:31" x14ac:dyDescent="0.2">
      <c r="A163" s="1">
        <v>162</v>
      </c>
      <c r="B163" s="1">
        <v>2018</v>
      </c>
      <c r="C163" s="1" t="s">
        <v>96</v>
      </c>
      <c r="D163" s="8" t="s">
        <v>90</v>
      </c>
      <c r="E163" s="8" t="s">
        <v>100</v>
      </c>
      <c r="F163" s="1" t="s">
        <v>83</v>
      </c>
      <c r="I163" s="12">
        <v>3.9035542900000002</v>
      </c>
      <c r="J163" s="7">
        <v>11.1530123</v>
      </c>
      <c r="L163" s="14">
        <v>2497.25</v>
      </c>
      <c r="N163" s="14">
        <v>9771.6723000000002</v>
      </c>
      <c r="O163" s="13">
        <v>25.09</v>
      </c>
      <c r="P163" s="13">
        <v>9.1050000000000004</v>
      </c>
      <c r="Q163" s="13">
        <v>60.83</v>
      </c>
      <c r="R163" s="13">
        <v>47.134999999999998</v>
      </c>
      <c r="S163" s="7">
        <v>18.04</v>
      </c>
      <c r="T163" s="15" t="s">
        <v>89</v>
      </c>
      <c r="U163" s="13">
        <v>1.1274999999999999</v>
      </c>
      <c r="V163" s="13">
        <v>14.46</v>
      </c>
      <c r="W163" s="7">
        <v>0.59494999999999998</v>
      </c>
      <c r="X163" s="13"/>
      <c r="Y163" s="13">
        <v>52.8125</v>
      </c>
      <c r="Z163" s="7">
        <v>1.1177234700000001</v>
      </c>
      <c r="AA163" s="14">
        <v>0.5</v>
      </c>
      <c r="AB163" s="16">
        <f>AA163*33.334</f>
        <v>16.667000000000002</v>
      </c>
      <c r="AD163" s="16"/>
      <c r="AE163" s="1">
        <v>0</v>
      </c>
    </row>
    <row r="164" spans="1:31" x14ac:dyDescent="0.2">
      <c r="A164" s="1">
        <v>163</v>
      </c>
      <c r="B164" s="1">
        <v>2012</v>
      </c>
      <c r="C164" s="1" t="s">
        <v>88</v>
      </c>
      <c r="D164" s="1" t="s">
        <v>916</v>
      </c>
      <c r="E164" s="8" t="s">
        <v>92</v>
      </c>
      <c r="F164" s="1" t="s">
        <v>83</v>
      </c>
      <c r="I164" s="12">
        <v>5.17</v>
      </c>
      <c r="J164" s="7">
        <v>14.8</v>
      </c>
      <c r="K164" s="13"/>
      <c r="L164" s="14">
        <v>2498</v>
      </c>
      <c r="M164" s="14"/>
      <c r="N164" s="14">
        <v>12823</v>
      </c>
      <c r="O164" s="13">
        <v>31.3</v>
      </c>
      <c r="P164" s="13">
        <v>6.67</v>
      </c>
      <c r="Q164" s="13">
        <v>61.3</v>
      </c>
      <c r="R164" s="13">
        <v>41.6</v>
      </c>
      <c r="S164" s="13"/>
      <c r="T164" s="13"/>
      <c r="U164" s="13">
        <v>20</v>
      </c>
      <c r="V164" s="13">
        <v>1</v>
      </c>
      <c r="W164" s="7">
        <v>0.57999999999999996</v>
      </c>
      <c r="X164" s="15"/>
      <c r="Y164" s="15"/>
      <c r="Z164" s="7">
        <v>1.32</v>
      </c>
      <c r="AA164" s="7">
        <v>2</v>
      </c>
      <c r="AB164" s="16">
        <f>AA164*10</f>
        <v>20</v>
      </c>
      <c r="AC164" s="7">
        <v>0</v>
      </c>
      <c r="AD164" s="16">
        <f>AC164*10</f>
        <v>0</v>
      </c>
      <c r="AE164" s="1">
        <v>1</v>
      </c>
    </row>
    <row r="165" spans="1:31" x14ac:dyDescent="0.2">
      <c r="A165" s="1">
        <v>164</v>
      </c>
      <c r="B165" s="1">
        <v>2011</v>
      </c>
      <c r="C165" s="1" t="s">
        <v>88</v>
      </c>
      <c r="D165" s="1" t="s">
        <v>916</v>
      </c>
      <c r="E165" s="8" t="s">
        <v>93</v>
      </c>
      <c r="F165" s="1" t="s">
        <v>83</v>
      </c>
      <c r="I165" s="12">
        <v>5.81</v>
      </c>
      <c r="J165" s="12">
        <v>27.342857142857099</v>
      </c>
      <c r="K165" s="13"/>
      <c r="L165" s="14">
        <v>2503</v>
      </c>
      <c r="M165" s="14"/>
      <c r="N165" s="14">
        <v>14507</v>
      </c>
      <c r="O165" s="13">
        <v>28.2</v>
      </c>
      <c r="P165" s="13">
        <v>7.2</v>
      </c>
      <c r="Q165" s="13">
        <v>55.1</v>
      </c>
      <c r="R165" s="13">
        <v>48.7</v>
      </c>
      <c r="T165" s="15"/>
      <c r="U165" s="13">
        <v>14.1</v>
      </c>
      <c r="V165" s="13">
        <v>1.2</v>
      </c>
      <c r="W165" s="12" t="s">
        <v>89</v>
      </c>
      <c r="X165" s="15" t="s">
        <v>89</v>
      </c>
      <c r="Y165" s="13">
        <v>61.8</v>
      </c>
      <c r="Z165" s="7">
        <v>1.56</v>
      </c>
      <c r="AA165" s="1">
        <v>1.25</v>
      </c>
      <c r="AB165" s="16">
        <f>AA165*10</f>
        <v>12.5</v>
      </c>
      <c r="AC165" s="1">
        <v>2.5</v>
      </c>
      <c r="AD165" s="16">
        <f>AC165*10</f>
        <v>25</v>
      </c>
      <c r="AE165" s="1">
        <v>1</v>
      </c>
    </row>
    <row r="166" spans="1:31" x14ac:dyDescent="0.2">
      <c r="A166" s="1">
        <v>165</v>
      </c>
      <c r="B166" s="1">
        <v>2018</v>
      </c>
      <c r="C166" s="1" t="s">
        <v>96</v>
      </c>
      <c r="D166" s="28" t="s">
        <v>914</v>
      </c>
      <c r="E166" s="8" t="s">
        <v>696</v>
      </c>
      <c r="F166" s="1" t="s">
        <v>83</v>
      </c>
      <c r="H166" s="1" t="s">
        <v>34</v>
      </c>
      <c r="I166" s="12">
        <v>5.36</v>
      </c>
      <c r="J166" s="7">
        <v>15.32</v>
      </c>
      <c r="L166" s="14">
        <v>2506.5</v>
      </c>
      <c r="M166" s="1" t="s">
        <v>34</v>
      </c>
      <c r="N166" s="14">
        <v>13439.8</v>
      </c>
      <c r="O166" s="13">
        <v>36.24</v>
      </c>
      <c r="P166" s="13">
        <v>9.3049999999999997</v>
      </c>
      <c r="Q166" s="13">
        <v>62.16</v>
      </c>
      <c r="R166" s="13">
        <v>49.935000000000002</v>
      </c>
      <c r="S166" s="7">
        <v>18.920000000000002</v>
      </c>
      <c r="T166" s="15" t="s">
        <v>89</v>
      </c>
      <c r="U166" s="13">
        <v>0.45500000000000002</v>
      </c>
      <c r="V166" s="13">
        <v>10.94</v>
      </c>
      <c r="W166" s="7">
        <v>0.59524999999999995</v>
      </c>
      <c r="X166" s="13"/>
      <c r="Y166" s="13">
        <v>53.592500000000001</v>
      </c>
      <c r="Z166" s="7">
        <v>1.66</v>
      </c>
      <c r="AA166" s="14">
        <v>1</v>
      </c>
      <c r="AB166" s="16">
        <f>AA166*33.334</f>
        <v>33.334000000000003</v>
      </c>
      <c r="AD166" s="16"/>
      <c r="AE166" s="1">
        <v>0</v>
      </c>
    </row>
    <row r="167" spans="1:31" x14ac:dyDescent="0.2">
      <c r="A167" s="1">
        <v>166</v>
      </c>
      <c r="B167" s="1">
        <v>2015</v>
      </c>
      <c r="C167" s="8" t="s">
        <v>96</v>
      </c>
      <c r="D167" s="8" t="s">
        <v>459</v>
      </c>
      <c r="E167" s="8" t="s">
        <v>516</v>
      </c>
      <c r="F167" s="1" t="s">
        <v>83</v>
      </c>
      <c r="I167" s="12">
        <v>5.85</v>
      </c>
      <c r="J167" s="7">
        <v>16.7</v>
      </c>
      <c r="L167" s="14">
        <v>2510</v>
      </c>
      <c r="N167" s="14">
        <v>14706</v>
      </c>
      <c r="O167" s="13">
        <v>27.2</v>
      </c>
      <c r="P167" s="13">
        <v>6.6</v>
      </c>
      <c r="Q167" s="13">
        <v>62.9</v>
      </c>
      <c r="R167" s="13">
        <v>41.9</v>
      </c>
      <c r="S167" s="8"/>
      <c r="T167" s="15" t="s">
        <v>89</v>
      </c>
      <c r="U167" s="13">
        <v>5.6</v>
      </c>
      <c r="V167" s="13">
        <v>10.7</v>
      </c>
      <c r="W167" s="7">
        <v>0.6</v>
      </c>
      <c r="X167" s="13"/>
      <c r="Y167" s="13">
        <v>51.2</v>
      </c>
      <c r="Z167" s="7">
        <v>1.52</v>
      </c>
      <c r="AA167" s="13">
        <v>3</v>
      </c>
      <c r="AB167" s="16">
        <f>AA167*10</f>
        <v>30</v>
      </c>
      <c r="AC167" s="13">
        <v>1</v>
      </c>
      <c r="AD167" s="16">
        <f>AC167*10</f>
        <v>10</v>
      </c>
      <c r="AE167" s="1">
        <v>0</v>
      </c>
    </row>
    <row r="168" spans="1:31" x14ac:dyDescent="0.2">
      <c r="A168" s="1">
        <v>167</v>
      </c>
      <c r="B168" s="1">
        <v>2009</v>
      </c>
      <c r="C168" s="1" t="s">
        <v>96</v>
      </c>
      <c r="D168" s="1" t="s">
        <v>916</v>
      </c>
      <c r="E168" s="8" t="s">
        <v>149</v>
      </c>
      <c r="F168" s="1" t="s">
        <v>83</v>
      </c>
      <c r="I168" s="12">
        <v>5.45</v>
      </c>
      <c r="J168" s="7">
        <v>15.5714285714286</v>
      </c>
      <c r="L168" s="14">
        <v>2512</v>
      </c>
      <c r="M168" s="14"/>
      <c r="N168" s="14">
        <v>13703</v>
      </c>
      <c r="O168" s="13">
        <v>27.2</v>
      </c>
      <c r="P168" s="13">
        <v>9.4</v>
      </c>
      <c r="Q168" s="13">
        <v>56.9</v>
      </c>
      <c r="R168" s="13">
        <v>50.3</v>
      </c>
      <c r="S168" s="13"/>
      <c r="T168" s="13">
        <v>38.4</v>
      </c>
      <c r="U168" s="13">
        <v>11.2</v>
      </c>
      <c r="V168" s="13">
        <v>2.6</v>
      </c>
      <c r="W168" s="12" t="s">
        <v>89</v>
      </c>
      <c r="X168" s="13">
        <v>71.7</v>
      </c>
      <c r="Y168" s="13">
        <v>59.8</v>
      </c>
      <c r="Z168" s="7">
        <v>1.56</v>
      </c>
      <c r="AA168" s="13">
        <v>1</v>
      </c>
      <c r="AB168" s="16">
        <v>10</v>
      </c>
      <c r="AC168" s="13">
        <v>1</v>
      </c>
      <c r="AD168" s="16">
        <f>AC168*10</f>
        <v>10</v>
      </c>
      <c r="AE168" s="1">
        <v>0</v>
      </c>
    </row>
    <row r="169" spans="1:31" x14ac:dyDescent="0.2">
      <c r="A169" s="1">
        <v>168</v>
      </c>
      <c r="B169" s="1">
        <v>2016</v>
      </c>
      <c r="C169" s="1" t="s">
        <v>88</v>
      </c>
      <c r="D169" s="1" t="s">
        <v>332</v>
      </c>
      <c r="E169" s="1" t="s">
        <v>565</v>
      </c>
      <c r="F169" s="1" t="s">
        <v>83</v>
      </c>
      <c r="I169" s="12">
        <v>4.3519026900000002</v>
      </c>
      <c r="J169" s="3">
        <v>12.4340077</v>
      </c>
      <c r="L169" s="5">
        <v>2512.75</v>
      </c>
      <c r="N169" s="5">
        <v>10943.0221</v>
      </c>
      <c r="O169" s="6">
        <v>30.2414655</v>
      </c>
      <c r="P169" s="6">
        <v>6.4</v>
      </c>
      <c r="Q169" s="6">
        <v>60.167499999999997</v>
      </c>
      <c r="R169" s="15">
        <v>37.827500000000001</v>
      </c>
      <c r="S169" s="6">
        <v>25.802499999999998</v>
      </c>
      <c r="T169" s="6"/>
      <c r="U169" s="6">
        <v>8.2899999999999991</v>
      </c>
      <c r="V169" s="6">
        <v>13.227499999999999</v>
      </c>
      <c r="W169" s="3">
        <v>0.585175</v>
      </c>
      <c r="X169" s="6"/>
      <c r="Y169" s="15">
        <v>50.732500000000002</v>
      </c>
      <c r="Z169" s="3">
        <v>0.96681174000000003</v>
      </c>
      <c r="AA169" s="6">
        <v>7</v>
      </c>
      <c r="AB169" s="16">
        <f>AA169*10</f>
        <v>70</v>
      </c>
      <c r="AC169" s="6">
        <v>1.3</v>
      </c>
      <c r="AD169" s="16">
        <f>AC169*10</f>
        <v>13</v>
      </c>
      <c r="AE169" s="1">
        <v>1</v>
      </c>
    </row>
    <row r="170" spans="1:31" x14ac:dyDescent="0.2">
      <c r="A170" s="1">
        <v>169</v>
      </c>
      <c r="B170" s="1">
        <v>2008</v>
      </c>
      <c r="C170" s="8" t="s">
        <v>88</v>
      </c>
      <c r="D170" s="8" t="s">
        <v>90</v>
      </c>
      <c r="E170" s="8" t="s">
        <v>91</v>
      </c>
      <c r="F170" s="8" t="s">
        <v>83</v>
      </c>
      <c r="G170" s="8"/>
      <c r="H170" s="8"/>
      <c r="I170" s="12">
        <v>3.36</v>
      </c>
      <c r="J170" s="7">
        <v>9.6</v>
      </c>
      <c r="K170" s="13"/>
      <c r="L170" s="14">
        <v>2516</v>
      </c>
      <c r="M170" s="14"/>
      <c r="N170" s="14">
        <v>8461</v>
      </c>
      <c r="O170" s="13">
        <v>28.5</v>
      </c>
      <c r="P170" s="13">
        <v>5.9</v>
      </c>
      <c r="Q170" s="13">
        <v>60.8</v>
      </c>
      <c r="R170" s="13">
        <v>54.9</v>
      </c>
      <c r="S170" s="13"/>
      <c r="T170" s="13"/>
      <c r="U170" s="13">
        <v>36.700000000000003</v>
      </c>
      <c r="V170" s="15" t="s">
        <v>89</v>
      </c>
      <c r="X170" s="15"/>
      <c r="Y170" s="13">
        <v>60.7</v>
      </c>
      <c r="Z170" s="7">
        <v>1.1200000000000001</v>
      </c>
      <c r="AB170" s="16"/>
      <c r="AD170" s="16"/>
      <c r="AE170" s="1">
        <v>1</v>
      </c>
    </row>
    <row r="171" spans="1:31" x14ac:dyDescent="0.2">
      <c r="A171" s="1">
        <v>170</v>
      </c>
      <c r="B171" s="1">
        <v>2012</v>
      </c>
      <c r="C171" s="1" t="s">
        <v>88</v>
      </c>
      <c r="D171" s="8" t="s">
        <v>1023</v>
      </c>
      <c r="E171" s="8">
        <v>7501</v>
      </c>
      <c r="F171" s="1" t="s">
        <v>32</v>
      </c>
      <c r="I171" s="12">
        <v>6.7</v>
      </c>
      <c r="J171" s="7">
        <v>19.1428571428571</v>
      </c>
      <c r="K171" s="13"/>
      <c r="L171" s="14">
        <v>2517</v>
      </c>
      <c r="M171" s="14"/>
      <c r="N171" s="14">
        <v>16843</v>
      </c>
      <c r="O171" s="13">
        <v>30.8</v>
      </c>
      <c r="P171" s="13">
        <v>6.5</v>
      </c>
      <c r="Q171" s="13">
        <v>50.3</v>
      </c>
      <c r="R171" s="13">
        <v>55.4</v>
      </c>
      <c r="S171" s="13"/>
      <c r="T171" s="13"/>
      <c r="U171" s="13">
        <v>16.600000000000001</v>
      </c>
      <c r="V171" s="13">
        <v>3</v>
      </c>
      <c r="W171" s="7">
        <v>0.67</v>
      </c>
      <c r="X171" s="15"/>
      <c r="Y171" s="15"/>
      <c r="Z171" s="7">
        <v>1.87</v>
      </c>
      <c r="AA171" s="7">
        <v>1.25</v>
      </c>
      <c r="AB171" s="16">
        <f>AA171*10</f>
        <v>12.5</v>
      </c>
      <c r="AC171" s="7">
        <v>0.25</v>
      </c>
      <c r="AD171" s="16">
        <f>AC171*10</f>
        <v>2.5</v>
      </c>
      <c r="AE171" s="1">
        <v>1</v>
      </c>
    </row>
    <row r="172" spans="1:31" x14ac:dyDescent="0.2">
      <c r="A172" s="1">
        <v>171</v>
      </c>
      <c r="B172" s="1">
        <v>2008</v>
      </c>
      <c r="C172" s="8" t="s">
        <v>96</v>
      </c>
      <c r="D172" s="8" t="s">
        <v>90</v>
      </c>
      <c r="E172" s="8" t="s">
        <v>101</v>
      </c>
      <c r="F172" s="8" t="s">
        <v>83</v>
      </c>
      <c r="G172" s="8"/>
      <c r="H172" s="8" t="s">
        <v>34</v>
      </c>
      <c r="I172" s="12">
        <v>5.26</v>
      </c>
      <c r="J172" s="7">
        <v>15</v>
      </c>
      <c r="K172" s="13"/>
      <c r="L172" s="14">
        <v>2526</v>
      </c>
      <c r="M172" s="14"/>
      <c r="N172" s="14">
        <v>13274</v>
      </c>
      <c r="O172" s="13">
        <v>31.1</v>
      </c>
      <c r="P172" s="13">
        <v>6.1</v>
      </c>
      <c r="Q172" s="13">
        <v>56.4</v>
      </c>
      <c r="R172" s="13">
        <v>48.7</v>
      </c>
      <c r="S172" s="13"/>
      <c r="T172" s="13"/>
      <c r="U172" s="13">
        <v>36</v>
      </c>
      <c r="V172" s="15" t="s">
        <v>89</v>
      </c>
      <c r="X172" s="15"/>
      <c r="Y172" s="13">
        <v>61.5</v>
      </c>
      <c r="Z172" s="7">
        <v>1.44</v>
      </c>
      <c r="AB172" s="16"/>
      <c r="AD172" s="16"/>
      <c r="AE172" s="1">
        <v>0</v>
      </c>
    </row>
    <row r="173" spans="1:31" x14ac:dyDescent="0.2">
      <c r="A173" s="1">
        <v>172</v>
      </c>
      <c r="B173" s="1">
        <v>2013</v>
      </c>
      <c r="C173" s="1" t="s">
        <v>88</v>
      </c>
      <c r="D173" s="8" t="s">
        <v>1023</v>
      </c>
      <c r="E173" s="8" t="s">
        <v>388</v>
      </c>
      <c r="F173" s="1" t="s">
        <v>83</v>
      </c>
      <c r="I173" s="12">
        <v>8.52</v>
      </c>
      <c r="J173" s="7">
        <v>23.3</v>
      </c>
      <c r="K173" s="13"/>
      <c r="L173" s="14">
        <v>2529</v>
      </c>
      <c r="M173" s="14" t="s">
        <v>34</v>
      </c>
      <c r="N173" s="14">
        <v>21534</v>
      </c>
      <c r="O173" s="13">
        <v>28.5</v>
      </c>
      <c r="P173" s="13">
        <v>6</v>
      </c>
      <c r="Q173" s="13">
        <v>60</v>
      </c>
      <c r="R173" s="13">
        <v>46.6</v>
      </c>
      <c r="S173" s="13"/>
      <c r="T173" s="13"/>
      <c r="U173" s="13">
        <v>10.1</v>
      </c>
      <c r="V173" s="13">
        <v>0.5</v>
      </c>
      <c r="W173" s="7">
        <v>0.54</v>
      </c>
      <c r="X173" s="13">
        <v>68</v>
      </c>
      <c r="Y173" s="13">
        <v>53.7</v>
      </c>
      <c r="Z173" s="7">
        <v>2.38</v>
      </c>
      <c r="AA173" s="13">
        <v>1.8</v>
      </c>
      <c r="AB173" s="16">
        <f>AA173*10</f>
        <v>18</v>
      </c>
      <c r="AC173" s="13">
        <v>1.8</v>
      </c>
      <c r="AD173" s="16">
        <f>AC173*10</f>
        <v>18</v>
      </c>
      <c r="AE173" s="1">
        <v>1</v>
      </c>
    </row>
    <row r="174" spans="1:31" x14ac:dyDescent="0.2">
      <c r="A174" s="1">
        <v>173</v>
      </c>
      <c r="B174" s="1">
        <v>2008</v>
      </c>
      <c r="C174" s="8" t="s">
        <v>88</v>
      </c>
      <c r="D174" s="8" t="s">
        <v>90</v>
      </c>
      <c r="E174" s="8" t="s">
        <v>94</v>
      </c>
      <c r="F174" s="8" t="s">
        <v>32</v>
      </c>
      <c r="G174" s="8"/>
      <c r="H174" s="8"/>
      <c r="I174" s="12">
        <v>8.94</v>
      </c>
      <c r="J174" s="7">
        <v>25.5</v>
      </c>
      <c r="K174" s="13"/>
      <c r="L174" s="14">
        <v>2530</v>
      </c>
      <c r="M174" s="14" t="s">
        <v>34</v>
      </c>
      <c r="N174" s="14">
        <v>22643</v>
      </c>
      <c r="O174" s="13">
        <v>35.799999999999997</v>
      </c>
      <c r="P174" s="13">
        <v>6.9</v>
      </c>
      <c r="Q174" s="13">
        <v>53.1</v>
      </c>
      <c r="R174" s="13">
        <v>44.1</v>
      </c>
      <c r="S174" s="13"/>
      <c r="T174" s="13"/>
      <c r="U174" s="13">
        <v>34.700000000000003</v>
      </c>
      <c r="V174" s="15" t="s">
        <v>89</v>
      </c>
      <c r="X174" s="15"/>
      <c r="Y174" s="13">
        <v>63</v>
      </c>
      <c r="Z174" s="7">
        <v>2.08</v>
      </c>
      <c r="AB174" s="16"/>
      <c r="AD174" s="16"/>
      <c r="AE174" s="1">
        <v>1</v>
      </c>
    </row>
    <row r="175" spans="1:31" x14ac:dyDescent="0.2">
      <c r="A175" s="1">
        <v>174</v>
      </c>
      <c r="B175" s="1">
        <v>2015</v>
      </c>
      <c r="C175" s="8" t="s">
        <v>96</v>
      </c>
      <c r="D175" s="8" t="s">
        <v>187</v>
      </c>
      <c r="E175" s="8" t="s">
        <v>258</v>
      </c>
      <c r="F175" s="1" t="s">
        <v>83</v>
      </c>
      <c r="I175" s="12">
        <v>5.5</v>
      </c>
      <c r="J175" s="7">
        <v>15.714285714285715</v>
      </c>
      <c r="L175" s="14">
        <v>2532</v>
      </c>
      <c r="N175" s="14">
        <v>13866</v>
      </c>
      <c r="O175" s="13">
        <v>27.6</v>
      </c>
      <c r="P175" s="13">
        <v>7.7</v>
      </c>
      <c r="Q175" s="13">
        <v>59.2</v>
      </c>
      <c r="R175" s="13">
        <v>37.200000000000003</v>
      </c>
      <c r="S175" s="8"/>
      <c r="T175" s="15" t="s">
        <v>89</v>
      </c>
      <c r="U175" s="13">
        <v>10.3</v>
      </c>
      <c r="V175" s="13">
        <v>10.1</v>
      </c>
      <c r="W175" s="7">
        <v>0.62</v>
      </c>
      <c r="X175" s="13"/>
      <c r="Y175" s="13">
        <v>51.1</v>
      </c>
      <c r="Z175" s="7">
        <v>1.21</v>
      </c>
      <c r="AA175" s="13">
        <v>1</v>
      </c>
      <c r="AB175" s="16">
        <f>AA175*10</f>
        <v>10</v>
      </c>
      <c r="AC175" s="13">
        <v>1</v>
      </c>
      <c r="AD175" s="16">
        <f>AC175*10</f>
        <v>10</v>
      </c>
      <c r="AE175" s="1">
        <v>0</v>
      </c>
    </row>
    <row r="176" spans="1:31" x14ac:dyDescent="0.2">
      <c r="A176" s="1">
        <v>175</v>
      </c>
      <c r="B176" s="1">
        <v>2013</v>
      </c>
      <c r="C176" s="1" t="s">
        <v>96</v>
      </c>
      <c r="D176" s="8" t="s">
        <v>1023</v>
      </c>
      <c r="E176" s="8" t="s">
        <v>394</v>
      </c>
      <c r="F176" s="1" t="s">
        <v>83</v>
      </c>
      <c r="I176" s="12">
        <v>6.69</v>
      </c>
      <c r="J176" s="7">
        <v>19.1142857142857</v>
      </c>
      <c r="K176" s="13" t="s">
        <v>34</v>
      </c>
      <c r="L176" s="14">
        <v>2534</v>
      </c>
      <c r="M176" s="14"/>
      <c r="N176" s="14">
        <v>16834</v>
      </c>
      <c r="O176" s="13">
        <v>32.4</v>
      </c>
      <c r="P176" s="13">
        <v>7.4</v>
      </c>
      <c r="Q176" s="13">
        <v>55.4</v>
      </c>
      <c r="R176" s="13">
        <v>41.9</v>
      </c>
      <c r="S176" s="13" t="s">
        <v>89</v>
      </c>
      <c r="T176" s="13"/>
      <c r="U176" s="13">
        <v>17.7</v>
      </c>
      <c r="V176" s="13">
        <v>1.3</v>
      </c>
      <c r="W176" s="7">
        <v>0.55000000000000004</v>
      </c>
      <c r="X176" s="13">
        <v>67.7</v>
      </c>
      <c r="Y176" s="13">
        <v>54.4</v>
      </c>
      <c r="Z176" s="7">
        <v>1.55</v>
      </c>
      <c r="AA176" s="13">
        <v>2.4</v>
      </c>
      <c r="AB176" s="16">
        <f>AA176*10</f>
        <v>24</v>
      </c>
      <c r="AC176" s="13">
        <v>0.3</v>
      </c>
      <c r="AD176" s="16">
        <f>AC283*10</f>
        <v>0</v>
      </c>
      <c r="AE176" s="1">
        <v>0</v>
      </c>
    </row>
    <row r="177" spans="1:31" x14ac:dyDescent="0.2">
      <c r="A177" s="1">
        <v>176</v>
      </c>
      <c r="B177" s="1">
        <v>2019</v>
      </c>
      <c r="C177" s="1" t="s">
        <v>88</v>
      </c>
      <c r="D177" s="8" t="s">
        <v>731</v>
      </c>
      <c r="E177" s="8">
        <v>19154</v>
      </c>
      <c r="F177" s="1" t="s">
        <v>32</v>
      </c>
      <c r="H177" s="1" t="s">
        <v>34</v>
      </c>
      <c r="I177" s="12">
        <v>8.6</v>
      </c>
      <c r="J177" s="3">
        <v>24.6</v>
      </c>
      <c r="L177" s="5">
        <v>2534.25</v>
      </c>
      <c r="N177" s="5">
        <v>21898.5</v>
      </c>
      <c r="O177" s="6">
        <v>36.700000000000003</v>
      </c>
      <c r="P177" s="6">
        <v>6.9775</v>
      </c>
      <c r="Q177" s="6">
        <v>54.737499999999997</v>
      </c>
      <c r="R177" s="6">
        <v>36.327500000000001</v>
      </c>
      <c r="S177" s="3"/>
      <c r="T177" s="6">
        <v>36.872500000000002</v>
      </c>
      <c r="U177" s="6">
        <v>12.282500000000001</v>
      </c>
      <c r="V177" s="6">
        <v>22.5</v>
      </c>
      <c r="W177" s="3">
        <v>0.631525</v>
      </c>
      <c r="X177" s="6"/>
      <c r="Y177" s="6">
        <v>51.47</v>
      </c>
      <c r="Z177" s="3">
        <v>1.7050000000000001</v>
      </c>
      <c r="AB177" s="16"/>
      <c r="AC177" s="6">
        <v>0</v>
      </c>
      <c r="AD177" s="16">
        <f t="shared" ref="AD177:AD182" si="8">AC177*10</f>
        <v>0</v>
      </c>
      <c r="AE177" s="1">
        <v>1</v>
      </c>
    </row>
    <row r="178" spans="1:31" x14ac:dyDescent="0.2">
      <c r="A178" s="1">
        <v>177</v>
      </c>
      <c r="B178" s="1">
        <v>2013</v>
      </c>
      <c r="C178" s="1" t="s">
        <v>88</v>
      </c>
      <c r="D178" s="8" t="s">
        <v>1023</v>
      </c>
      <c r="E178" s="8" t="s">
        <v>336</v>
      </c>
      <c r="F178" s="1" t="s">
        <v>83</v>
      </c>
      <c r="I178" s="12">
        <v>4.32</v>
      </c>
      <c r="J178" s="7">
        <v>14.1</v>
      </c>
      <c r="K178" s="13"/>
      <c r="L178" s="14">
        <v>2537</v>
      </c>
      <c r="M178" s="14"/>
      <c r="N178" s="14">
        <v>10951</v>
      </c>
      <c r="O178" s="13">
        <v>27.3</v>
      </c>
      <c r="P178" s="13">
        <v>9.4</v>
      </c>
      <c r="Q178" s="13">
        <v>57.9</v>
      </c>
      <c r="R178" s="13">
        <v>47.9</v>
      </c>
      <c r="S178" s="13"/>
      <c r="T178" s="13"/>
      <c r="U178" s="13">
        <v>13.9</v>
      </c>
      <c r="V178" s="13">
        <v>1.7</v>
      </c>
      <c r="W178" s="7">
        <v>0.56000000000000005</v>
      </c>
      <c r="X178" s="13">
        <v>69.7</v>
      </c>
      <c r="Y178" s="13">
        <v>54.8</v>
      </c>
      <c r="Z178" s="7">
        <v>1.2</v>
      </c>
      <c r="AA178" s="13">
        <v>2.5</v>
      </c>
      <c r="AB178" s="16">
        <f>AA178*10</f>
        <v>25</v>
      </c>
      <c r="AC178" s="13">
        <v>0.8</v>
      </c>
      <c r="AD178" s="16">
        <f t="shared" si="8"/>
        <v>8</v>
      </c>
      <c r="AE178" s="1">
        <v>1</v>
      </c>
    </row>
    <row r="179" spans="1:31" ht="17" x14ac:dyDescent="0.2">
      <c r="A179" s="1">
        <v>178</v>
      </c>
      <c r="B179" s="1">
        <v>2019</v>
      </c>
      <c r="C179" s="1" t="s">
        <v>88</v>
      </c>
      <c r="D179" s="8" t="s">
        <v>738</v>
      </c>
      <c r="E179" s="8" t="s">
        <v>742</v>
      </c>
      <c r="F179" s="1" t="s">
        <v>32</v>
      </c>
      <c r="H179" s="1" t="s">
        <v>34</v>
      </c>
      <c r="I179" s="12">
        <v>9.9</v>
      </c>
      <c r="J179" s="3">
        <v>28.2</v>
      </c>
      <c r="L179" s="5">
        <v>2545</v>
      </c>
      <c r="M179" s="6" t="s">
        <v>34</v>
      </c>
      <c r="N179" s="5">
        <v>25071</v>
      </c>
      <c r="O179" s="6">
        <v>32.297499999999999</v>
      </c>
      <c r="P179" s="6">
        <v>5.7549999999999999</v>
      </c>
      <c r="Q179" s="6">
        <v>59.4</v>
      </c>
      <c r="R179" s="6">
        <v>39.822499999999998</v>
      </c>
      <c r="S179" s="3"/>
      <c r="T179" s="6">
        <v>40.4</v>
      </c>
      <c r="U179" s="6">
        <v>6.0274999999999999</v>
      </c>
      <c r="V179" s="6">
        <v>17.234999999999999</v>
      </c>
      <c r="W179" s="3">
        <v>0.62152499999999999</v>
      </c>
      <c r="X179" s="6"/>
      <c r="Y179" s="6">
        <v>51.577500000000001</v>
      </c>
      <c r="Z179" s="3">
        <v>2.2999999999999998</v>
      </c>
      <c r="AB179" s="16"/>
      <c r="AC179" s="6">
        <v>0</v>
      </c>
      <c r="AD179" s="16">
        <f t="shared" si="8"/>
        <v>0</v>
      </c>
      <c r="AE179" s="1">
        <v>1</v>
      </c>
    </row>
    <row r="180" spans="1:31" x14ac:dyDescent="0.2">
      <c r="A180" s="1">
        <v>179</v>
      </c>
      <c r="B180" s="1">
        <v>2012</v>
      </c>
      <c r="C180" s="1" t="s">
        <v>96</v>
      </c>
      <c r="D180" s="8" t="s">
        <v>1023</v>
      </c>
      <c r="E180" s="8">
        <v>6401</v>
      </c>
      <c r="F180" s="1" t="s">
        <v>32</v>
      </c>
      <c r="I180" s="12">
        <v>8.8000000000000007</v>
      </c>
      <c r="J180" s="7">
        <v>25.1428571428571</v>
      </c>
      <c r="K180" s="13"/>
      <c r="L180" s="14">
        <v>2546</v>
      </c>
      <c r="M180" s="14" t="s">
        <v>34</v>
      </c>
      <c r="N180" s="14">
        <v>22384</v>
      </c>
      <c r="O180" s="13">
        <v>28.9</v>
      </c>
      <c r="P180" s="13">
        <v>7.6</v>
      </c>
      <c r="Q180" s="13">
        <v>58.4</v>
      </c>
      <c r="R180" s="13">
        <v>53</v>
      </c>
      <c r="S180" s="13"/>
      <c r="T180" s="13"/>
      <c r="U180" s="13">
        <v>13.1</v>
      </c>
      <c r="V180" s="13">
        <v>1.8</v>
      </c>
      <c r="W180" s="7">
        <v>0.63</v>
      </c>
      <c r="X180" s="15"/>
      <c r="Y180" s="15"/>
      <c r="Z180" s="7">
        <v>2.72</v>
      </c>
      <c r="AA180" s="7">
        <v>1.9</v>
      </c>
      <c r="AB180" s="16">
        <f>AA180*10</f>
        <v>19</v>
      </c>
      <c r="AC180" s="7">
        <v>1</v>
      </c>
      <c r="AD180" s="16">
        <f t="shared" si="8"/>
        <v>10</v>
      </c>
      <c r="AE180" s="1">
        <v>0</v>
      </c>
    </row>
    <row r="181" spans="1:31" x14ac:dyDescent="0.2">
      <c r="A181" s="1">
        <v>180</v>
      </c>
      <c r="B181" s="1">
        <v>2015</v>
      </c>
      <c r="C181" s="8" t="s">
        <v>96</v>
      </c>
      <c r="D181" s="8" t="s">
        <v>187</v>
      </c>
      <c r="E181" s="8" t="s">
        <v>467</v>
      </c>
      <c r="F181" s="1" t="s">
        <v>32</v>
      </c>
      <c r="I181" s="12">
        <v>5.95</v>
      </c>
      <c r="J181" s="7">
        <v>17</v>
      </c>
      <c r="L181" s="14">
        <v>2547</v>
      </c>
      <c r="N181" s="14">
        <v>15013</v>
      </c>
      <c r="O181" s="13">
        <v>31.2</v>
      </c>
      <c r="P181" s="13">
        <v>8.3000000000000007</v>
      </c>
      <c r="Q181" s="13">
        <v>57.2</v>
      </c>
      <c r="R181" s="13">
        <v>37.700000000000003</v>
      </c>
      <c r="S181" s="8"/>
      <c r="T181" s="15" t="s">
        <v>89</v>
      </c>
      <c r="U181" s="13">
        <v>19</v>
      </c>
      <c r="V181" s="13">
        <v>3.7</v>
      </c>
      <c r="W181" s="7">
        <v>0.57999999999999996</v>
      </c>
      <c r="X181" s="13"/>
      <c r="Y181" s="13">
        <v>51.3</v>
      </c>
      <c r="Z181" s="7">
        <v>1.28</v>
      </c>
      <c r="AA181" s="13">
        <v>1.2</v>
      </c>
      <c r="AB181" s="16">
        <f>AA181*10</f>
        <v>12</v>
      </c>
      <c r="AC181" s="13">
        <v>1</v>
      </c>
      <c r="AD181" s="16">
        <f t="shared" si="8"/>
        <v>10</v>
      </c>
      <c r="AE181" s="1">
        <v>0</v>
      </c>
    </row>
    <row r="182" spans="1:31" ht="17" x14ac:dyDescent="0.2">
      <c r="A182" s="1">
        <v>181</v>
      </c>
      <c r="B182" s="1">
        <v>2019</v>
      </c>
      <c r="C182" s="1" t="s">
        <v>96</v>
      </c>
      <c r="D182" s="8" t="s">
        <v>187</v>
      </c>
      <c r="E182" s="8" t="s">
        <v>521</v>
      </c>
      <c r="F182" s="1" t="s">
        <v>32</v>
      </c>
      <c r="H182" s="1" t="s">
        <v>34</v>
      </c>
      <c r="I182" s="12">
        <v>9.5</v>
      </c>
      <c r="J182" s="3">
        <v>27</v>
      </c>
      <c r="L182" s="5">
        <v>2550</v>
      </c>
      <c r="M182" s="6" t="s">
        <v>34</v>
      </c>
      <c r="N182" s="5">
        <v>24082</v>
      </c>
      <c r="O182" s="6">
        <v>29.46</v>
      </c>
      <c r="P182" s="6">
        <v>5.1224999999999996</v>
      </c>
      <c r="Q182" s="6">
        <v>61.4</v>
      </c>
      <c r="R182" s="6">
        <v>47.1</v>
      </c>
      <c r="S182" s="3"/>
      <c r="T182" s="6">
        <v>39.46</v>
      </c>
      <c r="U182" s="6">
        <v>3.9325000000000001</v>
      </c>
      <c r="V182" s="6">
        <v>20.9</v>
      </c>
      <c r="W182" s="3">
        <v>0.61595</v>
      </c>
      <c r="X182" s="6"/>
      <c r="Y182" s="6">
        <v>53.255000000000003</v>
      </c>
      <c r="Z182" s="3">
        <v>2.7</v>
      </c>
      <c r="AB182" s="16"/>
      <c r="AC182" s="6">
        <v>0</v>
      </c>
      <c r="AD182" s="16">
        <f t="shared" si="8"/>
        <v>0</v>
      </c>
      <c r="AE182" s="1">
        <v>0</v>
      </c>
    </row>
    <row r="183" spans="1:31" x14ac:dyDescent="0.2">
      <c r="A183" s="1">
        <v>182</v>
      </c>
      <c r="B183" s="1">
        <v>2018</v>
      </c>
      <c r="C183" s="1" t="s">
        <v>88</v>
      </c>
      <c r="D183" s="28" t="s">
        <v>914</v>
      </c>
      <c r="E183" s="8" t="s">
        <v>678</v>
      </c>
      <c r="F183" s="1" t="s">
        <v>83</v>
      </c>
      <c r="I183" s="12">
        <v>2.0473819600000001</v>
      </c>
      <c r="J183" s="7">
        <v>5.8496627999999999</v>
      </c>
      <c r="L183" s="14">
        <v>2551.75</v>
      </c>
      <c r="N183" s="14">
        <v>5223.7460000000001</v>
      </c>
      <c r="O183" s="13">
        <v>47.12</v>
      </c>
      <c r="P183" s="13">
        <v>11.8</v>
      </c>
      <c r="Q183" s="13">
        <v>61.8</v>
      </c>
      <c r="R183" s="13">
        <v>41.185000000000002</v>
      </c>
      <c r="S183" s="7">
        <v>23.31</v>
      </c>
      <c r="U183" s="13">
        <v>14.8575</v>
      </c>
      <c r="V183" s="13">
        <v>7.2424999999999997</v>
      </c>
      <c r="W183" s="7">
        <v>0.60429999999999995</v>
      </c>
      <c r="X183" s="13"/>
      <c r="Y183" s="13">
        <v>51.827500000000001</v>
      </c>
      <c r="Z183" s="7">
        <v>0.52085232000000004</v>
      </c>
      <c r="AA183" s="14">
        <v>3</v>
      </c>
      <c r="AB183" s="16">
        <f>AA183*33.334</f>
        <v>100.00200000000001</v>
      </c>
      <c r="AD183" s="16"/>
      <c r="AE183" s="1">
        <v>1</v>
      </c>
    </row>
    <row r="184" spans="1:31" x14ac:dyDescent="0.2">
      <c r="A184" s="1">
        <v>183</v>
      </c>
      <c r="B184" s="1">
        <v>2010</v>
      </c>
      <c r="C184" s="1" t="s">
        <v>88</v>
      </c>
      <c r="D184" s="1" t="s">
        <v>916</v>
      </c>
      <c r="E184" s="8" t="s">
        <v>92</v>
      </c>
      <c r="F184" s="1" t="s">
        <v>83</v>
      </c>
      <c r="I184" s="12">
        <v>6.25</v>
      </c>
      <c r="J184" s="7">
        <v>17.8571428571429</v>
      </c>
      <c r="L184" s="16">
        <v>2552</v>
      </c>
      <c r="N184" s="16">
        <v>16037</v>
      </c>
      <c r="O184" s="15">
        <v>28.7</v>
      </c>
      <c r="P184" s="15">
        <v>7.8</v>
      </c>
      <c r="Q184" s="15">
        <v>52.2</v>
      </c>
      <c r="R184" s="15">
        <v>47.9</v>
      </c>
      <c r="T184" s="15"/>
      <c r="U184" s="15">
        <v>34.799999999999997</v>
      </c>
      <c r="V184" s="15">
        <v>2.5</v>
      </c>
      <c r="W184" s="12"/>
      <c r="X184" s="15"/>
      <c r="Y184" s="15">
        <v>61.9</v>
      </c>
      <c r="Z184" s="12">
        <v>1.56</v>
      </c>
      <c r="AA184" s="13">
        <v>1</v>
      </c>
      <c r="AB184" s="16">
        <f>AA184*10</f>
        <v>10</v>
      </c>
      <c r="AC184" s="13">
        <v>1</v>
      </c>
      <c r="AD184" s="16">
        <f>AC184*10</f>
        <v>10</v>
      </c>
      <c r="AE184" s="1">
        <v>1</v>
      </c>
    </row>
    <row r="185" spans="1:31" x14ac:dyDescent="0.2">
      <c r="A185" s="1">
        <v>184</v>
      </c>
      <c r="B185" s="1">
        <v>2012</v>
      </c>
      <c r="C185" s="1" t="s">
        <v>88</v>
      </c>
      <c r="D185" s="1" t="s">
        <v>916</v>
      </c>
      <c r="E185" s="8" t="s">
        <v>93</v>
      </c>
      <c r="F185" s="1" t="s">
        <v>32</v>
      </c>
      <c r="I185" s="12">
        <v>9.0299999999999994</v>
      </c>
      <c r="J185" s="7">
        <v>25.8</v>
      </c>
      <c r="K185" s="13"/>
      <c r="L185" s="14">
        <v>2558</v>
      </c>
      <c r="M185" s="14" t="s">
        <v>34</v>
      </c>
      <c r="N185" s="14">
        <v>23147</v>
      </c>
      <c r="O185" s="13">
        <v>34.1</v>
      </c>
      <c r="P185" s="13">
        <v>5.9</v>
      </c>
      <c r="Q185" s="13">
        <v>52.8</v>
      </c>
      <c r="R185" s="13">
        <v>54.5</v>
      </c>
      <c r="S185" s="13"/>
      <c r="T185" s="13"/>
      <c r="U185" s="13">
        <v>17.8</v>
      </c>
      <c r="V185" s="13">
        <v>2.2999999999999998</v>
      </c>
      <c r="W185" s="7">
        <v>0.65</v>
      </c>
      <c r="X185" s="15"/>
      <c r="Y185" s="15"/>
      <c r="Z185" s="7">
        <v>2.59</v>
      </c>
      <c r="AA185" s="7">
        <v>2</v>
      </c>
      <c r="AB185" s="16">
        <f>AA185*10</f>
        <v>20</v>
      </c>
      <c r="AC185" s="7">
        <v>1</v>
      </c>
      <c r="AD185" s="16">
        <f>AC185*10</f>
        <v>10</v>
      </c>
      <c r="AE185" s="1">
        <v>1</v>
      </c>
    </row>
    <row r="186" spans="1:31" x14ac:dyDescent="0.2">
      <c r="A186" s="1">
        <v>185</v>
      </c>
      <c r="B186" s="1">
        <v>2016</v>
      </c>
      <c r="C186" s="1" t="s">
        <v>96</v>
      </c>
      <c r="D186" s="8" t="s">
        <v>187</v>
      </c>
      <c r="E186" s="8" t="s">
        <v>521</v>
      </c>
      <c r="F186" s="1" t="s">
        <v>32</v>
      </c>
      <c r="I186" s="12">
        <v>10.5</v>
      </c>
      <c r="J186" s="7">
        <v>30</v>
      </c>
      <c r="L186" s="5">
        <v>2564.5</v>
      </c>
      <c r="M186" s="1" t="s">
        <v>34</v>
      </c>
      <c r="N186" s="5">
        <v>26755</v>
      </c>
      <c r="O186" s="6">
        <v>30.197500000000002</v>
      </c>
      <c r="P186" s="6">
        <v>4.7350000000000003</v>
      </c>
      <c r="Q186" s="6">
        <v>64.72</v>
      </c>
      <c r="R186" s="6">
        <v>44.657499999999999</v>
      </c>
      <c r="S186" s="6"/>
      <c r="T186" s="6">
        <v>42.965000000000003</v>
      </c>
      <c r="U186" s="6">
        <v>5.8650000000000002</v>
      </c>
      <c r="V186" s="6">
        <v>15</v>
      </c>
      <c r="W186" s="3">
        <v>0.57999999999999996</v>
      </c>
      <c r="X186" s="6"/>
      <c r="Y186" s="6">
        <v>52.365000000000002</v>
      </c>
      <c r="Z186" s="3">
        <v>2.9877438399999998</v>
      </c>
      <c r="AA186" s="6">
        <v>3.12</v>
      </c>
      <c r="AB186" s="16">
        <f>AA186*10</f>
        <v>31.200000000000003</v>
      </c>
      <c r="AC186" s="6">
        <v>1</v>
      </c>
      <c r="AD186" s="16">
        <f>AC186*10</f>
        <v>10</v>
      </c>
      <c r="AE186" s="1">
        <v>0</v>
      </c>
    </row>
    <row r="187" spans="1:31" x14ac:dyDescent="0.2">
      <c r="A187" s="1">
        <v>186</v>
      </c>
      <c r="B187" s="1">
        <v>2018</v>
      </c>
      <c r="C187" s="1" t="s">
        <v>88</v>
      </c>
      <c r="D187" s="28" t="s">
        <v>914</v>
      </c>
      <c r="E187" s="8" t="s">
        <v>686</v>
      </c>
      <c r="F187" s="1" t="s">
        <v>83</v>
      </c>
      <c r="I187" s="12">
        <v>3.9443905400000001</v>
      </c>
      <c r="J187" s="7">
        <v>11.269687299999999</v>
      </c>
      <c r="L187" s="14">
        <v>2565.25</v>
      </c>
      <c r="N187" s="14">
        <v>10188.0339</v>
      </c>
      <c r="O187" s="13">
        <v>28.86</v>
      </c>
      <c r="P187" s="13">
        <v>8.3574999999999999</v>
      </c>
      <c r="Q187" s="13">
        <v>56.102499999999999</v>
      </c>
      <c r="R187" s="13">
        <v>36.282499999999999</v>
      </c>
      <c r="S187" s="7">
        <v>22.05</v>
      </c>
      <c r="U187" s="13">
        <v>16.079999999999998</v>
      </c>
      <c r="V187" s="13">
        <v>7.5774999999999997</v>
      </c>
      <c r="W187" s="7">
        <v>0.61772499999999997</v>
      </c>
      <c r="X187" s="13"/>
      <c r="Y187" s="13">
        <v>51.695</v>
      </c>
      <c r="Z187" s="7">
        <v>0.79619918000000001</v>
      </c>
      <c r="AA187" s="14">
        <v>1.75</v>
      </c>
      <c r="AB187" s="16">
        <f>AA187*33.334</f>
        <v>58.334500000000006</v>
      </c>
      <c r="AD187" s="16"/>
      <c r="AE187" s="1">
        <v>1</v>
      </c>
    </row>
    <row r="188" spans="1:31" x14ac:dyDescent="0.2">
      <c r="A188" s="1">
        <v>187</v>
      </c>
      <c r="B188" s="1">
        <v>2011</v>
      </c>
      <c r="C188" s="1" t="s">
        <v>88</v>
      </c>
      <c r="D188" s="8" t="s">
        <v>1023</v>
      </c>
      <c r="E188" s="8" t="s">
        <v>238</v>
      </c>
      <c r="F188" s="1" t="s">
        <v>32</v>
      </c>
      <c r="I188" s="12">
        <v>6.5</v>
      </c>
      <c r="J188" s="12">
        <v>24.179889075999998</v>
      </c>
      <c r="K188" s="13"/>
      <c r="L188" s="14">
        <v>2569</v>
      </c>
      <c r="M188" s="14"/>
      <c r="N188" s="14">
        <v>16888</v>
      </c>
      <c r="O188" s="13">
        <v>27.6</v>
      </c>
      <c r="P188" s="13">
        <v>6.71</v>
      </c>
      <c r="Q188" s="13">
        <v>55.6</v>
      </c>
      <c r="R188" s="13">
        <v>57.3</v>
      </c>
      <c r="T188" s="15"/>
      <c r="U188" s="15" t="s">
        <v>89</v>
      </c>
      <c r="V188" s="13">
        <v>2.2999999999999998</v>
      </c>
      <c r="W188" s="12" t="s">
        <v>89</v>
      </c>
      <c r="X188" s="15" t="s">
        <v>89</v>
      </c>
      <c r="Y188" s="13">
        <v>62.7</v>
      </c>
      <c r="Z188" s="7">
        <v>2.06</v>
      </c>
      <c r="AA188" s="1">
        <v>0</v>
      </c>
      <c r="AB188" s="16">
        <f>AA188*10</f>
        <v>0</v>
      </c>
      <c r="AC188" s="1">
        <v>1.8</v>
      </c>
      <c r="AD188" s="16">
        <f>AC188*10</f>
        <v>18</v>
      </c>
      <c r="AE188" s="1">
        <v>1</v>
      </c>
    </row>
    <row r="189" spans="1:31" x14ac:dyDescent="0.2">
      <c r="A189" s="1">
        <v>188</v>
      </c>
      <c r="B189" s="1">
        <v>2015</v>
      </c>
      <c r="C189" s="8" t="s">
        <v>96</v>
      </c>
      <c r="D189" s="8" t="s">
        <v>187</v>
      </c>
      <c r="E189" s="8" t="s">
        <v>465</v>
      </c>
      <c r="F189" s="1" t="s">
        <v>32</v>
      </c>
      <c r="I189" s="12">
        <v>9.9</v>
      </c>
      <c r="J189" s="7">
        <v>28.285714285714288</v>
      </c>
      <c r="L189" s="14">
        <v>2580</v>
      </c>
      <c r="M189" s="1" t="s">
        <v>34</v>
      </c>
      <c r="N189" s="14">
        <v>25527</v>
      </c>
      <c r="O189" s="13">
        <v>29.9</v>
      </c>
      <c r="P189" s="13">
        <v>7</v>
      </c>
      <c r="Q189" s="13">
        <v>56.8</v>
      </c>
      <c r="R189" s="13">
        <v>37.799999999999997</v>
      </c>
      <c r="S189" s="8"/>
      <c r="T189" s="15" t="s">
        <v>89</v>
      </c>
      <c r="U189" s="13">
        <v>12</v>
      </c>
      <c r="V189" s="13">
        <v>11.7</v>
      </c>
      <c r="W189" s="7">
        <v>0.59</v>
      </c>
      <c r="X189" s="13"/>
      <c r="Y189" s="13">
        <v>51.8</v>
      </c>
      <c r="Z189" s="7">
        <v>2.13</v>
      </c>
      <c r="AA189" s="13">
        <v>1</v>
      </c>
      <c r="AB189" s="16">
        <f>AA189*10</f>
        <v>10</v>
      </c>
      <c r="AC189" s="13">
        <v>1</v>
      </c>
      <c r="AD189" s="16">
        <f>AC189*10</f>
        <v>10</v>
      </c>
      <c r="AE189" s="1">
        <v>0</v>
      </c>
    </row>
    <row r="190" spans="1:31" ht="17" x14ac:dyDescent="0.2">
      <c r="A190" s="1">
        <v>189</v>
      </c>
      <c r="B190" s="1">
        <v>2019</v>
      </c>
      <c r="C190" s="1" t="s">
        <v>96</v>
      </c>
      <c r="D190" s="28" t="s">
        <v>914</v>
      </c>
      <c r="E190" s="1" t="s">
        <v>751</v>
      </c>
      <c r="F190" s="1" t="s">
        <v>32</v>
      </c>
      <c r="H190" s="1" t="s">
        <v>34</v>
      </c>
      <c r="I190" s="12">
        <v>8.8000000000000007</v>
      </c>
      <c r="J190" s="3">
        <v>25</v>
      </c>
      <c r="L190" s="5">
        <v>2580.25</v>
      </c>
      <c r="M190" s="6" t="s">
        <v>34</v>
      </c>
      <c r="N190" s="5">
        <v>22620.799999999999</v>
      </c>
      <c r="O190" s="6">
        <v>34.282499999999999</v>
      </c>
      <c r="P190" s="6">
        <v>5.9024999999999999</v>
      </c>
      <c r="Q190" s="6">
        <v>58.99</v>
      </c>
      <c r="R190" s="6">
        <v>45.045000000000002</v>
      </c>
      <c r="S190" s="3"/>
      <c r="T190" s="6">
        <v>41.472499999999997</v>
      </c>
      <c r="U190" s="6">
        <v>8.8574999999999999</v>
      </c>
      <c r="V190" s="6">
        <v>13.305</v>
      </c>
      <c r="W190" s="3">
        <v>0.61049999999999993</v>
      </c>
      <c r="X190" s="6"/>
      <c r="Y190" s="6">
        <v>53.352499999999999</v>
      </c>
      <c r="Z190" s="3">
        <v>2.3199999999999998</v>
      </c>
      <c r="AB190" s="16"/>
      <c r="AC190" s="6">
        <v>0</v>
      </c>
      <c r="AD190" s="16">
        <f>AC190*10</f>
        <v>0</v>
      </c>
      <c r="AE190" s="1">
        <v>0</v>
      </c>
    </row>
    <row r="191" spans="1:31" x14ac:dyDescent="0.2">
      <c r="A191" s="1">
        <v>190</v>
      </c>
      <c r="B191" s="1">
        <v>2011</v>
      </c>
      <c r="C191" s="1" t="s">
        <v>96</v>
      </c>
      <c r="D191" s="1" t="s">
        <v>916</v>
      </c>
      <c r="E191" s="8" t="s">
        <v>252</v>
      </c>
      <c r="F191" s="1" t="s">
        <v>32</v>
      </c>
      <c r="I191" s="12">
        <v>6.9</v>
      </c>
      <c r="J191" s="12">
        <v>26.9142857142857</v>
      </c>
      <c r="K191" s="13"/>
      <c r="L191" s="14">
        <v>2584</v>
      </c>
      <c r="M191" s="14"/>
      <c r="N191" s="14">
        <v>17873</v>
      </c>
      <c r="O191" s="13">
        <v>29</v>
      </c>
      <c r="P191" s="13">
        <v>7</v>
      </c>
      <c r="Q191" s="13">
        <v>59.9</v>
      </c>
      <c r="R191" s="13">
        <v>59.1</v>
      </c>
      <c r="T191" s="15"/>
      <c r="U191" s="15" t="s">
        <v>89</v>
      </c>
      <c r="V191" s="13">
        <v>1.4</v>
      </c>
      <c r="W191" s="12" t="s">
        <v>89</v>
      </c>
      <c r="X191" s="15" t="s">
        <v>89</v>
      </c>
      <c r="Y191" s="13">
        <v>60.6</v>
      </c>
      <c r="Z191" s="7">
        <v>2.4300000000000002</v>
      </c>
      <c r="AA191" s="8">
        <v>1</v>
      </c>
      <c r="AB191" s="16">
        <f>AA191*10</f>
        <v>10</v>
      </c>
      <c r="AC191" s="13">
        <v>1</v>
      </c>
      <c r="AD191" s="16">
        <f>AC191*10</f>
        <v>10</v>
      </c>
      <c r="AE191" s="1">
        <v>0</v>
      </c>
    </row>
    <row r="192" spans="1:31" x14ac:dyDescent="0.2">
      <c r="A192" s="1">
        <v>191</v>
      </c>
      <c r="B192" s="1">
        <v>2017</v>
      </c>
      <c r="C192" s="1" t="s">
        <v>88</v>
      </c>
      <c r="D192" s="1" t="s">
        <v>246</v>
      </c>
      <c r="E192" s="1" t="s">
        <v>582</v>
      </c>
      <c r="F192" s="1" t="s">
        <v>32</v>
      </c>
      <c r="H192" s="1" t="s">
        <v>34</v>
      </c>
      <c r="I192" s="12">
        <v>6.3</v>
      </c>
      <c r="J192" s="3">
        <v>18</v>
      </c>
      <c r="L192" s="5">
        <v>2586.25</v>
      </c>
      <c r="N192" s="5">
        <v>16301.944600000001</v>
      </c>
      <c r="O192" s="6">
        <v>28.767826500000002</v>
      </c>
      <c r="P192" s="6">
        <v>5.085</v>
      </c>
      <c r="Q192" s="6">
        <v>66.2</v>
      </c>
      <c r="R192" s="15">
        <v>55.677500000000002</v>
      </c>
      <c r="S192" s="15">
        <v>19.7</v>
      </c>
      <c r="U192" s="6">
        <v>4.5724999999999998</v>
      </c>
      <c r="V192" s="6">
        <v>12.4</v>
      </c>
      <c r="W192" s="3">
        <v>0.57619999999999993</v>
      </c>
      <c r="X192" s="6"/>
      <c r="Y192" s="15">
        <v>55.854999999999997</v>
      </c>
      <c r="Z192" s="3">
        <v>2.2999999999999998</v>
      </c>
      <c r="AB192" s="16"/>
      <c r="AD192" s="16"/>
      <c r="AE192" s="1">
        <v>1</v>
      </c>
    </row>
    <row r="193" spans="1:31" x14ac:dyDescent="0.2">
      <c r="A193" s="1">
        <v>192</v>
      </c>
      <c r="B193" s="1">
        <v>2019</v>
      </c>
      <c r="C193" s="1" t="s">
        <v>88</v>
      </c>
      <c r="D193" s="28" t="s">
        <v>914</v>
      </c>
      <c r="E193" s="1" t="s">
        <v>693</v>
      </c>
      <c r="F193" s="1" t="s">
        <v>83</v>
      </c>
      <c r="I193" s="12">
        <v>5.8666666699999999</v>
      </c>
      <c r="J193" s="3">
        <v>16.8333333</v>
      </c>
      <c r="L193" s="5">
        <v>2587.3333299999999</v>
      </c>
      <c r="N193" s="5">
        <v>15198.433300000001</v>
      </c>
      <c r="O193" s="6">
        <v>26.9033333</v>
      </c>
      <c r="P193" s="6">
        <v>8.0766667000000005</v>
      </c>
      <c r="Q193" s="6">
        <v>54.643333300000002</v>
      </c>
      <c r="R193" s="6">
        <v>36.369999999999997</v>
      </c>
      <c r="S193" s="3"/>
      <c r="T193" s="6">
        <v>36.603333300000003</v>
      </c>
      <c r="U193" s="6">
        <v>12.4366667</v>
      </c>
      <c r="V193" s="6">
        <v>8.9666666999999993</v>
      </c>
      <c r="W193" s="3">
        <v>0.62759999999999994</v>
      </c>
      <c r="X193" s="6"/>
      <c r="Y193" s="6">
        <v>61.253333300000001</v>
      </c>
      <c r="Z193" s="3">
        <v>1.1633333299999999</v>
      </c>
      <c r="AB193" s="16"/>
      <c r="AC193" s="4">
        <v>4</v>
      </c>
      <c r="AD193" s="16">
        <f>AC193*10</f>
        <v>40</v>
      </c>
      <c r="AE193" s="1">
        <v>1</v>
      </c>
    </row>
    <row r="194" spans="1:31" x14ac:dyDescent="0.2">
      <c r="A194" s="1">
        <v>193</v>
      </c>
      <c r="B194" s="1">
        <v>2009</v>
      </c>
      <c r="C194" s="1" t="s">
        <v>96</v>
      </c>
      <c r="D194" s="8" t="s">
        <v>146</v>
      </c>
      <c r="E194" s="8">
        <v>100</v>
      </c>
      <c r="F194" s="1" t="s">
        <v>83</v>
      </c>
      <c r="I194" s="12">
        <v>4.07</v>
      </c>
      <c r="J194" s="7">
        <v>11.6</v>
      </c>
      <c r="K194" s="1" t="s">
        <v>34</v>
      </c>
      <c r="L194" s="14">
        <v>2588</v>
      </c>
      <c r="M194" s="14"/>
      <c r="N194" s="14">
        <v>10562</v>
      </c>
      <c r="O194" s="13">
        <v>26.5</v>
      </c>
      <c r="P194" s="13">
        <v>10.199999999999999</v>
      </c>
      <c r="Q194" s="13">
        <v>58.8</v>
      </c>
      <c r="R194" s="13">
        <v>53.9</v>
      </c>
      <c r="S194" s="13"/>
      <c r="T194" s="13">
        <v>39.700000000000003</v>
      </c>
      <c r="U194" s="13">
        <v>8.9</v>
      </c>
      <c r="V194" s="13">
        <v>2.2000000000000002</v>
      </c>
      <c r="W194" s="12" t="s">
        <v>89</v>
      </c>
      <c r="X194" s="13">
        <v>72.900000000000006</v>
      </c>
      <c r="Y194" s="13">
        <v>59</v>
      </c>
      <c r="Z194" s="7">
        <v>1.29</v>
      </c>
      <c r="AA194" s="13">
        <v>1</v>
      </c>
      <c r="AB194" s="16">
        <v>10</v>
      </c>
      <c r="AC194" s="13">
        <v>1</v>
      </c>
      <c r="AD194" s="16">
        <f>AC194*10</f>
        <v>10</v>
      </c>
      <c r="AE194" s="1">
        <v>0</v>
      </c>
    </row>
    <row r="195" spans="1:31" x14ac:dyDescent="0.2">
      <c r="A195" s="1">
        <v>194</v>
      </c>
      <c r="B195" s="1">
        <v>2016</v>
      </c>
      <c r="C195" s="1" t="s">
        <v>88</v>
      </c>
      <c r="D195" s="8" t="s">
        <v>246</v>
      </c>
      <c r="E195" s="8" t="s">
        <v>251</v>
      </c>
      <c r="F195" s="1" t="s">
        <v>32</v>
      </c>
      <c r="I195" s="12">
        <v>9.3249999999999993</v>
      </c>
      <c r="J195" s="7">
        <v>26.6428571428571</v>
      </c>
      <c r="L195" s="5">
        <v>2589.75</v>
      </c>
      <c r="N195" s="5">
        <v>24158.525000000001</v>
      </c>
      <c r="O195" s="6">
        <v>33.6</v>
      </c>
      <c r="P195" s="6">
        <v>4.9524999999999997</v>
      </c>
      <c r="Q195" s="6">
        <v>57.657499999999999</v>
      </c>
      <c r="R195" s="6">
        <v>33.305</v>
      </c>
      <c r="S195" s="6"/>
      <c r="T195" s="6">
        <v>39.06</v>
      </c>
      <c r="U195" s="6">
        <v>15.1625</v>
      </c>
      <c r="V195" s="6">
        <v>8.2899999999999991</v>
      </c>
      <c r="W195" s="7">
        <v>0.6</v>
      </c>
      <c r="X195" s="13"/>
      <c r="Y195" s="6">
        <v>51.075000000000003</v>
      </c>
      <c r="Z195" s="3">
        <v>1.7931538899999999</v>
      </c>
      <c r="AA195" s="6">
        <v>3.12</v>
      </c>
      <c r="AB195" s="16">
        <f>AA195*10</f>
        <v>31.200000000000003</v>
      </c>
      <c r="AC195" s="6">
        <v>1.1200000000000001</v>
      </c>
      <c r="AD195" s="16">
        <f>AC195*10</f>
        <v>11.200000000000001</v>
      </c>
      <c r="AE195" s="1">
        <v>1</v>
      </c>
    </row>
    <row r="196" spans="1:31" x14ac:dyDescent="0.2">
      <c r="A196" s="1">
        <v>195</v>
      </c>
      <c r="B196" s="1">
        <v>2011</v>
      </c>
      <c r="C196" s="1" t="s">
        <v>88</v>
      </c>
      <c r="D196" s="1" t="s">
        <v>916</v>
      </c>
      <c r="E196" s="8" t="s">
        <v>92</v>
      </c>
      <c r="F196" s="1" t="s">
        <v>32</v>
      </c>
      <c r="I196" s="12">
        <v>7.86</v>
      </c>
      <c r="J196" s="12">
        <v>18.7</v>
      </c>
      <c r="K196" s="13"/>
      <c r="L196" s="14">
        <v>2592</v>
      </c>
      <c r="M196" s="14"/>
      <c r="N196" s="14">
        <v>20380</v>
      </c>
      <c r="O196" s="13">
        <v>30.2</v>
      </c>
      <c r="P196" s="13">
        <v>6.5</v>
      </c>
      <c r="Q196" s="13">
        <v>55</v>
      </c>
      <c r="R196" s="13">
        <v>51</v>
      </c>
      <c r="T196" s="15"/>
      <c r="U196" s="15" t="s">
        <v>89</v>
      </c>
      <c r="V196" s="13">
        <v>1.8</v>
      </c>
      <c r="W196" s="12" t="s">
        <v>89</v>
      </c>
      <c r="X196" s="15" t="s">
        <v>89</v>
      </c>
      <c r="Y196" s="13">
        <v>62.6</v>
      </c>
      <c r="Z196" s="7">
        <v>2.21</v>
      </c>
      <c r="AA196" s="1">
        <v>0</v>
      </c>
      <c r="AB196" s="16">
        <f>AA196*10</f>
        <v>0</v>
      </c>
      <c r="AC196" s="1">
        <v>0.5</v>
      </c>
      <c r="AD196" s="16">
        <f>AC196*10</f>
        <v>5</v>
      </c>
      <c r="AE196" s="1">
        <v>1</v>
      </c>
    </row>
    <row r="197" spans="1:31" x14ac:dyDescent="0.2">
      <c r="A197" s="1">
        <v>196</v>
      </c>
      <c r="B197" s="1">
        <v>2008</v>
      </c>
      <c r="C197" s="1" t="s">
        <v>31</v>
      </c>
      <c r="D197" s="8" t="s">
        <v>37</v>
      </c>
      <c r="E197" s="8" t="s">
        <v>40</v>
      </c>
      <c r="F197" s="8" t="s">
        <v>83</v>
      </c>
      <c r="G197" s="8"/>
      <c r="H197" s="8"/>
      <c r="I197" s="12">
        <v>4.5199999999999996</v>
      </c>
      <c r="J197" s="7">
        <v>12.914285714285715</v>
      </c>
      <c r="K197" s="13"/>
      <c r="L197" s="14">
        <v>2594</v>
      </c>
      <c r="M197" s="14"/>
      <c r="N197" s="14">
        <v>11718</v>
      </c>
      <c r="O197" s="13">
        <v>28.8</v>
      </c>
      <c r="P197" s="13">
        <v>10.6</v>
      </c>
      <c r="Q197" s="13">
        <v>44.2</v>
      </c>
      <c r="R197" s="13">
        <v>28.7</v>
      </c>
      <c r="S197" s="13"/>
      <c r="T197" s="13">
        <v>21.1</v>
      </c>
      <c r="U197" s="13">
        <v>22.3</v>
      </c>
      <c r="V197" s="15"/>
      <c r="X197" s="15"/>
      <c r="Y197" s="13">
        <v>60.1</v>
      </c>
      <c r="Z197" s="7">
        <v>0.57999999999999996</v>
      </c>
      <c r="AB197" s="16"/>
      <c r="AD197" s="16"/>
      <c r="AE197" s="1">
        <v>1</v>
      </c>
    </row>
    <row r="198" spans="1:31" ht="17" x14ac:dyDescent="0.2">
      <c r="A198" s="1">
        <v>197</v>
      </c>
      <c r="B198" s="1">
        <v>2019</v>
      </c>
      <c r="C198" s="1" t="s">
        <v>96</v>
      </c>
      <c r="D198" s="8" t="s">
        <v>187</v>
      </c>
      <c r="E198" s="8" t="s">
        <v>465</v>
      </c>
      <c r="F198" s="1" t="s">
        <v>32</v>
      </c>
      <c r="H198" s="1" t="s">
        <v>34</v>
      </c>
      <c r="I198" s="12">
        <v>9.6999999999999993</v>
      </c>
      <c r="J198" s="3">
        <v>27.7</v>
      </c>
      <c r="L198" s="5">
        <v>2604.5</v>
      </c>
      <c r="M198" s="6" t="s">
        <v>34</v>
      </c>
      <c r="N198" s="5">
        <v>25235.5</v>
      </c>
      <c r="O198" s="6">
        <v>35.267499999999998</v>
      </c>
      <c r="P198" s="6">
        <v>6.9</v>
      </c>
      <c r="Q198" s="6">
        <v>53.8125</v>
      </c>
      <c r="R198" s="6">
        <v>35.982500000000002</v>
      </c>
      <c r="S198" s="3"/>
      <c r="T198" s="6">
        <v>36.497500000000002</v>
      </c>
      <c r="U198" s="6">
        <v>12.2475</v>
      </c>
      <c r="V198" s="6">
        <v>22</v>
      </c>
      <c r="W198" s="3">
        <v>0.64155000000000006</v>
      </c>
      <c r="X198" s="6"/>
      <c r="Y198" s="6">
        <v>52.384999999999998</v>
      </c>
      <c r="Z198" s="3">
        <v>1.88</v>
      </c>
      <c r="AB198" s="16"/>
      <c r="AC198" s="6">
        <v>0</v>
      </c>
      <c r="AD198" s="16">
        <f>AC198*10</f>
        <v>0</v>
      </c>
      <c r="AE198" s="1">
        <v>0</v>
      </c>
    </row>
    <row r="199" spans="1:31" x14ac:dyDescent="0.2">
      <c r="A199" s="1">
        <v>198</v>
      </c>
      <c r="B199" s="1">
        <v>2012</v>
      </c>
      <c r="C199" s="1" t="s">
        <v>88</v>
      </c>
      <c r="D199" s="1" t="s">
        <v>916</v>
      </c>
      <c r="E199" s="8" t="s">
        <v>335</v>
      </c>
      <c r="F199" s="1" t="s">
        <v>83</v>
      </c>
      <c r="I199" s="12">
        <v>5.31</v>
      </c>
      <c r="J199" s="7">
        <v>15.2</v>
      </c>
      <c r="K199" s="13"/>
      <c r="L199" s="14">
        <v>2605</v>
      </c>
      <c r="M199" s="14"/>
      <c r="N199" s="14">
        <v>13891</v>
      </c>
      <c r="O199" s="13">
        <v>30</v>
      </c>
      <c r="P199" s="13">
        <v>6.87</v>
      </c>
      <c r="Q199" s="13">
        <v>58.7</v>
      </c>
      <c r="R199" s="13">
        <v>45.9</v>
      </c>
      <c r="S199" s="13"/>
      <c r="T199" s="13"/>
      <c r="U199" s="13">
        <v>9.4</v>
      </c>
      <c r="V199" s="13">
        <v>1</v>
      </c>
      <c r="W199" s="7">
        <v>0.59</v>
      </c>
      <c r="X199" s="15"/>
      <c r="Y199" s="15"/>
      <c r="Z199" s="7">
        <v>1.43</v>
      </c>
      <c r="AA199" s="7">
        <v>2</v>
      </c>
      <c r="AB199" s="16">
        <f>AA199*10</f>
        <v>20</v>
      </c>
      <c r="AC199" s="7">
        <v>1</v>
      </c>
      <c r="AD199" s="16">
        <f>AC199*10</f>
        <v>10</v>
      </c>
      <c r="AE199" s="1">
        <v>1</v>
      </c>
    </row>
    <row r="200" spans="1:31" x14ac:dyDescent="0.2">
      <c r="A200" s="1">
        <v>199</v>
      </c>
      <c r="B200" s="1">
        <v>2008</v>
      </c>
      <c r="C200" s="8" t="s">
        <v>88</v>
      </c>
      <c r="D200" s="1" t="s">
        <v>916</v>
      </c>
      <c r="E200" s="8" t="s">
        <v>93</v>
      </c>
      <c r="F200" s="8" t="s">
        <v>83</v>
      </c>
      <c r="G200" s="8"/>
      <c r="H200" s="8"/>
      <c r="I200" s="12">
        <v>3.91</v>
      </c>
      <c r="J200" s="7">
        <v>11.1</v>
      </c>
      <c r="K200" s="13"/>
      <c r="L200" s="14">
        <v>2611</v>
      </c>
      <c r="M200" s="14"/>
      <c r="N200" s="14">
        <v>10200</v>
      </c>
      <c r="O200" s="13">
        <v>31</v>
      </c>
      <c r="P200" s="13">
        <v>5.2</v>
      </c>
      <c r="Q200" s="13">
        <v>53.7</v>
      </c>
      <c r="R200" s="13">
        <v>48</v>
      </c>
      <c r="S200" s="13"/>
      <c r="T200" s="13"/>
      <c r="U200" s="13">
        <v>33.9</v>
      </c>
      <c r="V200" s="15" t="s">
        <v>89</v>
      </c>
      <c r="X200" s="15"/>
      <c r="Y200" s="13">
        <v>63.8</v>
      </c>
      <c r="Z200" s="7">
        <v>1.01</v>
      </c>
      <c r="AB200" s="16"/>
      <c r="AD200" s="16"/>
      <c r="AE200" s="1">
        <v>1</v>
      </c>
    </row>
    <row r="201" spans="1:31" x14ac:dyDescent="0.2">
      <c r="A201" s="1">
        <v>200</v>
      </c>
      <c r="B201" s="1">
        <v>2015</v>
      </c>
      <c r="C201" s="8" t="s">
        <v>88</v>
      </c>
      <c r="D201" s="8" t="s">
        <v>187</v>
      </c>
      <c r="E201" s="8" t="s">
        <v>188</v>
      </c>
      <c r="F201" s="1" t="s">
        <v>32</v>
      </c>
      <c r="I201" s="12">
        <v>8.4499999999999993</v>
      </c>
      <c r="J201" s="7">
        <v>24.142857142857142</v>
      </c>
      <c r="L201" s="14">
        <v>2611</v>
      </c>
      <c r="N201" s="14">
        <v>22070</v>
      </c>
      <c r="O201" s="13">
        <v>32</v>
      </c>
      <c r="P201" s="13">
        <v>6.6</v>
      </c>
      <c r="Q201" s="13">
        <v>56.1</v>
      </c>
      <c r="R201" s="13">
        <v>37.700000000000003</v>
      </c>
      <c r="S201" s="8"/>
      <c r="T201" s="15" t="s">
        <v>89</v>
      </c>
      <c r="U201" s="13">
        <v>18.8</v>
      </c>
      <c r="V201" s="13">
        <v>6.5</v>
      </c>
      <c r="W201" s="7">
        <v>0.6</v>
      </c>
      <c r="X201" s="13"/>
      <c r="Y201" s="13">
        <v>52.3</v>
      </c>
      <c r="Z201" s="7">
        <v>1.79</v>
      </c>
      <c r="AA201" s="13">
        <v>1</v>
      </c>
      <c r="AB201" s="16">
        <f>AA201*10</f>
        <v>10</v>
      </c>
      <c r="AC201" s="13">
        <v>3.1</v>
      </c>
      <c r="AD201" s="16">
        <f>AC201*10</f>
        <v>31</v>
      </c>
      <c r="AE201" s="1">
        <v>1</v>
      </c>
    </row>
    <row r="202" spans="1:31" x14ac:dyDescent="0.2">
      <c r="A202" s="1">
        <v>201</v>
      </c>
      <c r="B202" s="1">
        <v>2018</v>
      </c>
      <c r="C202" s="1" t="s">
        <v>88</v>
      </c>
      <c r="D202" s="28" t="s">
        <v>914</v>
      </c>
      <c r="E202" s="1" t="s">
        <v>693</v>
      </c>
      <c r="F202" s="1" t="s">
        <v>32</v>
      </c>
      <c r="H202" s="1" t="s">
        <v>34</v>
      </c>
      <c r="I202" s="12">
        <v>7.83</v>
      </c>
      <c r="J202" s="7">
        <v>22.37</v>
      </c>
      <c r="L202" s="16">
        <v>2612.25</v>
      </c>
      <c r="N202" s="16">
        <v>20510.081049381301</v>
      </c>
      <c r="O202" s="15">
        <v>39.799999999999997</v>
      </c>
      <c r="P202" s="15">
        <v>7.31</v>
      </c>
      <c r="Q202" s="15">
        <v>59</v>
      </c>
      <c r="R202" s="15">
        <v>40.049999999999997</v>
      </c>
      <c r="S202" s="12">
        <v>21.38</v>
      </c>
      <c r="U202" s="15">
        <v>10.715</v>
      </c>
      <c r="V202" s="15">
        <v>12.05</v>
      </c>
      <c r="W202" s="12">
        <v>0.60034999999999994</v>
      </c>
      <c r="X202" s="15"/>
      <c r="Y202" s="15">
        <v>52.552500000000002</v>
      </c>
      <c r="Z202" s="12">
        <v>0.83786738852076004</v>
      </c>
      <c r="AA202" s="16">
        <v>3</v>
      </c>
      <c r="AB202" s="16">
        <f>AA202*33.334</f>
        <v>100.00200000000001</v>
      </c>
      <c r="AC202" s="16">
        <v>0.25</v>
      </c>
      <c r="AD202" s="16">
        <f>AC202*33.334</f>
        <v>8.3335000000000008</v>
      </c>
      <c r="AE202" s="1">
        <v>1</v>
      </c>
    </row>
    <row r="203" spans="1:31" x14ac:dyDescent="0.2">
      <c r="A203" s="1">
        <v>202</v>
      </c>
      <c r="B203" s="1">
        <v>2011</v>
      </c>
      <c r="C203" s="1" t="s">
        <v>96</v>
      </c>
      <c r="D203" s="8" t="s">
        <v>1023</v>
      </c>
      <c r="E203" s="8" t="s">
        <v>253</v>
      </c>
      <c r="F203" s="1" t="s">
        <v>32</v>
      </c>
      <c r="I203" s="12">
        <v>6.21</v>
      </c>
      <c r="J203" s="12">
        <v>23.3</v>
      </c>
      <c r="K203" s="8"/>
      <c r="L203" s="14">
        <v>2622</v>
      </c>
      <c r="M203" s="8"/>
      <c r="N203" s="14">
        <v>16335</v>
      </c>
      <c r="O203" s="13">
        <v>27.2</v>
      </c>
      <c r="P203" s="13">
        <v>7.3</v>
      </c>
      <c r="Q203" s="13">
        <v>58.9</v>
      </c>
      <c r="R203" s="13">
        <v>56.6</v>
      </c>
      <c r="T203" s="15"/>
      <c r="U203" s="15" t="s">
        <v>89</v>
      </c>
      <c r="V203" s="13">
        <v>2</v>
      </c>
      <c r="W203" s="12" t="s">
        <v>89</v>
      </c>
      <c r="X203" s="15" t="s">
        <v>89</v>
      </c>
      <c r="Y203" s="13">
        <v>62.5</v>
      </c>
      <c r="Z203" s="7">
        <v>2.0699999999999998</v>
      </c>
      <c r="AA203" s="8">
        <v>0.3</v>
      </c>
      <c r="AB203" s="16">
        <f>AA203*10</f>
        <v>3</v>
      </c>
      <c r="AC203" s="13">
        <v>0</v>
      </c>
      <c r="AD203" s="16">
        <f>AC203*10</f>
        <v>0</v>
      </c>
      <c r="AE203" s="1">
        <v>0</v>
      </c>
    </row>
    <row r="204" spans="1:31" x14ac:dyDescent="0.2">
      <c r="A204" s="1">
        <v>203</v>
      </c>
      <c r="B204" s="1">
        <v>2014</v>
      </c>
      <c r="C204" s="1" t="s">
        <v>96</v>
      </c>
      <c r="D204" s="8" t="s">
        <v>187</v>
      </c>
      <c r="E204" s="8" t="s">
        <v>467</v>
      </c>
      <c r="F204" s="8" t="s">
        <v>32</v>
      </c>
      <c r="I204" s="12">
        <v>5.62</v>
      </c>
      <c r="J204" s="7">
        <v>16.0571428571429</v>
      </c>
      <c r="K204" s="13"/>
      <c r="L204" s="14">
        <v>2628</v>
      </c>
      <c r="M204" s="14"/>
      <c r="N204" s="14">
        <v>14827</v>
      </c>
      <c r="O204" s="13">
        <v>28.8</v>
      </c>
      <c r="P204" s="13">
        <v>8</v>
      </c>
      <c r="Q204" s="13">
        <v>55.2</v>
      </c>
      <c r="R204" s="13">
        <v>43.8</v>
      </c>
      <c r="T204" s="15"/>
      <c r="U204" s="13">
        <v>20.3</v>
      </c>
      <c r="V204" s="13">
        <v>1.3</v>
      </c>
      <c r="W204" s="7">
        <v>0.59</v>
      </c>
      <c r="X204" s="15"/>
      <c r="Y204" s="13">
        <v>57.6</v>
      </c>
      <c r="Z204" s="7">
        <v>1.36</v>
      </c>
      <c r="AA204" s="13">
        <v>2.8</v>
      </c>
      <c r="AB204" s="16">
        <f>AA204*10</f>
        <v>28</v>
      </c>
      <c r="AC204" s="8">
        <v>1.5</v>
      </c>
      <c r="AD204" s="16">
        <f>AC204*10</f>
        <v>15</v>
      </c>
      <c r="AE204" s="1">
        <v>0</v>
      </c>
    </row>
    <row r="205" spans="1:31" x14ac:dyDescent="0.2">
      <c r="A205" s="1">
        <v>204</v>
      </c>
      <c r="B205" s="1">
        <v>2008</v>
      </c>
      <c r="C205" s="1" t="s">
        <v>31</v>
      </c>
      <c r="D205" s="8" t="s">
        <v>54</v>
      </c>
      <c r="E205" s="8">
        <v>998</v>
      </c>
      <c r="F205" s="8" t="s">
        <v>83</v>
      </c>
      <c r="G205" s="8"/>
      <c r="H205" s="8"/>
      <c r="I205" s="12">
        <v>3.95</v>
      </c>
      <c r="J205" s="7">
        <v>11.285714285714286</v>
      </c>
      <c r="K205" s="13"/>
      <c r="L205" s="14">
        <v>2630</v>
      </c>
      <c r="M205" s="14"/>
      <c r="N205" s="14">
        <v>10394</v>
      </c>
      <c r="O205" s="13">
        <v>32.1</v>
      </c>
      <c r="P205" s="13">
        <v>9.5</v>
      </c>
      <c r="Q205" s="13">
        <v>45.7</v>
      </c>
      <c r="R205" s="13">
        <v>30.1</v>
      </c>
      <c r="S205" s="13"/>
      <c r="T205" s="13">
        <v>21.5</v>
      </c>
      <c r="U205" s="13">
        <v>24.5</v>
      </c>
      <c r="V205" s="15"/>
      <c r="X205" s="15"/>
      <c r="Y205" s="13">
        <v>60.1</v>
      </c>
      <c r="Z205" s="7">
        <v>0.54</v>
      </c>
      <c r="AB205" s="16"/>
      <c r="AD205" s="16"/>
      <c r="AE205" s="1">
        <v>1</v>
      </c>
    </row>
    <row r="206" spans="1:31" ht="17" x14ac:dyDescent="0.2">
      <c r="A206" s="1">
        <v>205</v>
      </c>
      <c r="B206" s="1">
        <v>2019</v>
      </c>
      <c r="C206" s="1" t="s">
        <v>88</v>
      </c>
      <c r="D206" s="8" t="s">
        <v>731</v>
      </c>
      <c r="E206" s="8">
        <v>19153</v>
      </c>
      <c r="F206" s="1" t="s">
        <v>32</v>
      </c>
      <c r="H206" s="1" t="s">
        <v>34</v>
      </c>
      <c r="I206" s="12">
        <v>8.9</v>
      </c>
      <c r="J206" s="3">
        <v>25.5</v>
      </c>
      <c r="L206" s="5">
        <v>2630.5</v>
      </c>
      <c r="M206" s="6" t="s">
        <v>34</v>
      </c>
      <c r="N206" s="5">
        <v>23530.5</v>
      </c>
      <c r="O206" s="6">
        <v>34.3125</v>
      </c>
      <c r="P206" s="6">
        <v>6.1675000000000004</v>
      </c>
      <c r="Q206" s="6">
        <v>52.84</v>
      </c>
      <c r="R206" s="6">
        <v>35.817500000000003</v>
      </c>
      <c r="S206" s="3"/>
      <c r="T206" s="6">
        <v>36.715000000000003</v>
      </c>
      <c r="U206" s="6">
        <v>11.9975</v>
      </c>
      <c r="V206" s="6">
        <v>22.6</v>
      </c>
      <c r="W206" s="3">
        <v>0.64239999999999997</v>
      </c>
      <c r="X206" s="6"/>
      <c r="Y206" s="6">
        <v>52.83</v>
      </c>
      <c r="Z206" s="3">
        <v>1.6924999999999999</v>
      </c>
      <c r="AB206" s="16"/>
      <c r="AC206" s="6">
        <v>0</v>
      </c>
      <c r="AD206" s="16">
        <f>AC206*10</f>
        <v>0</v>
      </c>
      <c r="AE206" s="1">
        <v>1</v>
      </c>
    </row>
    <row r="207" spans="1:31" x14ac:dyDescent="0.2">
      <c r="A207" s="1">
        <v>206</v>
      </c>
      <c r="B207" s="1">
        <v>2015</v>
      </c>
      <c r="C207" s="8" t="s">
        <v>96</v>
      </c>
      <c r="D207" s="8" t="s">
        <v>187</v>
      </c>
      <c r="E207" s="8" t="s">
        <v>465</v>
      </c>
      <c r="F207" s="1" t="s">
        <v>83</v>
      </c>
      <c r="I207" s="12">
        <v>8.3000000000000007</v>
      </c>
      <c r="J207" s="7">
        <v>23.714285714285719</v>
      </c>
      <c r="L207" s="14">
        <v>2633</v>
      </c>
      <c r="M207" s="1" t="s">
        <v>34</v>
      </c>
      <c r="N207" s="14">
        <v>21917</v>
      </c>
      <c r="O207" s="13">
        <v>28.5</v>
      </c>
      <c r="P207" s="13">
        <v>6.7</v>
      </c>
      <c r="Q207" s="13">
        <v>59.1</v>
      </c>
      <c r="R207" s="13">
        <v>43.2</v>
      </c>
      <c r="S207" s="8"/>
      <c r="T207" s="15" t="s">
        <v>89</v>
      </c>
      <c r="U207" s="13">
        <v>5.6</v>
      </c>
      <c r="V207" s="13">
        <v>13.8</v>
      </c>
      <c r="W207" s="7">
        <v>0.62</v>
      </c>
      <c r="X207" s="13"/>
      <c r="Y207" s="13">
        <v>53.5</v>
      </c>
      <c r="Z207" s="7">
        <v>2.13</v>
      </c>
      <c r="AA207" s="13">
        <v>1</v>
      </c>
      <c r="AB207" s="16">
        <f>AA207*10</f>
        <v>10</v>
      </c>
      <c r="AC207" s="13">
        <v>1</v>
      </c>
      <c r="AD207" s="16">
        <f>AC207*10</f>
        <v>10</v>
      </c>
      <c r="AE207" s="1">
        <v>0</v>
      </c>
    </row>
    <row r="208" spans="1:31" x14ac:dyDescent="0.2">
      <c r="A208" s="1">
        <v>207</v>
      </c>
      <c r="B208" s="1">
        <v>2018</v>
      </c>
      <c r="C208" s="1" t="s">
        <v>96</v>
      </c>
      <c r="D208" s="8" t="s">
        <v>246</v>
      </c>
      <c r="E208" s="8" t="s">
        <v>699</v>
      </c>
      <c r="F208" s="1" t="s">
        <v>83</v>
      </c>
      <c r="I208" s="12">
        <v>2.8473039500000001</v>
      </c>
      <c r="J208" s="7">
        <v>8.1351540999999994</v>
      </c>
      <c r="K208" s="1" t="s">
        <v>34</v>
      </c>
      <c r="L208" s="14">
        <v>2636.3</v>
      </c>
      <c r="N208" s="14">
        <v>7507.9411</v>
      </c>
      <c r="O208" s="13">
        <v>25.28</v>
      </c>
      <c r="P208" s="13">
        <v>10.8125</v>
      </c>
      <c r="Q208" s="13">
        <v>56.12</v>
      </c>
      <c r="R208" s="13">
        <v>43.862499999999997</v>
      </c>
      <c r="S208" s="7">
        <v>19.36</v>
      </c>
      <c r="T208" s="15" t="s">
        <v>89</v>
      </c>
      <c r="U208" s="13">
        <v>8.0050000000000008</v>
      </c>
      <c r="V208" s="13">
        <v>8.8925000000000001</v>
      </c>
      <c r="W208" s="7">
        <v>0.60882499999999995</v>
      </c>
      <c r="X208" s="13"/>
      <c r="Y208" s="13">
        <v>54.15</v>
      </c>
      <c r="Z208" s="7">
        <v>0.69956611000000002</v>
      </c>
      <c r="AA208" s="14">
        <v>2.25</v>
      </c>
      <c r="AB208" s="16">
        <f>AA208*33.334</f>
        <v>75.001500000000007</v>
      </c>
      <c r="AD208" s="16"/>
      <c r="AE208" s="1">
        <v>0</v>
      </c>
    </row>
    <row r="209" spans="1:31" x14ac:dyDescent="0.2">
      <c r="A209" s="1">
        <v>208</v>
      </c>
      <c r="B209" s="1">
        <v>2018</v>
      </c>
      <c r="C209" s="1" t="s">
        <v>88</v>
      </c>
      <c r="D209" s="28" t="s">
        <v>914</v>
      </c>
      <c r="E209" s="8" t="s">
        <v>634</v>
      </c>
      <c r="F209" s="1" t="s">
        <v>83</v>
      </c>
      <c r="I209" s="12">
        <v>3.2295285599999999</v>
      </c>
      <c r="J209" s="7">
        <v>9.2272244000000008</v>
      </c>
      <c r="L209" s="14">
        <v>2638</v>
      </c>
      <c r="N209" s="14">
        <v>8579.8225000000002</v>
      </c>
      <c r="O209" s="13">
        <v>36.57</v>
      </c>
      <c r="P209" s="13">
        <v>9.8766666999999995</v>
      </c>
      <c r="Q209" s="13">
        <v>55.07</v>
      </c>
      <c r="R209" s="13">
        <v>34.83</v>
      </c>
      <c r="S209" s="7">
        <v>22.61</v>
      </c>
      <c r="U209" s="13">
        <v>17.309999999999999</v>
      </c>
      <c r="V209" s="13">
        <v>1.85</v>
      </c>
      <c r="W209" s="7">
        <v>0.62116666700000001</v>
      </c>
      <c r="X209" s="13"/>
      <c r="Y209" s="13">
        <v>52.483333299999998</v>
      </c>
      <c r="Z209" s="7">
        <v>0.60476571000000001</v>
      </c>
      <c r="AA209" s="14">
        <v>2</v>
      </c>
      <c r="AB209" s="16">
        <f>AA209*33.334</f>
        <v>66.668000000000006</v>
      </c>
      <c r="AD209" s="16"/>
      <c r="AE209" s="1">
        <v>1</v>
      </c>
    </row>
    <row r="210" spans="1:31" x14ac:dyDescent="0.2">
      <c r="A210" s="1">
        <v>209</v>
      </c>
      <c r="B210" s="1">
        <v>2018</v>
      </c>
      <c r="C210" s="1" t="s">
        <v>31</v>
      </c>
      <c r="D210" s="28" t="s">
        <v>914</v>
      </c>
      <c r="E210" s="8" t="s">
        <v>416</v>
      </c>
      <c r="F210" s="1" t="s">
        <v>83</v>
      </c>
      <c r="G210" s="8">
        <v>118</v>
      </c>
      <c r="H210" s="1" t="s">
        <v>34</v>
      </c>
      <c r="I210" s="12">
        <v>6.2</v>
      </c>
      <c r="J210" s="3">
        <v>17.7</v>
      </c>
      <c r="L210" s="5">
        <v>2643.75</v>
      </c>
      <c r="N210" s="5">
        <v>16380.75</v>
      </c>
      <c r="O210" s="6">
        <v>42.414999999999999</v>
      </c>
      <c r="P210" s="18">
        <v>8.8175000000000008</v>
      </c>
      <c r="Q210" s="6">
        <v>42.7</v>
      </c>
      <c r="R210" s="6">
        <v>47.93</v>
      </c>
      <c r="S210" s="3"/>
      <c r="T210" s="6">
        <v>27.5</v>
      </c>
      <c r="U210" s="6">
        <v>32.042499999999997</v>
      </c>
      <c r="V210" s="6">
        <v>7.2925000000000004</v>
      </c>
      <c r="W210" s="3">
        <v>0.69845000000000002</v>
      </c>
      <c r="X210" s="6"/>
      <c r="Y210" s="6">
        <v>67.617500000000007</v>
      </c>
      <c r="Z210" s="3">
        <v>1.27006072</v>
      </c>
      <c r="AB210" s="16"/>
      <c r="AD210" s="16"/>
      <c r="AE210" s="1">
        <v>1</v>
      </c>
    </row>
    <row r="211" spans="1:31" x14ac:dyDescent="0.2">
      <c r="A211" s="1">
        <v>210</v>
      </c>
      <c r="B211" s="1">
        <v>2009</v>
      </c>
      <c r="C211" s="1" t="s">
        <v>88</v>
      </c>
      <c r="D211" s="1" t="s">
        <v>916</v>
      </c>
      <c r="E211" s="8" t="s">
        <v>93</v>
      </c>
      <c r="F211" s="1" t="s">
        <v>83</v>
      </c>
      <c r="H211" s="1" t="s">
        <v>34</v>
      </c>
      <c r="I211" s="12">
        <v>6.8</v>
      </c>
      <c r="J211" s="7">
        <v>19.399999999999999</v>
      </c>
      <c r="L211" s="14">
        <v>2645</v>
      </c>
      <c r="M211" s="14" t="s">
        <v>34</v>
      </c>
      <c r="N211" s="14">
        <v>17986</v>
      </c>
      <c r="O211" s="13">
        <v>28.7</v>
      </c>
      <c r="P211" s="13">
        <v>9.4</v>
      </c>
      <c r="Q211" s="13">
        <v>51.9</v>
      </c>
      <c r="R211" s="13">
        <v>54.8</v>
      </c>
      <c r="S211" s="13"/>
      <c r="T211" s="13">
        <v>35.1</v>
      </c>
      <c r="U211" s="13">
        <v>14.4</v>
      </c>
      <c r="V211" s="13">
        <v>2.1</v>
      </c>
      <c r="W211" s="12" t="s">
        <v>89</v>
      </c>
      <c r="X211" s="13">
        <v>76.5</v>
      </c>
      <c r="Y211" s="13">
        <v>61.4</v>
      </c>
      <c r="Z211" s="7">
        <v>1.93</v>
      </c>
      <c r="AA211" s="13">
        <v>1</v>
      </c>
      <c r="AB211" s="14">
        <v>10</v>
      </c>
      <c r="AC211" s="13">
        <v>1.3</v>
      </c>
      <c r="AD211" s="16">
        <f>AC211*10</f>
        <v>13</v>
      </c>
      <c r="AE211" s="1">
        <v>1</v>
      </c>
    </row>
    <row r="212" spans="1:31" x14ac:dyDescent="0.2">
      <c r="A212" s="1">
        <v>211</v>
      </c>
      <c r="B212" s="1">
        <v>2011</v>
      </c>
      <c r="C212" s="1" t="s">
        <v>88</v>
      </c>
      <c r="D212" s="8" t="s">
        <v>1023</v>
      </c>
      <c r="E212" s="8" t="s">
        <v>238</v>
      </c>
      <c r="F212" s="1" t="s">
        <v>83</v>
      </c>
      <c r="I212" s="12">
        <v>3.94</v>
      </c>
      <c r="J212" s="12">
        <v>15.060289363000001</v>
      </c>
      <c r="K212" s="13"/>
      <c r="L212" s="14">
        <v>2648</v>
      </c>
      <c r="M212" s="14"/>
      <c r="N212" s="14">
        <v>10467</v>
      </c>
      <c r="O212" s="13">
        <v>27.7</v>
      </c>
      <c r="P212" s="13">
        <v>7.9</v>
      </c>
      <c r="Q212" s="13">
        <v>57.2</v>
      </c>
      <c r="R212" s="13">
        <v>54.3</v>
      </c>
      <c r="T212" s="15"/>
      <c r="U212" s="13">
        <v>10.3</v>
      </c>
      <c r="V212" s="13">
        <v>1.4</v>
      </c>
      <c r="W212" s="12" t="s">
        <v>89</v>
      </c>
      <c r="X212" s="15" t="s">
        <v>89</v>
      </c>
      <c r="Y212" s="13">
        <v>61.3</v>
      </c>
      <c r="Z212" s="7">
        <v>1.22</v>
      </c>
      <c r="AA212" s="1">
        <v>1.8</v>
      </c>
      <c r="AB212" s="16">
        <f>AA212*10</f>
        <v>18</v>
      </c>
      <c r="AC212" s="1">
        <v>1.5</v>
      </c>
      <c r="AD212" s="16">
        <f>AC212*10</f>
        <v>15</v>
      </c>
      <c r="AE212" s="1">
        <v>1</v>
      </c>
    </row>
    <row r="213" spans="1:31" x14ac:dyDescent="0.2">
      <c r="A213" s="1">
        <v>212</v>
      </c>
      <c r="B213" s="1">
        <v>2013</v>
      </c>
      <c r="C213" s="1" t="s">
        <v>88</v>
      </c>
      <c r="D213" s="1" t="s">
        <v>916</v>
      </c>
      <c r="E213" s="8" t="s">
        <v>92</v>
      </c>
      <c r="F213" s="1" t="s">
        <v>32</v>
      </c>
      <c r="H213" s="1" t="s">
        <v>34</v>
      </c>
      <c r="I213" s="12">
        <v>8.57</v>
      </c>
      <c r="J213" s="7">
        <v>24.5</v>
      </c>
      <c r="K213" s="13"/>
      <c r="L213" s="14">
        <v>2648</v>
      </c>
      <c r="M213" s="14" t="s">
        <v>34</v>
      </c>
      <c r="N213" s="14">
        <v>22727</v>
      </c>
      <c r="O213" s="13">
        <v>34.299999999999997</v>
      </c>
      <c r="P213" s="13">
        <v>3.8</v>
      </c>
      <c r="Q213" s="13">
        <v>57.1</v>
      </c>
      <c r="R213" s="13">
        <v>47.3</v>
      </c>
      <c r="S213" s="13" t="s">
        <v>89</v>
      </c>
      <c r="T213" s="13"/>
      <c r="U213" s="13">
        <v>16.7</v>
      </c>
      <c r="V213" s="13">
        <v>0.4</v>
      </c>
      <c r="W213" s="7">
        <v>0.59</v>
      </c>
      <c r="X213" s="13">
        <v>69.900000000000006</v>
      </c>
      <c r="Y213" s="13">
        <v>57.7</v>
      </c>
      <c r="Z213" s="7">
        <v>2.31</v>
      </c>
      <c r="AA213" s="13">
        <v>2</v>
      </c>
      <c r="AB213" s="16">
        <f>AA213*10</f>
        <v>20</v>
      </c>
      <c r="AC213" s="13">
        <v>0</v>
      </c>
      <c r="AD213" s="16">
        <f>AC320*10</f>
        <v>0</v>
      </c>
      <c r="AE213" s="1">
        <v>1</v>
      </c>
    </row>
    <row r="214" spans="1:31" x14ac:dyDescent="0.2">
      <c r="A214" s="1">
        <v>213</v>
      </c>
      <c r="B214" s="1">
        <v>2009</v>
      </c>
      <c r="C214" s="1" t="s">
        <v>96</v>
      </c>
      <c r="D214" s="1" t="s">
        <v>916</v>
      </c>
      <c r="E214" s="8">
        <v>9010</v>
      </c>
      <c r="F214" s="1" t="s">
        <v>83</v>
      </c>
      <c r="I214" s="12">
        <v>5</v>
      </c>
      <c r="J214" s="7">
        <v>14.3</v>
      </c>
      <c r="K214" s="1" t="s">
        <v>34</v>
      </c>
      <c r="L214" s="14">
        <v>2650</v>
      </c>
      <c r="M214" s="14"/>
      <c r="N214" s="14">
        <v>13257</v>
      </c>
      <c r="O214" s="13">
        <v>26.5</v>
      </c>
      <c r="P214" s="13">
        <v>9.9</v>
      </c>
      <c r="Q214" s="13">
        <v>51.5</v>
      </c>
      <c r="R214" s="13">
        <v>47.4</v>
      </c>
      <c r="S214" s="13"/>
      <c r="T214" s="13">
        <v>36.799999999999997</v>
      </c>
      <c r="U214" s="13">
        <v>17</v>
      </c>
      <c r="V214" s="13">
        <v>3.1</v>
      </c>
      <c r="W214" s="12" t="s">
        <v>89</v>
      </c>
      <c r="X214" s="13">
        <v>72.900000000000006</v>
      </c>
      <c r="Y214" s="13">
        <v>60.2</v>
      </c>
      <c r="Z214" s="7">
        <v>1.22</v>
      </c>
      <c r="AA214" s="13">
        <v>1</v>
      </c>
      <c r="AB214" s="16">
        <v>10</v>
      </c>
      <c r="AC214" s="13">
        <v>1</v>
      </c>
      <c r="AD214" s="16">
        <f>AC214*10</f>
        <v>10</v>
      </c>
      <c r="AE214" s="1">
        <v>0</v>
      </c>
    </row>
    <row r="215" spans="1:31" x14ac:dyDescent="0.2">
      <c r="A215" s="1">
        <v>214</v>
      </c>
      <c r="B215" s="1">
        <v>2011</v>
      </c>
      <c r="C215" s="1" t="s">
        <v>88</v>
      </c>
      <c r="D215" s="8" t="s">
        <v>1023</v>
      </c>
      <c r="E215" s="8" t="s">
        <v>237</v>
      </c>
      <c r="F215" s="1" t="s">
        <v>32</v>
      </c>
      <c r="I215" s="12">
        <v>6.32</v>
      </c>
      <c r="J215" s="12">
        <v>23.671358939000001</v>
      </c>
      <c r="K215" s="13"/>
      <c r="L215" s="14">
        <v>2651</v>
      </c>
      <c r="M215" s="14"/>
      <c r="N215" s="14">
        <v>16883</v>
      </c>
      <c r="O215" s="13">
        <v>29.6</v>
      </c>
      <c r="P215" s="13">
        <v>8.1999999999999993</v>
      </c>
      <c r="Q215" s="13">
        <v>57.4</v>
      </c>
      <c r="R215" s="13">
        <v>56.7</v>
      </c>
      <c r="T215" s="15"/>
      <c r="U215" s="15" t="s">
        <v>89</v>
      </c>
      <c r="V215" s="13">
        <v>1.8</v>
      </c>
      <c r="W215" s="12" t="s">
        <v>89</v>
      </c>
      <c r="X215" s="15" t="s">
        <v>89</v>
      </c>
      <c r="Y215" s="13">
        <v>62.7</v>
      </c>
      <c r="Z215" s="7">
        <v>2.04</v>
      </c>
      <c r="AA215" s="1">
        <v>0</v>
      </c>
      <c r="AB215" s="16">
        <f>AA215*10</f>
        <v>0</v>
      </c>
      <c r="AC215" s="1">
        <v>1.1000000000000001</v>
      </c>
      <c r="AD215" s="16">
        <f>AC215*10</f>
        <v>11</v>
      </c>
      <c r="AE215" s="1">
        <v>1</v>
      </c>
    </row>
    <row r="216" spans="1:31" x14ac:dyDescent="0.2">
      <c r="A216" s="1">
        <v>215</v>
      </c>
      <c r="B216" s="1">
        <v>2016</v>
      </c>
      <c r="C216" s="1" t="s">
        <v>88</v>
      </c>
      <c r="D216" s="1" t="s">
        <v>459</v>
      </c>
      <c r="E216" s="1" t="s">
        <v>461</v>
      </c>
      <c r="F216" s="1" t="s">
        <v>83</v>
      </c>
      <c r="H216" s="1" t="s">
        <v>34</v>
      </c>
      <c r="I216" s="12">
        <v>7.2</v>
      </c>
      <c r="J216" s="3">
        <v>20.6</v>
      </c>
      <c r="L216" s="5">
        <v>2651.25</v>
      </c>
      <c r="N216" s="5">
        <v>19151.136699999999</v>
      </c>
      <c r="O216" s="6">
        <v>30.609652000000001</v>
      </c>
      <c r="P216" s="6">
        <v>4.6425000000000001</v>
      </c>
      <c r="Q216" s="6">
        <v>62.962499999999999</v>
      </c>
      <c r="R216" s="15">
        <v>44.202500000000001</v>
      </c>
      <c r="S216" s="6">
        <v>24.125</v>
      </c>
      <c r="T216" s="6"/>
      <c r="U216" s="6">
        <v>1.08</v>
      </c>
      <c r="V216" s="6">
        <v>16.3</v>
      </c>
      <c r="W216" s="3">
        <v>0.59747499999999998</v>
      </c>
      <c r="X216" s="6"/>
      <c r="Y216" s="15">
        <v>53.5625</v>
      </c>
      <c r="Z216" s="3">
        <v>1.9534969</v>
      </c>
      <c r="AA216" s="6">
        <v>4</v>
      </c>
      <c r="AB216" s="16">
        <f>AA216*10</f>
        <v>40</v>
      </c>
      <c r="AC216" s="6">
        <v>1</v>
      </c>
      <c r="AD216" s="16">
        <f>AC216*10</f>
        <v>10</v>
      </c>
      <c r="AE216" s="1">
        <v>1</v>
      </c>
    </row>
    <row r="217" spans="1:31" x14ac:dyDescent="0.2">
      <c r="A217" s="1">
        <v>216</v>
      </c>
      <c r="B217" s="1">
        <v>2021</v>
      </c>
      <c r="C217" s="1" t="s">
        <v>88</v>
      </c>
      <c r="D217" s="1" t="s">
        <v>246</v>
      </c>
      <c r="E217" s="1" t="s">
        <v>513</v>
      </c>
      <c r="F217" s="1" t="s">
        <v>83</v>
      </c>
      <c r="H217" s="1" t="s">
        <v>89</v>
      </c>
      <c r="I217" s="12">
        <v>6.6692740224860003</v>
      </c>
      <c r="J217" s="12">
        <v>19.055068636000001</v>
      </c>
      <c r="K217" s="1" t="s">
        <v>89</v>
      </c>
      <c r="L217" s="16">
        <v>2652.5</v>
      </c>
      <c r="N217" s="16">
        <v>17695.90952569</v>
      </c>
      <c r="O217" s="15">
        <v>30.0065718</v>
      </c>
      <c r="P217" s="15">
        <v>7.25</v>
      </c>
      <c r="Q217" s="15">
        <v>65.745000000000005</v>
      </c>
      <c r="R217" s="15">
        <v>58.164999999999999</v>
      </c>
      <c r="U217" s="15">
        <v>5.32</v>
      </c>
      <c r="V217" s="15">
        <v>7.65</v>
      </c>
      <c r="W217" s="12">
        <v>0.60020000000000007</v>
      </c>
      <c r="X217" s="15"/>
      <c r="Y217" s="15">
        <v>57.42</v>
      </c>
      <c r="Z217" s="12"/>
      <c r="AA217" s="15">
        <v>0.75</v>
      </c>
      <c r="AB217" s="16">
        <f>AA217*33.334</f>
        <v>25.000500000000002</v>
      </c>
      <c r="AC217" s="1">
        <v>2.25</v>
      </c>
      <c r="AD217" s="16">
        <f>AC217*33.334</f>
        <v>75.001500000000007</v>
      </c>
      <c r="AE217" s="1">
        <v>1</v>
      </c>
    </row>
    <row r="218" spans="1:31" x14ac:dyDescent="0.2">
      <c r="A218" s="1">
        <v>217</v>
      </c>
      <c r="B218" s="1">
        <v>2013</v>
      </c>
      <c r="C218" s="1" t="s">
        <v>96</v>
      </c>
      <c r="D218" s="8" t="s">
        <v>1023</v>
      </c>
      <c r="E218" s="8" t="s">
        <v>396</v>
      </c>
      <c r="F218" s="1" t="s">
        <v>83</v>
      </c>
      <c r="H218" s="1" t="s">
        <v>34</v>
      </c>
      <c r="I218" s="12">
        <v>9.26</v>
      </c>
      <c r="J218" s="7">
        <v>26.5</v>
      </c>
      <c r="K218" s="13" t="s">
        <v>34</v>
      </c>
      <c r="L218" s="14">
        <v>2653</v>
      </c>
      <c r="M218" s="14" t="s">
        <v>34</v>
      </c>
      <c r="N218" s="14">
        <v>24564</v>
      </c>
      <c r="O218" s="13">
        <v>26.6</v>
      </c>
      <c r="P218" s="13">
        <v>6.52</v>
      </c>
      <c r="Q218" s="13">
        <v>56.1</v>
      </c>
      <c r="R218" s="13">
        <v>50.3</v>
      </c>
      <c r="S218" s="13" t="s">
        <v>89</v>
      </c>
      <c r="T218" s="13"/>
      <c r="U218" s="13">
        <v>13.5</v>
      </c>
      <c r="V218" s="13">
        <v>1.52</v>
      </c>
      <c r="W218" s="7">
        <v>0.56000000000000005</v>
      </c>
      <c r="X218" s="13">
        <v>72.099999999999994</v>
      </c>
      <c r="Y218" s="13">
        <v>55</v>
      </c>
      <c r="Z218" s="7">
        <v>2.62</v>
      </c>
      <c r="AA218" s="13">
        <v>2.5</v>
      </c>
      <c r="AB218" s="16">
        <f>AA218*10</f>
        <v>25</v>
      </c>
      <c r="AC218" s="13">
        <v>2.2999999999999998</v>
      </c>
      <c r="AD218" s="16">
        <f>AC325*10</f>
        <v>0</v>
      </c>
      <c r="AE218" s="1">
        <v>0</v>
      </c>
    </row>
    <row r="219" spans="1:31" x14ac:dyDescent="0.2">
      <c r="A219" s="1">
        <v>218</v>
      </c>
      <c r="B219" s="1">
        <v>2013</v>
      </c>
      <c r="C219" s="1" t="s">
        <v>190</v>
      </c>
      <c r="D219" s="8" t="s">
        <v>391</v>
      </c>
      <c r="E219" s="8" t="s">
        <v>392</v>
      </c>
      <c r="F219" s="1" t="s">
        <v>32</v>
      </c>
      <c r="I219" s="12">
        <v>4.5199999999999996</v>
      </c>
      <c r="J219" s="7">
        <v>12.914285714285715</v>
      </c>
      <c r="K219" s="13"/>
      <c r="L219" s="14">
        <v>2655</v>
      </c>
      <c r="M219" s="14"/>
      <c r="N219" s="14">
        <v>11960</v>
      </c>
      <c r="O219" s="13">
        <v>31.2</v>
      </c>
      <c r="P219" s="13">
        <v>8.6</v>
      </c>
      <c r="Q219" s="13">
        <v>58.9</v>
      </c>
      <c r="R219" s="13">
        <v>46.7</v>
      </c>
      <c r="S219" s="13"/>
      <c r="T219" s="13"/>
      <c r="U219" s="13">
        <v>17.100000000000001</v>
      </c>
      <c r="V219" s="13">
        <v>2.09</v>
      </c>
      <c r="W219" s="7">
        <v>0.56000000000000005</v>
      </c>
      <c r="X219" s="13">
        <v>68.599999999999994</v>
      </c>
      <c r="Y219" s="13">
        <v>55.6</v>
      </c>
      <c r="Z219" s="7">
        <v>1.24</v>
      </c>
      <c r="AA219" s="13">
        <v>3.9</v>
      </c>
      <c r="AB219" s="16">
        <f>AA219*10</f>
        <v>39</v>
      </c>
      <c r="AC219" s="13">
        <v>0</v>
      </c>
      <c r="AD219" s="16">
        <f>AC326*10</f>
        <v>0</v>
      </c>
      <c r="AE219" s="1">
        <v>1</v>
      </c>
    </row>
    <row r="220" spans="1:31" x14ac:dyDescent="0.2">
      <c r="A220" s="1">
        <v>219</v>
      </c>
      <c r="B220" s="1">
        <v>2017</v>
      </c>
      <c r="C220" s="1" t="s">
        <v>88</v>
      </c>
      <c r="D220" s="1" t="s">
        <v>246</v>
      </c>
      <c r="E220" s="1" t="s">
        <v>644</v>
      </c>
      <c r="F220" s="1" t="s">
        <v>32</v>
      </c>
      <c r="I220" s="12">
        <v>6.1475362599999999</v>
      </c>
      <c r="J220" s="3">
        <v>17.564389299999998</v>
      </c>
      <c r="L220" s="5">
        <v>2657.75</v>
      </c>
      <c r="N220" s="5">
        <v>16322.0987</v>
      </c>
      <c r="O220" s="6">
        <v>28.931430599999999</v>
      </c>
      <c r="P220" s="6">
        <v>4.3049999999999997</v>
      </c>
      <c r="Q220" s="6">
        <v>60.222499999999997</v>
      </c>
      <c r="R220" s="15">
        <v>45.012500000000003</v>
      </c>
      <c r="S220" s="15">
        <v>20.8</v>
      </c>
      <c r="U220" s="6">
        <v>6.8849999999999998</v>
      </c>
      <c r="V220" s="6">
        <v>18</v>
      </c>
      <c r="W220" s="3">
        <v>0.59814999999999996</v>
      </c>
      <c r="X220" s="6"/>
      <c r="Y220" s="15">
        <v>54.292499999999997</v>
      </c>
      <c r="Z220" s="3">
        <v>1.6694124299999999</v>
      </c>
      <c r="AB220" s="16"/>
      <c r="AD220" s="16"/>
      <c r="AE220" s="1">
        <v>1</v>
      </c>
    </row>
    <row r="221" spans="1:31" x14ac:dyDescent="0.2">
      <c r="A221" s="1">
        <v>220</v>
      </c>
      <c r="B221" s="1">
        <v>2012</v>
      </c>
      <c r="C221" s="1" t="s">
        <v>96</v>
      </c>
      <c r="D221" s="8" t="s">
        <v>1023</v>
      </c>
      <c r="E221" s="8" t="s">
        <v>346</v>
      </c>
      <c r="F221" s="1" t="s">
        <v>83</v>
      </c>
      <c r="I221" s="12">
        <v>3.08</v>
      </c>
      <c r="J221" s="7">
        <v>8.8000000000000007</v>
      </c>
      <c r="K221" s="13"/>
      <c r="L221" s="14">
        <v>2658</v>
      </c>
      <c r="M221" s="14"/>
      <c r="N221" s="14">
        <v>8217</v>
      </c>
      <c r="O221" s="13">
        <v>28.5</v>
      </c>
      <c r="P221" s="13">
        <v>9.6999999999999993</v>
      </c>
      <c r="Q221" s="13">
        <v>58.5</v>
      </c>
      <c r="R221" s="13">
        <v>45.4</v>
      </c>
      <c r="S221" s="13"/>
      <c r="T221" s="13"/>
      <c r="U221" s="15"/>
      <c r="V221" s="13">
        <v>1.8</v>
      </c>
      <c r="W221" s="7">
        <v>0.59</v>
      </c>
      <c r="X221" s="13">
        <v>68</v>
      </c>
      <c r="Y221" s="15"/>
      <c r="Z221" s="7">
        <v>0.82</v>
      </c>
      <c r="AA221" s="7">
        <v>3.2</v>
      </c>
      <c r="AB221" s="16">
        <f>AA221*10</f>
        <v>32</v>
      </c>
      <c r="AC221" s="7">
        <v>0</v>
      </c>
      <c r="AD221" s="16">
        <f>AC221*10</f>
        <v>0</v>
      </c>
      <c r="AE221" s="1">
        <v>0</v>
      </c>
    </row>
    <row r="222" spans="1:31" x14ac:dyDescent="0.2">
      <c r="A222" s="1">
        <v>221</v>
      </c>
      <c r="B222" s="1">
        <v>2011</v>
      </c>
      <c r="C222" s="1" t="s">
        <v>88</v>
      </c>
      <c r="D222" s="1" t="s">
        <v>916</v>
      </c>
      <c r="E222" s="8" t="s">
        <v>93</v>
      </c>
      <c r="F222" s="1" t="s">
        <v>32</v>
      </c>
      <c r="I222" s="12">
        <v>8.5</v>
      </c>
      <c r="J222" s="12">
        <v>26</v>
      </c>
      <c r="K222" s="13"/>
      <c r="L222" s="14">
        <v>2658</v>
      </c>
      <c r="M222" s="14" t="s">
        <v>34</v>
      </c>
      <c r="N222" s="14">
        <v>22558</v>
      </c>
      <c r="O222" s="13">
        <v>29.4</v>
      </c>
      <c r="P222" s="13">
        <v>6.2</v>
      </c>
      <c r="Q222" s="13">
        <v>55.2</v>
      </c>
      <c r="R222" s="13">
        <v>53.6</v>
      </c>
      <c r="T222" s="15"/>
      <c r="U222" s="15" t="s">
        <v>89</v>
      </c>
      <c r="V222" s="13">
        <v>2.1</v>
      </c>
      <c r="W222" s="12" t="s">
        <v>89</v>
      </c>
      <c r="X222" s="15" t="s">
        <v>89</v>
      </c>
      <c r="Y222" s="13">
        <v>62.8</v>
      </c>
      <c r="Z222" s="7">
        <v>2.52</v>
      </c>
      <c r="AA222" s="1">
        <v>0.8</v>
      </c>
      <c r="AB222" s="16">
        <f>AA222*10</f>
        <v>8</v>
      </c>
      <c r="AC222" s="1">
        <v>1.3</v>
      </c>
      <c r="AD222" s="16">
        <f>AC222*10</f>
        <v>13</v>
      </c>
      <c r="AE222" s="1">
        <v>1</v>
      </c>
    </row>
    <row r="223" spans="1:31" x14ac:dyDescent="0.2">
      <c r="A223" s="1">
        <v>222</v>
      </c>
      <c r="B223" s="1">
        <v>2018</v>
      </c>
      <c r="C223" s="1" t="s">
        <v>31</v>
      </c>
      <c r="D223" s="8" t="s">
        <v>37</v>
      </c>
      <c r="E223" s="8" t="s">
        <v>621</v>
      </c>
      <c r="F223" s="1" t="s">
        <v>83</v>
      </c>
      <c r="G223" s="8">
        <v>118</v>
      </c>
      <c r="I223" s="12">
        <v>5.6610018699999998</v>
      </c>
      <c r="J223" s="3">
        <v>16.174291100000001</v>
      </c>
      <c r="L223" s="5">
        <v>2659.75</v>
      </c>
      <c r="N223" s="5">
        <v>15062</v>
      </c>
      <c r="O223" s="6">
        <v>43.157499999999999</v>
      </c>
      <c r="P223" s="18">
        <v>9.1950000000000003</v>
      </c>
      <c r="Q223" s="6">
        <v>42.122500000000002</v>
      </c>
      <c r="R223" s="6">
        <v>50.405000000000001</v>
      </c>
      <c r="S223" s="3"/>
      <c r="T223" s="6">
        <v>26.704999999999998</v>
      </c>
      <c r="U223" s="6">
        <v>32.405000000000001</v>
      </c>
      <c r="V223" s="6">
        <v>7.1150000000000002</v>
      </c>
      <c r="W223" s="3">
        <v>0.70577500000000004</v>
      </c>
      <c r="X223" s="6"/>
      <c r="Y223" s="6">
        <v>68.275000000000006</v>
      </c>
      <c r="Z223" s="3">
        <v>1.2012898700000001</v>
      </c>
      <c r="AB223" s="16"/>
      <c r="AD223" s="16"/>
      <c r="AE223" s="1">
        <v>1</v>
      </c>
    </row>
    <row r="224" spans="1:31" x14ac:dyDescent="0.2">
      <c r="A224" s="1">
        <v>223</v>
      </c>
      <c r="B224" s="1">
        <v>2018</v>
      </c>
      <c r="C224" s="1" t="s">
        <v>96</v>
      </c>
      <c r="D224" s="28" t="s">
        <v>914</v>
      </c>
      <c r="E224" s="8" t="s">
        <v>697</v>
      </c>
      <c r="F224" s="1" t="s">
        <v>83</v>
      </c>
      <c r="I224" s="12">
        <v>4.3204113199999998</v>
      </c>
      <c r="J224" s="7">
        <v>12.3440323</v>
      </c>
      <c r="K224" s="1" t="s">
        <v>34</v>
      </c>
      <c r="L224" s="14">
        <v>2660</v>
      </c>
      <c r="N224" s="14">
        <v>11505.1512</v>
      </c>
      <c r="O224" s="13">
        <v>30.747499999999999</v>
      </c>
      <c r="P224" s="13">
        <v>8.7449999999999992</v>
      </c>
      <c r="Q224" s="13">
        <v>61.3</v>
      </c>
      <c r="R224" s="13">
        <v>53.502499999999998</v>
      </c>
      <c r="S224" s="7">
        <v>16.297499999999999</v>
      </c>
      <c r="T224" s="15" t="s">
        <v>89</v>
      </c>
      <c r="U224" s="13">
        <v>1.5349999999999999</v>
      </c>
      <c r="V224" s="13">
        <v>12.06</v>
      </c>
      <c r="W224" s="7">
        <v>0.60822500000000002</v>
      </c>
      <c r="X224" s="13"/>
      <c r="Y224" s="13">
        <v>56.27</v>
      </c>
      <c r="Z224" s="7">
        <v>1.4153540600000001</v>
      </c>
      <c r="AA224" s="14">
        <v>1.25</v>
      </c>
      <c r="AB224" s="16">
        <f>AA224*33.334</f>
        <v>41.667500000000004</v>
      </c>
      <c r="AD224" s="16"/>
      <c r="AE224" s="1">
        <v>0</v>
      </c>
    </row>
    <row r="225" spans="1:31" x14ac:dyDescent="0.2">
      <c r="A225" s="1">
        <v>224</v>
      </c>
      <c r="B225" s="1">
        <v>2015</v>
      </c>
      <c r="C225" s="8" t="s">
        <v>88</v>
      </c>
      <c r="D225" s="8" t="s">
        <v>187</v>
      </c>
      <c r="E225" s="8" t="s">
        <v>458</v>
      </c>
      <c r="F225" s="1" t="s">
        <v>83</v>
      </c>
      <c r="I225" s="12">
        <v>4.22</v>
      </c>
      <c r="J225" s="7">
        <v>12.057142857142857</v>
      </c>
      <c r="L225" s="14">
        <v>2664</v>
      </c>
      <c r="N225" s="14">
        <v>11342</v>
      </c>
      <c r="O225" s="13">
        <v>28</v>
      </c>
      <c r="P225" s="13">
        <v>8.1</v>
      </c>
      <c r="Q225" s="13">
        <v>59.4</v>
      </c>
      <c r="R225" s="13">
        <v>42.4</v>
      </c>
      <c r="S225" s="8"/>
      <c r="T225" s="13" t="s">
        <v>89</v>
      </c>
      <c r="U225" s="13">
        <v>10.1</v>
      </c>
      <c r="V225" s="13">
        <v>10.5</v>
      </c>
      <c r="W225" s="7">
        <v>0.63</v>
      </c>
      <c r="X225" s="13"/>
      <c r="Y225" s="13">
        <v>53.8</v>
      </c>
      <c r="Z225" s="7">
        <v>1.06</v>
      </c>
      <c r="AA225" s="13">
        <v>3.2</v>
      </c>
      <c r="AB225" s="16">
        <f>AA225*10</f>
        <v>32</v>
      </c>
      <c r="AC225" s="13">
        <v>2.5</v>
      </c>
      <c r="AD225" s="16">
        <f>AC225*10</f>
        <v>25</v>
      </c>
      <c r="AE225" s="1">
        <v>1</v>
      </c>
    </row>
    <row r="226" spans="1:31" x14ac:dyDescent="0.2">
      <c r="A226" s="1">
        <v>225</v>
      </c>
      <c r="B226" s="1">
        <v>2014</v>
      </c>
      <c r="C226" s="1" t="s">
        <v>88</v>
      </c>
      <c r="D226" s="8" t="s">
        <v>187</v>
      </c>
      <c r="E226" s="8" t="s">
        <v>463</v>
      </c>
      <c r="F226" s="8" t="s">
        <v>83</v>
      </c>
      <c r="G226" s="8"/>
      <c r="H226" s="8"/>
      <c r="I226" s="12">
        <v>7.52</v>
      </c>
      <c r="J226" s="7">
        <v>21.485714285714302</v>
      </c>
      <c r="K226" s="13"/>
      <c r="L226" s="14">
        <v>2667</v>
      </c>
      <c r="M226" s="14"/>
      <c r="N226" s="14">
        <v>20255</v>
      </c>
      <c r="O226" s="13">
        <v>30</v>
      </c>
      <c r="P226" s="13">
        <v>8.4</v>
      </c>
      <c r="Q226" s="13">
        <v>55.1</v>
      </c>
      <c r="R226" s="13">
        <v>50.8</v>
      </c>
      <c r="S226" s="13"/>
      <c r="T226" s="13"/>
      <c r="U226" s="13">
        <v>16.600000000000001</v>
      </c>
      <c r="V226" s="13">
        <v>2.1</v>
      </c>
      <c r="W226" s="7">
        <v>0.59</v>
      </c>
      <c r="X226" s="15"/>
      <c r="Y226" s="13">
        <v>57.7</v>
      </c>
      <c r="Z226" s="7">
        <v>2.1</v>
      </c>
      <c r="AA226" s="14">
        <v>7.4</v>
      </c>
      <c r="AB226" s="16">
        <f>AA226*10</f>
        <v>74</v>
      </c>
      <c r="AC226" s="8">
        <v>3</v>
      </c>
      <c r="AD226" s="16">
        <f>AC226*10</f>
        <v>30</v>
      </c>
      <c r="AE226" s="1">
        <v>1</v>
      </c>
    </row>
    <row r="227" spans="1:31" x14ac:dyDescent="0.2">
      <c r="A227" s="1">
        <v>226</v>
      </c>
      <c r="B227" s="1">
        <v>2009</v>
      </c>
      <c r="C227" s="1" t="s">
        <v>88</v>
      </c>
      <c r="D227" s="1" t="s">
        <v>916</v>
      </c>
      <c r="E227" s="8" t="s">
        <v>144</v>
      </c>
      <c r="F227" s="1" t="s">
        <v>83</v>
      </c>
      <c r="I227" s="12">
        <v>5.65</v>
      </c>
      <c r="J227" s="7">
        <v>16.100000000000001</v>
      </c>
      <c r="L227" s="14">
        <v>2672</v>
      </c>
      <c r="N227" s="14">
        <v>15114</v>
      </c>
      <c r="O227" s="13">
        <v>27.7</v>
      </c>
      <c r="P227" s="13">
        <v>7.8</v>
      </c>
      <c r="Q227" s="13">
        <v>49.5</v>
      </c>
      <c r="R227" s="13">
        <v>46.6</v>
      </c>
      <c r="S227" s="13"/>
      <c r="T227" s="13">
        <v>34.1</v>
      </c>
      <c r="U227" s="13">
        <v>20.9</v>
      </c>
      <c r="V227" s="13">
        <v>3.1</v>
      </c>
      <c r="W227" s="12" t="s">
        <v>89</v>
      </c>
      <c r="X227" s="13">
        <v>73.599999999999994</v>
      </c>
      <c r="Y227" s="13">
        <v>61.9</v>
      </c>
      <c r="Z227" s="7">
        <v>1.3</v>
      </c>
      <c r="AA227" s="13">
        <v>1</v>
      </c>
      <c r="AB227" s="14">
        <v>10</v>
      </c>
      <c r="AC227" s="13">
        <v>9.3000000000000007</v>
      </c>
      <c r="AD227" s="16">
        <f>AC227*10</f>
        <v>93</v>
      </c>
      <c r="AE227" s="1">
        <v>1</v>
      </c>
    </row>
    <row r="228" spans="1:31" x14ac:dyDescent="0.2">
      <c r="A228" s="1">
        <v>227</v>
      </c>
      <c r="B228" s="1">
        <v>2012</v>
      </c>
      <c r="C228" s="1" t="s">
        <v>96</v>
      </c>
      <c r="D228" s="8" t="s">
        <v>1023</v>
      </c>
      <c r="E228" s="8">
        <v>6403</v>
      </c>
      <c r="F228" s="1" t="s">
        <v>32</v>
      </c>
      <c r="I228" s="12">
        <v>7.57</v>
      </c>
      <c r="J228" s="7">
        <v>21.628571428571401</v>
      </c>
      <c r="K228" s="13"/>
      <c r="L228" s="14">
        <v>2672</v>
      </c>
      <c r="M228" s="14"/>
      <c r="N228" s="14">
        <v>20230</v>
      </c>
      <c r="O228" s="13">
        <v>30.1</v>
      </c>
      <c r="P228" s="13">
        <v>8.4</v>
      </c>
      <c r="Q228" s="13">
        <v>55.4</v>
      </c>
      <c r="R228" s="13">
        <v>53.6</v>
      </c>
      <c r="S228" s="13"/>
      <c r="T228" s="13"/>
      <c r="U228" s="13">
        <v>14.8</v>
      </c>
      <c r="V228" s="13">
        <v>2.4</v>
      </c>
      <c r="W228" s="7">
        <v>0.66</v>
      </c>
      <c r="X228" s="15"/>
      <c r="Y228" s="15"/>
      <c r="Z228" s="7">
        <v>2.25</v>
      </c>
      <c r="AA228" s="7">
        <v>1</v>
      </c>
      <c r="AB228" s="16">
        <f>AA228*10</f>
        <v>10</v>
      </c>
      <c r="AC228" s="7">
        <v>0</v>
      </c>
      <c r="AD228" s="16">
        <f>AC228*10</f>
        <v>0</v>
      </c>
      <c r="AE228" s="1">
        <v>0</v>
      </c>
    </row>
    <row r="229" spans="1:31" x14ac:dyDescent="0.2">
      <c r="A229" s="1">
        <v>228</v>
      </c>
      <c r="B229" s="1">
        <v>2011</v>
      </c>
      <c r="C229" s="1" t="s">
        <v>88</v>
      </c>
      <c r="D229" s="8" t="s">
        <v>240</v>
      </c>
      <c r="E229" s="8" t="s">
        <v>244</v>
      </c>
      <c r="F229" s="1" t="s">
        <v>32</v>
      </c>
      <c r="I229" s="12">
        <v>7.76</v>
      </c>
      <c r="J229" s="12">
        <v>28.1</v>
      </c>
      <c r="K229" s="13"/>
      <c r="L229" s="14">
        <v>2675</v>
      </c>
      <c r="M229" s="14" t="s">
        <v>34</v>
      </c>
      <c r="N229" s="14">
        <v>20813</v>
      </c>
      <c r="O229" s="13">
        <v>33.1</v>
      </c>
      <c r="P229" s="13">
        <v>7.6</v>
      </c>
      <c r="Q229" s="13">
        <v>56.5</v>
      </c>
      <c r="R229" s="13">
        <v>54.2</v>
      </c>
      <c r="T229" s="15"/>
      <c r="U229" s="15" t="s">
        <v>89</v>
      </c>
      <c r="V229" s="13">
        <v>1.8</v>
      </c>
      <c r="W229" s="12" t="s">
        <v>89</v>
      </c>
      <c r="X229" s="15" t="s">
        <v>89</v>
      </c>
      <c r="Y229" s="13">
        <v>63.5</v>
      </c>
      <c r="Z229" s="7">
        <v>2.37</v>
      </c>
      <c r="AA229" s="1">
        <v>0</v>
      </c>
      <c r="AB229" s="16">
        <f>AA229*10</f>
        <v>0</v>
      </c>
      <c r="AC229" s="1">
        <v>0.3</v>
      </c>
      <c r="AD229" s="16">
        <f>AC229*10</f>
        <v>3</v>
      </c>
      <c r="AE229" s="1">
        <v>1</v>
      </c>
    </row>
    <row r="230" spans="1:31" x14ac:dyDescent="0.2">
      <c r="A230" s="1">
        <v>229</v>
      </c>
      <c r="B230" s="1">
        <v>2018</v>
      </c>
      <c r="C230" s="1" t="s">
        <v>88</v>
      </c>
      <c r="D230" s="8" t="s">
        <v>1023</v>
      </c>
      <c r="E230" s="8" t="s">
        <v>679</v>
      </c>
      <c r="F230" s="1" t="s">
        <v>83</v>
      </c>
      <c r="I230" s="12">
        <v>3.9311132299999998</v>
      </c>
      <c r="J230" s="7">
        <v>11.2317521</v>
      </c>
      <c r="L230" s="14">
        <v>2675.25</v>
      </c>
      <c r="N230" s="14">
        <v>10569.337600000001</v>
      </c>
      <c r="O230" s="13">
        <v>26.022500000000001</v>
      </c>
      <c r="P230" s="13">
        <v>10.6075</v>
      </c>
      <c r="Q230" s="13">
        <v>57.362499999999997</v>
      </c>
      <c r="R230" s="13">
        <v>52.73</v>
      </c>
      <c r="S230" s="7">
        <v>16.577500000000001</v>
      </c>
      <c r="U230" s="13">
        <v>4.1124999999999998</v>
      </c>
      <c r="V230" s="13">
        <v>10.2925</v>
      </c>
      <c r="W230" s="7">
        <v>0.60624999999999996</v>
      </c>
      <c r="X230" s="13"/>
      <c r="Y230" s="13">
        <v>56.6175</v>
      </c>
      <c r="Z230" s="7">
        <v>1.17718883</v>
      </c>
      <c r="AA230" s="14">
        <v>2</v>
      </c>
      <c r="AB230" s="16">
        <f>AA230*33.334</f>
        <v>66.668000000000006</v>
      </c>
      <c r="AD230" s="16"/>
      <c r="AE230" s="1">
        <v>1</v>
      </c>
    </row>
    <row r="231" spans="1:31" x14ac:dyDescent="0.2">
      <c r="A231" s="1">
        <v>230</v>
      </c>
      <c r="B231" s="1">
        <v>2014</v>
      </c>
      <c r="C231" s="1" t="s">
        <v>31</v>
      </c>
      <c r="D231" s="1" t="s">
        <v>71</v>
      </c>
      <c r="E231" s="1" t="s">
        <v>443</v>
      </c>
      <c r="F231" s="1" t="s">
        <v>83</v>
      </c>
      <c r="G231" s="1">
        <v>118</v>
      </c>
      <c r="I231" s="12">
        <v>5.34</v>
      </c>
      <c r="J231" s="12">
        <v>15.3</v>
      </c>
      <c r="L231" s="16">
        <v>2676</v>
      </c>
      <c r="N231" s="16">
        <v>14316</v>
      </c>
      <c r="O231" s="15">
        <v>32.4</v>
      </c>
      <c r="P231" s="15">
        <v>7.5</v>
      </c>
      <c r="Q231" s="15">
        <v>61.2</v>
      </c>
      <c r="R231" s="15">
        <v>56.6</v>
      </c>
      <c r="T231" s="15"/>
      <c r="U231" s="15">
        <v>12</v>
      </c>
      <c r="V231" s="15">
        <v>7.7</v>
      </c>
      <c r="W231" s="12">
        <v>0.63</v>
      </c>
      <c r="X231" s="15"/>
      <c r="Y231" s="15">
        <v>61.3</v>
      </c>
      <c r="Z231" s="12">
        <v>1.85</v>
      </c>
      <c r="AA231" s="1">
        <v>6</v>
      </c>
      <c r="AB231" s="16">
        <f>AA231*10</f>
        <v>60</v>
      </c>
      <c r="AD231" s="16"/>
      <c r="AE231" s="1">
        <v>1</v>
      </c>
    </row>
    <row r="232" spans="1:31" x14ac:dyDescent="0.2">
      <c r="A232" s="1">
        <v>231</v>
      </c>
      <c r="B232" s="1">
        <v>2016</v>
      </c>
      <c r="C232" s="1" t="s">
        <v>88</v>
      </c>
      <c r="D232" s="1" t="s">
        <v>246</v>
      </c>
      <c r="E232" s="1" t="s">
        <v>585</v>
      </c>
      <c r="F232" s="1" t="s">
        <v>83</v>
      </c>
      <c r="H232" s="1" t="s">
        <v>34</v>
      </c>
      <c r="I232" s="12">
        <v>7.2</v>
      </c>
      <c r="J232" s="3">
        <v>20.5</v>
      </c>
      <c r="L232" s="5">
        <v>2677</v>
      </c>
      <c r="N232" s="5">
        <v>19242.155699999999</v>
      </c>
      <c r="O232" s="6">
        <v>30.164603899999999</v>
      </c>
      <c r="P232" s="6">
        <v>8.4</v>
      </c>
      <c r="Q232" s="6">
        <v>62.3825</v>
      </c>
      <c r="R232" s="15">
        <v>50.752499999999998</v>
      </c>
      <c r="S232" s="6">
        <v>20</v>
      </c>
      <c r="T232" s="6"/>
      <c r="U232" s="6">
        <v>1.48</v>
      </c>
      <c r="V232" s="6">
        <v>15.8</v>
      </c>
      <c r="W232" s="3">
        <v>0.58229999999999993</v>
      </c>
      <c r="X232" s="6"/>
      <c r="Y232" s="15">
        <v>55.717500000000001</v>
      </c>
      <c r="Z232" s="3">
        <v>2.2000000000000002</v>
      </c>
      <c r="AA232" s="6">
        <v>2</v>
      </c>
      <c r="AB232" s="16">
        <f>AA232*10</f>
        <v>20</v>
      </c>
      <c r="AC232" s="6">
        <v>1.8</v>
      </c>
      <c r="AD232" s="16">
        <f>AC232*10</f>
        <v>18</v>
      </c>
      <c r="AE232" s="1">
        <v>1</v>
      </c>
    </row>
    <row r="233" spans="1:31" x14ac:dyDescent="0.2">
      <c r="A233" s="1">
        <v>232</v>
      </c>
      <c r="B233" s="1">
        <v>2014</v>
      </c>
      <c r="C233" s="1" t="s">
        <v>96</v>
      </c>
      <c r="D233" s="8" t="s">
        <v>187</v>
      </c>
      <c r="E233" s="8" t="s">
        <v>255</v>
      </c>
      <c r="F233" s="8" t="s">
        <v>32</v>
      </c>
      <c r="I233" s="12">
        <v>8.42</v>
      </c>
      <c r="J233" s="7">
        <v>39.9</v>
      </c>
      <c r="K233" s="13"/>
      <c r="L233" s="14">
        <v>2683</v>
      </c>
      <c r="M233" s="14" t="s">
        <v>34</v>
      </c>
      <c r="N233" s="14">
        <v>22858</v>
      </c>
      <c r="O233" s="13">
        <v>33.4</v>
      </c>
      <c r="P233" s="13">
        <v>6.4</v>
      </c>
      <c r="Q233" s="13">
        <v>58.5</v>
      </c>
      <c r="R233" s="13">
        <v>49.6</v>
      </c>
      <c r="T233" s="15"/>
      <c r="U233" s="13">
        <v>13.7</v>
      </c>
      <c r="V233" s="13">
        <v>0.9</v>
      </c>
      <c r="W233" s="7">
        <v>0.57999999999999996</v>
      </c>
      <c r="X233" s="15"/>
      <c r="Y233" s="13">
        <v>57.2</v>
      </c>
      <c r="Z233" s="7">
        <v>2.42</v>
      </c>
      <c r="AA233" s="13">
        <v>8.3000000000000007</v>
      </c>
      <c r="AB233" s="16">
        <f>AA233*10</f>
        <v>83</v>
      </c>
      <c r="AC233" s="8">
        <v>1.5</v>
      </c>
      <c r="AD233" s="16">
        <f>AC233*10</f>
        <v>15</v>
      </c>
      <c r="AE233" s="1">
        <v>0</v>
      </c>
    </row>
    <row r="234" spans="1:31" x14ac:dyDescent="0.2">
      <c r="A234" s="1">
        <v>233</v>
      </c>
      <c r="B234" s="1">
        <v>2016</v>
      </c>
      <c r="C234" s="1" t="s">
        <v>88</v>
      </c>
      <c r="D234" s="1" t="s">
        <v>1023</v>
      </c>
      <c r="E234" s="1" t="s">
        <v>338</v>
      </c>
      <c r="F234" s="1" t="s">
        <v>83</v>
      </c>
      <c r="I234" s="12">
        <v>5.1845325100000004</v>
      </c>
      <c r="J234" s="3">
        <v>14.812950000000001</v>
      </c>
      <c r="L234" s="5">
        <v>2683.5</v>
      </c>
      <c r="N234" s="5">
        <v>13919.9457</v>
      </c>
      <c r="O234" s="6">
        <v>30.770202399999999</v>
      </c>
      <c r="P234" s="6">
        <v>8.4</v>
      </c>
      <c r="Q234" s="6">
        <v>53.475000000000001</v>
      </c>
      <c r="R234" s="15">
        <v>33.805</v>
      </c>
      <c r="S234" s="6">
        <v>25.302499999999998</v>
      </c>
      <c r="T234" s="6"/>
      <c r="U234" s="6">
        <v>18.100000000000001</v>
      </c>
      <c r="V234" s="6">
        <v>8.0625</v>
      </c>
      <c r="W234" s="3">
        <v>0.61124999999999996</v>
      </c>
      <c r="X234" s="6"/>
      <c r="Y234" s="15">
        <v>53.064999999999998</v>
      </c>
      <c r="Z234" s="3">
        <v>0.91221236000000006</v>
      </c>
      <c r="AA234" s="6">
        <v>4.75</v>
      </c>
      <c r="AB234" s="16">
        <f>AA234*10</f>
        <v>47.5</v>
      </c>
      <c r="AC234" s="6">
        <v>4.75</v>
      </c>
      <c r="AD234" s="16">
        <f>AC234*10</f>
        <v>47.5</v>
      </c>
      <c r="AE234" s="1">
        <v>1</v>
      </c>
    </row>
    <row r="235" spans="1:31" x14ac:dyDescent="0.2">
      <c r="A235" s="1">
        <v>234</v>
      </c>
      <c r="B235" s="1">
        <v>2008</v>
      </c>
      <c r="C235" s="8" t="s">
        <v>88</v>
      </c>
      <c r="D235" s="1" t="s">
        <v>916</v>
      </c>
      <c r="E235" s="8" t="s">
        <v>93</v>
      </c>
      <c r="F235" s="8" t="s">
        <v>32</v>
      </c>
      <c r="G235" s="8"/>
      <c r="H235" s="8"/>
      <c r="I235" s="12">
        <v>7.8</v>
      </c>
      <c r="J235" s="7">
        <v>22.3</v>
      </c>
      <c r="K235" s="13"/>
      <c r="L235" s="14">
        <v>2684</v>
      </c>
      <c r="M235" s="14" t="s">
        <v>34</v>
      </c>
      <c r="N235" s="14">
        <v>20947</v>
      </c>
      <c r="O235" s="13">
        <v>26.1</v>
      </c>
      <c r="P235" s="13">
        <v>7.1</v>
      </c>
      <c r="Q235" s="13">
        <v>52.5</v>
      </c>
      <c r="R235" s="13">
        <v>49.5</v>
      </c>
      <c r="S235" s="13"/>
      <c r="T235" s="13"/>
      <c r="U235" s="13">
        <v>32.9</v>
      </c>
      <c r="V235" s="15" t="s">
        <v>89</v>
      </c>
      <c r="X235" s="15"/>
      <c r="Y235" s="13">
        <v>65.099999999999994</v>
      </c>
      <c r="Z235" s="7">
        <v>2.02</v>
      </c>
      <c r="AB235" s="16"/>
      <c r="AD235" s="16"/>
      <c r="AE235" s="1">
        <v>1</v>
      </c>
    </row>
    <row r="236" spans="1:31" x14ac:dyDescent="0.2">
      <c r="A236" s="1">
        <v>235</v>
      </c>
      <c r="B236" s="1">
        <v>2019</v>
      </c>
      <c r="C236" s="1" t="s">
        <v>96</v>
      </c>
      <c r="D236" s="28" t="s">
        <v>914</v>
      </c>
      <c r="E236" s="1" t="s">
        <v>751</v>
      </c>
      <c r="F236" s="1" t="s">
        <v>83</v>
      </c>
      <c r="H236" s="1" t="s">
        <v>34</v>
      </c>
      <c r="I236" s="12">
        <v>6.63</v>
      </c>
      <c r="J236" s="3">
        <v>18.899999999999999</v>
      </c>
      <c r="K236" s="1" t="s">
        <v>34</v>
      </c>
      <c r="L236" s="5">
        <v>2685</v>
      </c>
      <c r="M236" s="1" t="s">
        <v>34</v>
      </c>
      <c r="N236" s="5">
        <v>17793.8</v>
      </c>
      <c r="O236" s="6">
        <v>27.585000000000001</v>
      </c>
      <c r="P236" s="6">
        <v>8.18</v>
      </c>
      <c r="Q236" s="6">
        <v>57.25</v>
      </c>
      <c r="R236" s="6">
        <v>49.16</v>
      </c>
      <c r="S236" s="3"/>
      <c r="T236" s="6">
        <v>37.32</v>
      </c>
      <c r="U236" s="6">
        <v>4.3224999999999998</v>
      </c>
      <c r="V236" s="6">
        <v>13.4</v>
      </c>
      <c r="W236" s="3">
        <v>0.62190000000000001</v>
      </c>
      <c r="X236" s="6"/>
      <c r="Y236" s="6">
        <v>60.74</v>
      </c>
      <c r="Z236" s="3">
        <v>1.87</v>
      </c>
      <c r="AB236" s="16"/>
      <c r="AC236" s="4">
        <v>4</v>
      </c>
      <c r="AD236" s="16">
        <f>AC236*10</f>
        <v>40</v>
      </c>
      <c r="AE236" s="1">
        <v>0</v>
      </c>
    </row>
    <row r="237" spans="1:31" x14ac:dyDescent="0.2">
      <c r="A237" s="1">
        <v>236</v>
      </c>
      <c r="B237" s="1">
        <v>2018</v>
      </c>
      <c r="C237" s="1" t="s">
        <v>96</v>
      </c>
      <c r="D237" s="28" t="s">
        <v>914</v>
      </c>
      <c r="E237" s="1" t="s">
        <v>694</v>
      </c>
      <c r="F237" s="1" t="s">
        <v>32</v>
      </c>
      <c r="I237" s="12">
        <v>6.4261537689009502</v>
      </c>
      <c r="J237" s="12">
        <v>18.360439339717001</v>
      </c>
      <c r="L237" s="16">
        <v>2686.5</v>
      </c>
      <c r="N237" s="16">
        <v>17257.150582106799</v>
      </c>
      <c r="O237" s="15">
        <v>39.979999999999997</v>
      </c>
      <c r="P237" s="15">
        <v>8.0399999999999991</v>
      </c>
      <c r="Q237" s="15">
        <v>56.082500000000003</v>
      </c>
      <c r="R237" s="15">
        <v>42.202500000000001</v>
      </c>
      <c r="S237" s="12">
        <v>19.9725</v>
      </c>
      <c r="U237" s="15">
        <v>11.05</v>
      </c>
      <c r="V237" s="15">
        <v>9.1274999999999995</v>
      </c>
      <c r="W237" s="12">
        <v>0.59310000000000007</v>
      </c>
      <c r="X237" s="15"/>
      <c r="Y237" s="15">
        <v>54.282499999999999</v>
      </c>
      <c r="Z237" s="12">
        <v>0.68959670020152197</v>
      </c>
      <c r="AA237" s="16">
        <v>2</v>
      </c>
      <c r="AB237" s="16">
        <f>AA237*33.334</f>
        <v>66.668000000000006</v>
      </c>
      <c r="AC237" s="16">
        <v>0.25</v>
      </c>
      <c r="AD237" s="16">
        <f>AC237*33.334</f>
        <v>8.3335000000000008</v>
      </c>
      <c r="AE237" s="1">
        <v>0</v>
      </c>
    </row>
    <row r="238" spans="1:31" x14ac:dyDescent="0.2">
      <c r="A238" s="1">
        <v>237</v>
      </c>
      <c r="B238" s="1">
        <v>2013</v>
      </c>
      <c r="C238" s="1" t="s">
        <v>96</v>
      </c>
      <c r="D238" s="8" t="s">
        <v>1023</v>
      </c>
      <c r="E238" s="8" t="s">
        <v>397</v>
      </c>
      <c r="F238" s="1" t="s">
        <v>32</v>
      </c>
      <c r="I238" s="12">
        <v>5.3</v>
      </c>
      <c r="J238" s="7">
        <v>15.1428571428571</v>
      </c>
      <c r="K238" s="13"/>
      <c r="L238" s="14">
        <v>2687</v>
      </c>
      <c r="M238" s="14"/>
      <c r="N238" s="14">
        <v>14248</v>
      </c>
      <c r="O238" s="13">
        <v>29.8</v>
      </c>
      <c r="P238" s="13">
        <v>7.1</v>
      </c>
      <c r="Q238" s="13">
        <v>55</v>
      </c>
      <c r="R238" s="13">
        <v>48.1</v>
      </c>
      <c r="S238" s="13" t="s">
        <v>89</v>
      </c>
      <c r="T238" s="13"/>
      <c r="U238" s="13">
        <v>17.2</v>
      </c>
      <c r="V238" s="13">
        <v>2</v>
      </c>
      <c r="W238" s="7">
        <v>0.59</v>
      </c>
      <c r="X238" s="13">
        <v>71.5</v>
      </c>
      <c r="Y238" s="13">
        <v>58.3</v>
      </c>
      <c r="Z238" s="7">
        <v>1.4</v>
      </c>
      <c r="AA238" s="13">
        <v>1.3</v>
      </c>
      <c r="AB238" s="16">
        <f>AA238*10</f>
        <v>13</v>
      </c>
      <c r="AC238" s="13">
        <v>0</v>
      </c>
      <c r="AD238" s="16">
        <f>AC238*10</f>
        <v>0</v>
      </c>
      <c r="AE238" s="1">
        <v>0</v>
      </c>
    </row>
    <row r="239" spans="1:31" x14ac:dyDescent="0.2">
      <c r="A239" s="1">
        <v>238</v>
      </c>
      <c r="B239" s="1">
        <v>2008</v>
      </c>
      <c r="C239" s="1" t="s">
        <v>31</v>
      </c>
      <c r="D239" s="8" t="s">
        <v>67</v>
      </c>
      <c r="E239" s="8" t="s">
        <v>74</v>
      </c>
      <c r="F239" s="8" t="s">
        <v>32</v>
      </c>
      <c r="G239" s="8"/>
      <c r="H239" s="8"/>
      <c r="I239" s="12">
        <v>7.34</v>
      </c>
      <c r="J239" s="7">
        <v>31.2</v>
      </c>
      <c r="K239" s="13"/>
      <c r="L239" s="14">
        <v>2688</v>
      </c>
      <c r="M239" s="14"/>
      <c r="N239" s="14">
        <v>19726</v>
      </c>
      <c r="O239" s="13">
        <v>27</v>
      </c>
      <c r="P239" s="13">
        <v>8.6</v>
      </c>
      <c r="Q239" s="13">
        <v>61.9</v>
      </c>
      <c r="R239" s="13">
        <v>63.5</v>
      </c>
      <c r="S239" s="13"/>
      <c r="T239" s="13"/>
      <c r="U239" s="13">
        <v>5.7</v>
      </c>
      <c r="V239" s="13"/>
      <c r="W239" s="13"/>
      <c r="X239" s="15"/>
      <c r="Y239" s="13">
        <v>64.7</v>
      </c>
      <c r="Z239" s="7">
        <v>2.89</v>
      </c>
      <c r="AB239" s="16"/>
      <c r="AD239" s="16"/>
      <c r="AE239" s="1">
        <v>1</v>
      </c>
    </row>
    <row r="240" spans="1:31" x14ac:dyDescent="0.2">
      <c r="A240" s="1">
        <v>239</v>
      </c>
      <c r="B240" s="1">
        <v>2012</v>
      </c>
      <c r="C240" s="1" t="s">
        <v>96</v>
      </c>
      <c r="D240" s="8" t="s">
        <v>1023</v>
      </c>
      <c r="E240" s="8">
        <v>5201</v>
      </c>
      <c r="F240" s="1" t="s">
        <v>32</v>
      </c>
      <c r="I240" s="12">
        <v>8.0399999999999991</v>
      </c>
      <c r="J240" s="7">
        <v>22.9714285714286</v>
      </c>
      <c r="K240" s="13"/>
      <c r="L240" s="14">
        <v>2689</v>
      </c>
      <c r="M240" s="14" t="s">
        <v>34</v>
      </c>
      <c r="N240" s="14">
        <v>21613</v>
      </c>
      <c r="O240" s="13">
        <v>30</v>
      </c>
      <c r="P240" s="13">
        <v>8.9</v>
      </c>
      <c r="Q240" s="13">
        <v>52</v>
      </c>
      <c r="R240" s="13">
        <v>50.6</v>
      </c>
      <c r="S240" s="13"/>
      <c r="T240" s="13"/>
      <c r="U240" s="13">
        <v>17.7</v>
      </c>
      <c r="V240" s="13">
        <v>2.6</v>
      </c>
      <c r="W240" s="7">
        <v>0.65</v>
      </c>
      <c r="X240" s="15"/>
      <c r="Y240" s="15"/>
      <c r="Z240" s="7">
        <v>2.11</v>
      </c>
      <c r="AA240" s="7">
        <v>1</v>
      </c>
      <c r="AB240" s="16">
        <f>AA240*10</f>
        <v>10</v>
      </c>
      <c r="AC240" s="7">
        <v>0</v>
      </c>
      <c r="AD240" s="16">
        <f>AC240*10</f>
        <v>0</v>
      </c>
      <c r="AE240" s="1">
        <v>0</v>
      </c>
    </row>
    <row r="241" spans="1:31" x14ac:dyDescent="0.2">
      <c r="A241" s="1">
        <v>240</v>
      </c>
      <c r="B241" s="1">
        <v>2017</v>
      </c>
      <c r="C241" s="1" t="s">
        <v>96</v>
      </c>
      <c r="D241" s="28" t="s">
        <v>914</v>
      </c>
      <c r="E241" s="1" t="s">
        <v>647</v>
      </c>
      <c r="F241" s="1" t="s">
        <v>32</v>
      </c>
      <c r="I241" s="12">
        <v>6.18</v>
      </c>
      <c r="J241" s="3">
        <v>17.7</v>
      </c>
      <c r="L241" s="5">
        <v>2690</v>
      </c>
      <c r="M241" s="1" t="s">
        <v>34</v>
      </c>
      <c r="N241" s="5">
        <v>16596</v>
      </c>
      <c r="O241" s="6">
        <v>27.8</v>
      </c>
      <c r="P241" s="6">
        <v>4.03</v>
      </c>
      <c r="Q241" s="6">
        <v>68.3</v>
      </c>
      <c r="R241" s="6">
        <v>55.5</v>
      </c>
      <c r="S241" s="6">
        <v>19.600000000000001</v>
      </c>
      <c r="U241" s="15">
        <v>1.1000000000000001</v>
      </c>
      <c r="V241" s="15">
        <v>18.8</v>
      </c>
      <c r="W241" s="3">
        <v>0.58299999999999996</v>
      </c>
      <c r="X241" s="6"/>
      <c r="Y241" s="6">
        <v>56.9</v>
      </c>
      <c r="Z241" s="3">
        <v>2.2999999999999998</v>
      </c>
      <c r="AB241" s="16"/>
      <c r="AD241" s="16"/>
      <c r="AE241" s="1">
        <v>0</v>
      </c>
    </row>
    <row r="242" spans="1:31" x14ac:dyDescent="0.2">
      <c r="A242" s="1">
        <v>241</v>
      </c>
      <c r="B242" s="1">
        <v>2017</v>
      </c>
      <c r="C242" s="1" t="s">
        <v>96</v>
      </c>
      <c r="D242" s="1" t="s">
        <v>187</v>
      </c>
      <c r="E242" s="1" t="s">
        <v>521</v>
      </c>
      <c r="F242" s="1" t="s">
        <v>32</v>
      </c>
      <c r="I242" s="12">
        <v>6.44</v>
      </c>
      <c r="J242" s="3">
        <v>18.399999999999999</v>
      </c>
      <c r="L242" s="5">
        <v>2691</v>
      </c>
      <c r="M242" s="1" t="s">
        <v>34</v>
      </c>
      <c r="N242" s="5">
        <v>17312</v>
      </c>
      <c r="O242" s="6">
        <v>28.7</v>
      </c>
      <c r="P242" s="6">
        <v>3.9</v>
      </c>
      <c r="Q242" s="6">
        <v>70.7</v>
      </c>
      <c r="R242" s="6">
        <v>57.6</v>
      </c>
      <c r="S242" s="6">
        <v>19.8</v>
      </c>
      <c r="U242" s="15">
        <v>0.4</v>
      </c>
      <c r="V242" s="15">
        <v>18.2</v>
      </c>
      <c r="W242" s="3">
        <v>0.58099999999999996</v>
      </c>
      <c r="X242" s="6"/>
      <c r="Y242" s="6">
        <v>57.5</v>
      </c>
      <c r="Z242" s="3">
        <v>2.6</v>
      </c>
      <c r="AB242" s="16"/>
      <c r="AD242" s="16"/>
      <c r="AE242" s="1">
        <v>0</v>
      </c>
    </row>
    <row r="243" spans="1:31" x14ac:dyDescent="0.2">
      <c r="A243" s="1">
        <v>242</v>
      </c>
      <c r="B243" s="1">
        <v>2008</v>
      </c>
      <c r="C243" s="1" t="s">
        <v>31</v>
      </c>
      <c r="D243" s="8" t="s">
        <v>35</v>
      </c>
      <c r="E243" s="8">
        <v>9938</v>
      </c>
      <c r="F243" s="8" t="s">
        <v>83</v>
      </c>
      <c r="G243" s="8"/>
      <c r="H243" s="8"/>
      <c r="I243" s="12">
        <v>4.66</v>
      </c>
      <c r="J243" s="7">
        <v>13.314285714285715</v>
      </c>
      <c r="K243" s="13"/>
      <c r="L243" s="14">
        <v>2692</v>
      </c>
      <c r="M243" s="14"/>
      <c r="N243" s="14">
        <v>12541</v>
      </c>
      <c r="O243" s="13">
        <v>33.799999999999997</v>
      </c>
      <c r="P243" s="13">
        <v>8.4</v>
      </c>
      <c r="Q243" s="13">
        <v>43</v>
      </c>
      <c r="R243" s="13">
        <v>28.8</v>
      </c>
      <c r="S243" s="13"/>
      <c r="T243" s="13">
        <v>20.2</v>
      </c>
      <c r="U243" s="13">
        <v>27.6</v>
      </c>
      <c r="V243" s="15"/>
      <c r="X243" s="15"/>
      <c r="Y243" s="13">
        <v>61.2</v>
      </c>
      <c r="Z243" s="7">
        <v>0.56000000000000005</v>
      </c>
      <c r="AB243" s="16"/>
      <c r="AD243" s="16"/>
      <c r="AE243" s="1">
        <v>1</v>
      </c>
    </row>
    <row r="244" spans="1:31" ht="17" x14ac:dyDescent="0.2">
      <c r="A244" s="1">
        <v>243</v>
      </c>
      <c r="B244" s="1">
        <v>2018</v>
      </c>
      <c r="C244" s="1" t="s">
        <v>31</v>
      </c>
      <c r="D244" s="1" t="s">
        <v>916</v>
      </c>
      <c r="E244" s="8" t="s">
        <v>655</v>
      </c>
      <c r="F244" s="1" t="s">
        <v>83</v>
      </c>
      <c r="G244" s="8">
        <v>118</v>
      </c>
      <c r="H244" s="1" t="s">
        <v>34</v>
      </c>
      <c r="I244" s="12">
        <v>6.3</v>
      </c>
      <c r="J244" s="3">
        <v>18</v>
      </c>
      <c r="L244" s="5">
        <v>2692.5</v>
      </c>
      <c r="M244" s="6" t="s">
        <v>34</v>
      </c>
      <c r="N244" s="5">
        <v>16915</v>
      </c>
      <c r="O244" s="6">
        <v>48.7</v>
      </c>
      <c r="P244" s="18">
        <v>8.2550000000000008</v>
      </c>
      <c r="Q244" s="6">
        <v>38.452500000000001</v>
      </c>
      <c r="R244" s="6">
        <v>49.41</v>
      </c>
      <c r="S244" s="3"/>
      <c r="T244" s="6">
        <v>24.157499999999999</v>
      </c>
      <c r="U244" s="6">
        <v>38.6</v>
      </c>
      <c r="V244" s="6">
        <v>7.1749999999999998</v>
      </c>
      <c r="W244" s="3">
        <v>0.73499999999999999</v>
      </c>
      <c r="X244" s="6"/>
      <c r="Y244" s="6">
        <v>70.900000000000006</v>
      </c>
      <c r="Z244" s="3">
        <v>1.2090221299999999</v>
      </c>
      <c r="AB244" s="16"/>
      <c r="AD244" s="16"/>
      <c r="AE244" s="1">
        <v>1</v>
      </c>
    </row>
    <row r="245" spans="1:31" x14ac:dyDescent="0.2">
      <c r="A245" s="1">
        <v>244</v>
      </c>
      <c r="B245" s="1">
        <v>2018</v>
      </c>
      <c r="C245" s="1" t="s">
        <v>31</v>
      </c>
      <c r="D245" s="8" t="s">
        <v>402</v>
      </c>
      <c r="E245" s="8" t="s">
        <v>605</v>
      </c>
      <c r="F245" s="1" t="s">
        <v>83</v>
      </c>
      <c r="G245" s="8">
        <v>118</v>
      </c>
      <c r="I245" s="12">
        <v>5.5635797299999998</v>
      </c>
      <c r="J245" s="3">
        <v>15.895942099999999</v>
      </c>
      <c r="L245" s="5">
        <v>2696.25</v>
      </c>
      <c r="N245" s="5">
        <v>14980.75</v>
      </c>
      <c r="O245" s="6">
        <v>43.8</v>
      </c>
      <c r="P245" s="18">
        <v>8.4425000000000008</v>
      </c>
      <c r="Q245" s="6">
        <v>42.18</v>
      </c>
      <c r="R245" s="6">
        <v>51.827500000000001</v>
      </c>
      <c r="S245" s="3"/>
      <c r="T245" s="6">
        <v>25.6</v>
      </c>
      <c r="U245" s="6">
        <v>34.1325</v>
      </c>
      <c r="V245" s="6">
        <v>6.5949999999999998</v>
      </c>
      <c r="W245" s="3">
        <v>0.71635000000000004</v>
      </c>
      <c r="X245" s="6"/>
      <c r="Y245" s="6">
        <v>69.222499999999997</v>
      </c>
      <c r="Z245" s="3">
        <v>1.2092518400000001</v>
      </c>
      <c r="AB245" s="16"/>
      <c r="AD245" s="16"/>
      <c r="AE245" s="1">
        <v>1</v>
      </c>
    </row>
    <row r="246" spans="1:31" x14ac:dyDescent="0.2">
      <c r="A246" s="1">
        <v>245</v>
      </c>
      <c r="B246" s="1">
        <v>2013</v>
      </c>
      <c r="C246" s="1" t="s">
        <v>88</v>
      </c>
      <c r="D246" s="1" t="s">
        <v>916</v>
      </c>
      <c r="E246" s="8" t="s">
        <v>389</v>
      </c>
      <c r="F246" s="1" t="s">
        <v>83</v>
      </c>
      <c r="I246" s="12">
        <v>5.42</v>
      </c>
      <c r="J246" s="7">
        <v>15.4857142857143</v>
      </c>
      <c r="K246" s="13"/>
      <c r="L246" s="14">
        <v>2699</v>
      </c>
      <c r="M246" s="14"/>
      <c r="N246" s="14">
        <v>14653</v>
      </c>
      <c r="O246" s="13">
        <v>28</v>
      </c>
      <c r="P246" s="13">
        <v>6</v>
      </c>
      <c r="Q246" s="13">
        <v>62.5</v>
      </c>
      <c r="R246" s="13">
        <v>53.9</v>
      </c>
      <c r="S246" s="13"/>
      <c r="T246" s="13"/>
      <c r="U246" s="13">
        <v>6</v>
      </c>
      <c r="V246" s="13">
        <v>0.6</v>
      </c>
      <c r="W246" s="7">
        <v>0.56000000000000005</v>
      </c>
      <c r="X246" s="13">
        <v>71.2</v>
      </c>
      <c r="Y246" s="13">
        <v>55.5</v>
      </c>
      <c r="Z246" s="7">
        <v>1.82</v>
      </c>
      <c r="AA246" s="13">
        <v>1.6</v>
      </c>
      <c r="AB246" s="16">
        <f>AA246*10</f>
        <v>16</v>
      </c>
      <c r="AC246" s="13">
        <v>1</v>
      </c>
      <c r="AD246" s="16">
        <f>AC246*10</f>
        <v>10</v>
      </c>
      <c r="AE246" s="1">
        <v>1</v>
      </c>
    </row>
    <row r="247" spans="1:31" ht="17" x14ac:dyDescent="0.2">
      <c r="A247" s="1">
        <v>246</v>
      </c>
      <c r="B247" s="1">
        <v>2018</v>
      </c>
      <c r="C247" s="1" t="s">
        <v>31</v>
      </c>
      <c r="D247" s="28" t="s">
        <v>914</v>
      </c>
      <c r="E247" s="8" t="s">
        <v>482</v>
      </c>
      <c r="F247" s="1" t="s">
        <v>83</v>
      </c>
      <c r="G247" s="8">
        <v>118</v>
      </c>
      <c r="H247" s="1" t="s">
        <v>34</v>
      </c>
      <c r="I247" s="12">
        <v>6.4</v>
      </c>
      <c r="J247" s="3">
        <v>18.2</v>
      </c>
      <c r="L247" s="5">
        <v>2700.5</v>
      </c>
      <c r="M247" s="6" t="s">
        <v>34</v>
      </c>
      <c r="N247" s="5">
        <v>17228</v>
      </c>
      <c r="O247" s="6">
        <v>47.4</v>
      </c>
      <c r="P247" s="18">
        <v>8.6925000000000008</v>
      </c>
      <c r="Q247" s="6">
        <v>37.715000000000003</v>
      </c>
      <c r="R247" s="6">
        <v>49.282499999999999</v>
      </c>
      <c r="S247" s="3"/>
      <c r="T247" s="6">
        <v>23.4725</v>
      </c>
      <c r="U247" s="6">
        <v>38.6</v>
      </c>
      <c r="V247" s="6">
        <v>6.71</v>
      </c>
      <c r="W247" s="3">
        <v>0.73199999999999998</v>
      </c>
      <c r="X247" s="6"/>
      <c r="Y247" s="6">
        <v>70.7</v>
      </c>
      <c r="Z247" s="3">
        <v>1.1875313300000001</v>
      </c>
      <c r="AB247" s="16"/>
      <c r="AD247" s="16"/>
      <c r="AE247" s="1">
        <v>1</v>
      </c>
    </row>
    <row r="248" spans="1:31" ht="17" x14ac:dyDescent="0.2">
      <c r="A248" s="1">
        <v>247</v>
      </c>
      <c r="B248" s="1">
        <v>2018</v>
      </c>
      <c r="C248" s="1" t="s">
        <v>31</v>
      </c>
      <c r="D248" s="8" t="s">
        <v>391</v>
      </c>
      <c r="E248" s="8" t="s">
        <v>622</v>
      </c>
      <c r="F248" s="1" t="s">
        <v>83</v>
      </c>
      <c r="G248" s="8">
        <v>118</v>
      </c>
      <c r="H248" s="1" t="s">
        <v>34</v>
      </c>
      <c r="I248" s="12">
        <v>6.6</v>
      </c>
      <c r="J248" s="3">
        <v>19</v>
      </c>
      <c r="L248" s="5">
        <v>2700.75</v>
      </c>
      <c r="M248" s="6" t="s">
        <v>34</v>
      </c>
      <c r="N248" s="5">
        <v>17925</v>
      </c>
      <c r="O248" s="6">
        <v>44.3</v>
      </c>
      <c r="P248" s="18">
        <v>9.6999999999999993</v>
      </c>
      <c r="Q248" s="6">
        <v>43.8</v>
      </c>
      <c r="R248" s="6">
        <v>52.7</v>
      </c>
      <c r="S248" s="3"/>
      <c r="T248" s="6">
        <v>27.002500000000001</v>
      </c>
      <c r="U248" s="6">
        <v>29.3475</v>
      </c>
      <c r="V248" s="6">
        <v>7.4424999999999999</v>
      </c>
      <c r="W248" s="3">
        <v>0.69614999999999994</v>
      </c>
      <c r="X248" s="6"/>
      <c r="Y248" s="6">
        <v>67.407499999999999</v>
      </c>
      <c r="Z248" s="3">
        <v>1.51</v>
      </c>
      <c r="AB248" s="16"/>
      <c r="AD248" s="16"/>
      <c r="AE248" s="1">
        <v>1</v>
      </c>
    </row>
    <row r="249" spans="1:31" ht="17" x14ac:dyDescent="0.2">
      <c r="A249" s="1">
        <v>248</v>
      </c>
      <c r="B249" s="1">
        <v>2019</v>
      </c>
      <c r="C249" s="1" t="s">
        <v>88</v>
      </c>
      <c r="D249" s="8" t="s">
        <v>1023</v>
      </c>
      <c r="E249" s="8" t="s">
        <v>734</v>
      </c>
      <c r="F249" s="1" t="s">
        <v>32</v>
      </c>
      <c r="H249" s="1" t="s">
        <v>34</v>
      </c>
      <c r="I249" s="12">
        <v>8.6999999999999993</v>
      </c>
      <c r="J249" s="3">
        <v>24.8</v>
      </c>
      <c r="L249" s="5">
        <v>2702.75</v>
      </c>
      <c r="M249" s="6" t="s">
        <v>34</v>
      </c>
      <c r="N249" s="5">
        <v>23437.3</v>
      </c>
      <c r="O249" s="6">
        <v>34.4</v>
      </c>
      <c r="P249" s="6">
        <v>6.5425000000000004</v>
      </c>
      <c r="Q249" s="6">
        <v>51.982500000000002</v>
      </c>
      <c r="R249" s="6">
        <v>35.274999999999999</v>
      </c>
      <c r="S249" s="3"/>
      <c r="T249" s="6">
        <v>34.4925</v>
      </c>
      <c r="U249" s="6">
        <v>17.739999999999998</v>
      </c>
      <c r="V249" s="6">
        <v>16.46</v>
      </c>
      <c r="W249" s="3">
        <v>0.65015000000000001</v>
      </c>
      <c r="X249" s="6"/>
      <c r="Y249" s="6">
        <v>53.68</v>
      </c>
      <c r="Z249" s="3">
        <v>1.59</v>
      </c>
      <c r="AB249" s="16"/>
      <c r="AC249" s="6">
        <v>0</v>
      </c>
      <c r="AD249" s="16">
        <f>AC249*10</f>
        <v>0</v>
      </c>
      <c r="AE249" s="1">
        <v>1</v>
      </c>
    </row>
    <row r="250" spans="1:31" x14ac:dyDescent="0.2">
      <c r="A250" s="1">
        <v>249</v>
      </c>
      <c r="B250" s="1">
        <v>2014</v>
      </c>
      <c r="C250" s="1" t="s">
        <v>96</v>
      </c>
      <c r="D250" s="8" t="s">
        <v>187</v>
      </c>
      <c r="E250" s="8" t="s">
        <v>466</v>
      </c>
      <c r="F250" s="8" t="s">
        <v>32</v>
      </c>
      <c r="I250" s="12">
        <v>7.42</v>
      </c>
      <c r="J250" s="7">
        <v>21.2</v>
      </c>
      <c r="K250" s="13"/>
      <c r="L250" s="14">
        <v>2705</v>
      </c>
      <c r="M250" s="14" t="s">
        <v>34</v>
      </c>
      <c r="N250" s="14">
        <v>20126</v>
      </c>
      <c r="O250" s="13">
        <v>31</v>
      </c>
      <c r="P250" s="13">
        <v>9.1999999999999993</v>
      </c>
      <c r="Q250" s="13">
        <v>53.3</v>
      </c>
      <c r="R250" s="13">
        <v>43.4</v>
      </c>
      <c r="T250" s="15"/>
      <c r="U250" s="13">
        <v>20</v>
      </c>
      <c r="V250" s="13">
        <v>1.9</v>
      </c>
      <c r="W250" s="7">
        <v>0.59</v>
      </c>
      <c r="X250" s="15"/>
      <c r="Y250" s="13">
        <v>57.9</v>
      </c>
      <c r="Z250" s="7">
        <v>1.71</v>
      </c>
      <c r="AA250" s="13">
        <v>1</v>
      </c>
      <c r="AB250" s="16">
        <f>AA250*10</f>
        <v>10</v>
      </c>
      <c r="AC250" s="8">
        <v>0.8</v>
      </c>
      <c r="AD250" s="16">
        <f>AC250*10</f>
        <v>8</v>
      </c>
      <c r="AE250" s="1">
        <v>0</v>
      </c>
    </row>
    <row r="251" spans="1:31" x14ac:dyDescent="0.2">
      <c r="A251" s="1">
        <v>250</v>
      </c>
      <c r="B251" s="1">
        <v>2008</v>
      </c>
      <c r="C251" s="8" t="s">
        <v>96</v>
      </c>
      <c r="D251" s="8" t="s">
        <v>90</v>
      </c>
      <c r="E251" s="8" t="s">
        <v>97</v>
      </c>
      <c r="F251" s="8" t="s">
        <v>32</v>
      </c>
      <c r="G251" s="8"/>
      <c r="H251" s="8"/>
      <c r="I251" s="12">
        <v>6.83</v>
      </c>
      <c r="J251" s="7">
        <v>19.5</v>
      </c>
      <c r="K251" s="13"/>
      <c r="L251" s="14">
        <v>2706</v>
      </c>
      <c r="M251" s="14"/>
      <c r="N251" s="14">
        <v>18486</v>
      </c>
      <c r="O251" s="13">
        <v>28.6</v>
      </c>
      <c r="P251" s="13">
        <v>7.9</v>
      </c>
      <c r="Q251" s="13">
        <v>55.7</v>
      </c>
      <c r="R251" s="13">
        <v>55.5</v>
      </c>
      <c r="S251" s="13"/>
      <c r="T251" s="13"/>
      <c r="U251" s="13">
        <v>33.5</v>
      </c>
      <c r="V251" s="15" t="s">
        <v>89</v>
      </c>
      <c r="X251" s="15"/>
      <c r="Y251" s="13">
        <v>64.400000000000006</v>
      </c>
      <c r="Z251" s="7">
        <v>2.11</v>
      </c>
      <c r="AB251" s="16"/>
      <c r="AD251" s="16"/>
      <c r="AE251" s="1">
        <v>0</v>
      </c>
    </row>
    <row r="252" spans="1:31" x14ac:dyDescent="0.2">
      <c r="A252" s="1">
        <v>251</v>
      </c>
      <c r="B252" s="1">
        <v>2020</v>
      </c>
      <c r="C252" s="1" t="s">
        <v>88</v>
      </c>
      <c r="D252" s="28" t="s">
        <v>914</v>
      </c>
      <c r="E252" s="1" t="s">
        <v>791</v>
      </c>
      <c r="F252" s="1" t="s">
        <v>83</v>
      </c>
      <c r="I252" s="12">
        <v>5.1335777095254995</v>
      </c>
      <c r="J252" s="12">
        <v>14.667364883999999</v>
      </c>
      <c r="K252" s="1" t="s">
        <v>34</v>
      </c>
      <c r="L252" s="16">
        <v>2714.540835799</v>
      </c>
      <c r="N252" s="16">
        <v>13884.500453544</v>
      </c>
      <c r="O252" s="10">
        <v>28.5464971</v>
      </c>
      <c r="P252" s="15">
        <v>8.4625000000000004</v>
      </c>
      <c r="Q252" s="15">
        <v>63.38</v>
      </c>
      <c r="R252" s="15">
        <v>24.072500000000002</v>
      </c>
      <c r="S252" s="15"/>
      <c r="T252" s="15">
        <v>35.427500000000002</v>
      </c>
      <c r="U252" s="15">
        <v>11.4825</v>
      </c>
      <c r="V252" s="15">
        <v>5.8049999999999997</v>
      </c>
      <c r="W252" s="12">
        <v>0.60494258099999998</v>
      </c>
      <c r="X252" s="15"/>
      <c r="Y252" s="15">
        <v>65.621333621999995</v>
      </c>
      <c r="Z252" s="12"/>
      <c r="AA252" s="15">
        <v>2</v>
      </c>
      <c r="AB252" s="16">
        <f>AA252*33.334</f>
        <v>66.668000000000006</v>
      </c>
      <c r="AC252" s="1">
        <v>0</v>
      </c>
      <c r="AD252" s="16">
        <f>AC252*33.334</f>
        <v>0</v>
      </c>
      <c r="AE252" s="1">
        <v>1</v>
      </c>
    </row>
    <row r="253" spans="1:31" x14ac:dyDescent="0.2">
      <c r="A253" s="1">
        <v>252</v>
      </c>
      <c r="B253" s="1">
        <v>2015</v>
      </c>
      <c r="C253" s="8" t="s">
        <v>96</v>
      </c>
      <c r="D253" s="8" t="s">
        <v>874</v>
      </c>
      <c r="E253" s="8" t="s">
        <v>519</v>
      </c>
      <c r="F253" s="1" t="s">
        <v>83</v>
      </c>
      <c r="I253" s="12">
        <v>6.05</v>
      </c>
      <c r="J253" s="7">
        <v>17.285714285714285</v>
      </c>
      <c r="L253" s="14">
        <v>2719</v>
      </c>
      <c r="N253" s="14">
        <v>16425</v>
      </c>
      <c r="O253" s="13">
        <v>28.2</v>
      </c>
      <c r="P253" s="13">
        <v>8.4</v>
      </c>
      <c r="Q253" s="13">
        <v>62.7</v>
      </c>
      <c r="R253" s="13">
        <v>54.2</v>
      </c>
      <c r="S253" s="8"/>
      <c r="T253" s="15" t="s">
        <v>89</v>
      </c>
      <c r="U253" s="13">
        <v>1.4</v>
      </c>
      <c r="V253" s="13">
        <v>12.9</v>
      </c>
      <c r="W253" s="7">
        <v>0.62</v>
      </c>
      <c r="X253" s="13"/>
      <c r="Y253" s="13">
        <v>57.1</v>
      </c>
      <c r="Z253" s="7">
        <v>2.0499999999999998</v>
      </c>
      <c r="AA253" s="13">
        <v>2.2000000000000002</v>
      </c>
      <c r="AB253" s="16">
        <f>AA253*10</f>
        <v>22</v>
      </c>
      <c r="AC253" s="13">
        <v>1</v>
      </c>
      <c r="AD253" s="16">
        <f>AC253*10</f>
        <v>10</v>
      </c>
      <c r="AE253" s="1">
        <v>0</v>
      </c>
    </row>
    <row r="254" spans="1:31" x14ac:dyDescent="0.2">
      <c r="A254" s="1">
        <v>253</v>
      </c>
      <c r="B254" s="1">
        <v>2011</v>
      </c>
      <c r="C254" s="1" t="s">
        <v>96</v>
      </c>
      <c r="D254" s="8" t="s">
        <v>187</v>
      </c>
      <c r="E254" s="8" t="s">
        <v>255</v>
      </c>
      <c r="F254" s="1" t="s">
        <v>32</v>
      </c>
      <c r="I254" s="12">
        <v>7.6</v>
      </c>
      <c r="J254" s="12">
        <v>10.0394535</v>
      </c>
      <c r="K254" s="13" t="s">
        <v>34</v>
      </c>
      <c r="L254" s="14">
        <v>2720</v>
      </c>
      <c r="M254" s="14"/>
      <c r="N254" s="14">
        <v>20739</v>
      </c>
      <c r="O254" s="13">
        <v>28</v>
      </c>
      <c r="P254" s="13">
        <v>8.1</v>
      </c>
      <c r="Q254" s="13">
        <v>54.7</v>
      </c>
      <c r="R254" s="13">
        <v>52.3</v>
      </c>
      <c r="T254" s="15"/>
      <c r="U254" s="15" t="s">
        <v>89</v>
      </c>
      <c r="V254" s="13">
        <v>2.2999999999999998</v>
      </c>
      <c r="W254" s="12" t="s">
        <v>89</v>
      </c>
      <c r="X254" s="15" t="s">
        <v>89</v>
      </c>
      <c r="Y254" s="13">
        <v>63.3</v>
      </c>
      <c r="Z254" s="7">
        <v>2.1800000000000002</v>
      </c>
      <c r="AA254" s="8">
        <v>0</v>
      </c>
      <c r="AB254" s="16">
        <f>AA254*10</f>
        <v>0</v>
      </c>
      <c r="AC254" s="13">
        <v>1.25</v>
      </c>
      <c r="AD254" s="16">
        <f>AC254*10</f>
        <v>12.5</v>
      </c>
      <c r="AE254" s="1">
        <v>0</v>
      </c>
    </row>
    <row r="255" spans="1:31" x14ac:dyDescent="0.2">
      <c r="A255" s="1">
        <v>254</v>
      </c>
      <c r="B255" s="1">
        <v>2018</v>
      </c>
      <c r="C255" s="1" t="s">
        <v>88</v>
      </c>
      <c r="D255" s="1" t="s">
        <v>246</v>
      </c>
      <c r="E255" s="1" t="s">
        <v>691</v>
      </c>
      <c r="F255" s="1" t="s">
        <v>32</v>
      </c>
      <c r="I255" s="12">
        <v>5.0021398368436598</v>
      </c>
      <c r="J255" s="3">
        <v>14.2918281052676</v>
      </c>
      <c r="L255" s="5">
        <v>2721.75</v>
      </c>
      <c r="N255" s="5">
        <v>13627.012358563201</v>
      </c>
      <c r="O255" s="6">
        <v>34.947684911785203</v>
      </c>
      <c r="P255" s="18">
        <v>10.065</v>
      </c>
      <c r="Q255" s="6">
        <v>58.042499999999997</v>
      </c>
      <c r="R255" s="6">
        <v>47.49</v>
      </c>
      <c r="S255" s="3">
        <v>17.169999999999998</v>
      </c>
      <c r="U255" s="6">
        <v>4.8049999999999997</v>
      </c>
      <c r="V255" s="6">
        <v>14.147499999999999</v>
      </c>
      <c r="W255" s="3">
        <v>0.59715000000000007</v>
      </c>
      <c r="X255" s="6"/>
      <c r="Y255" s="6">
        <v>55.91</v>
      </c>
      <c r="Z255" s="3">
        <v>0.623703266439115</v>
      </c>
      <c r="AA255" s="5">
        <v>2.75</v>
      </c>
      <c r="AB255" s="16">
        <f>AA255*33.334</f>
        <v>91.668500000000009</v>
      </c>
      <c r="AC255" s="5">
        <v>1.5</v>
      </c>
      <c r="AD255" s="16">
        <f>AC255*33.334</f>
        <v>50.001000000000005</v>
      </c>
      <c r="AE255" s="1">
        <v>1</v>
      </c>
    </row>
    <row r="256" spans="1:31" x14ac:dyDescent="0.2">
      <c r="A256" s="1">
        <v>255</v>
      </c>
      <c r="B256" s="1">
        <v>2013</v>
      </c>
      <c r="C256" s="1" t="s">
        <v>88</v>
      </c>
      <c r="D256" s="8" t="s">
        <v>54</v>
      </c>
      <c r="E256" s="8" t="s">
        <v>390</v>
      </c>
      <c r="F256" s="1" t="s">
        <v>83</v>
      </c>
      <c r="I256" s="12">
        <v>5.08</v>
      </c>
      <c r="J256" s="7">
        <v>14.5</v>
      </c>
      <c r="K256" s="13"/>
      <c r="L256" s="14">
        <v>2722</v>
      </c>
      <c r="M256" s="14"/>
      <c r="N256" s="14">
        <v>13837</v>
      </c>
      <c r="O256" s="13">
        <v>28.7</v>
      </c>
      <c r="P256" s="13">
        <v>5.28</v>
      </c>
      <c r="Q256" s="13">
        <v>66.400000000000006</v>
      </c>
      <c r="R256" s="13">
        <v>54.6</v>
      </c>
      <c r="S256" s="13"/>
      <c r="T256" s="13"/>
      <c r="U256" s="13">
        <v>5.0999999999999996</v>
      </c>
      <c r="V256" s="13">
        <v>0.8</v>
      </c>
      <c r="W256" s="7">
        <v>0.56999999999999995</v>
      </c>
      <c r="X256" s="13">
        <v>69.8</v>
      </c>
      <c r="Y256" s="13">
        <v>56.4</v>
      </c>
      <c r="Z256" s="7">
        <v>1.83</v>
      </c>
      <c r="AA256" s="13">
        <v>3.5</v>
      </c>
      <c r="AB256" s="16">
        <f>AA256*10</f>
        <v>35</v>
      </c>
      <c r="AC256" s="13">
        <v>1</v>
      </c>
      <c r="AD256" s="16">
        <f>AC256*10</f>
        <v>10</v>
      </c>
      <c r="AE256" s="1">
        <v>1</v>
      </c>
    </row>
    <row r="257" spans="1:31" x14ac:dyDescent="0.2">
      <c r="A257" s="1">
        <v>256</v>
      </c>
      <c r="B257" s="1">
        <v>2018</v>
      </c>
      <c r="C257" s="1" t="s">
        <v>31</v>
      </c>
      <c r="D257" s="8" t="s">
        <v>125</v>
      </c>
      <c r="E257" s="8" t="s">
        <v>664</v>
      </c>
      <c r="F257" s="1" t="s">
        <v>83</v>
      </c>
      <c r="G257" s="8">
        <v>115</v>
      </c>
      <c r="I257" s="12">
        <v>5.1718020300000003</v>
      </c>
      <c r="J257" s="3">
        <v>14.7765772</v>
      </c>
      <c r="L257" s="5">
        <v>2722</v>
      </c>
      <c r="N257" s="5">
        <v>14144.25</v>
      </c>
      <c r="O257" s="6">
        <v>42.402500000000003</v>
      </c>
      <c r="P257" s="18">
        <v>9.0075000000000003</v>
      </c>
      <c r="Q257" s="6">
        <v>41.155000000000001</v>
      </c>
      <c r="R257" s="6">
        <v>48.582500000000003</v>
      </c>
      <c r="S257" s="3"/>
      <c r="T257" s="6">
        <v>25.772500000000001</v>
      </c>
      <c r="U257" s="6">
        <v>33.805</v>
      </c>
      <c r="V257" s="6">
        <v>6.8550000000000004</v>
      </c>
      <c r="W257" s="3">
        <v>0.71077500000000005</v>
      </c>
      <c r="X257" s="6"/>
      <c r="Y257" s="6">
        <v>68.722499999999997</v>
      </c>
      <c r="Z257" s="3">
        <v>1.0295006200000001</v>
      </c>
      <c r="AB257" s="16"/>
      <c r="AD257" s="16"/>
      <c r="AE257" s="1">
        <v>1</v>
      </c>
    </row>
    <row r="258" spans="1:31" x14ac:dyDescent="0.2">
      <c r="A258" s="1">
        <v>257</v>
      </c>
      <c r="B258" s="1">
        <v>2018</v>
      </c>
      <c r="C258" s="1" t="s">
        <v>88</v>
      </c>
      <c r="D258" s="28" t="s">
        <v>914</v>
      </c>
      <c r="E258" s="8" t="s">
        <v>638</v>
      </c>
      <c r="F258" s="1" t="s">
        <v>83</v>
      </c>
      <c r="I258" s="12">
        <v>4.2445801599999999</v>
      </c>
      <c r="J258" s="7">
        <v>12.1273719</v>
      </c>
      <c r="L258" s="14">
        <v>2723</v>
      </c>
      <c r="N258" s="14">
        <v>11555.5633</v>
      </c>
      <c r="O258" s="13">
        <v>30.247499999999999</v>
      </c>
      <c r="P258" s="13">
        <v>9.8375000000000004</v>
      </c>
      <c r="Q258" s="13">
        <v>56.225000000000001</v>
      </c>
      <c r="R258" s="13">
        <v>44.435000000000002</v>
      </c>
      <c r="S258" s="7">
        <v>19.1325</v>
      </c>
      <c r="U258" s="13">
        <v>5.625</v>
      </c>
      <c r="V258" s="13">
        <v>13.13</v>
      </c>
      <c r="W258" s="7">
        <v>0.63402500000000006</v>
      </c>
      <c r="X258" s="13"/>
      <c r="Y258" s="13">
        <v>55.192500000000003</v>
      </c>
      <c r="Z258" s="7">
        <v>1.0611676800000001</v>
      </c>
      <c r="AA258" s="14">
        <v>1.25</v>
      </c>
      <c r="AB258" s="16">
        <f>AA258*33.334</f>
        <v>41.667500000000004</v>
      </c>
      <c r="AD258" s="16"/>
      <c r="AE258" s="1">
        <v>1</v>
      </c>
    </row>
    <row r="259" spans="1:31" x14ac:dyDescent="0.2">
      <c r="A259" s="1">
        <v>258</v>
      </c>
      <c r="B259" s="1">
        <v>2018</v>
      </c>
      <c r="C259" s="1" t="s">
        <v>88</v>
      </c>
      <c r="D259" s="8" t="s">
        <v>1023</v>
      </c>
      <c r="E259" s="8" t="s">
        <v>676</v>
      </c>
      <c r="F259" s="1" t="s">
        <v>83</v>
      </c>
      <c r="I259" s="12">
        <v>4.4244594299999997</v>
      </c>
      <c r="J259" s="7">
        <v>12.6413127</v>
      </c>
      <c r="L259" s="14">
        <v>2724</v>
      </c>
      <c r="N259" s="14">
        <v>12096.2585</v>
      </c>
      <c r="O259" s="13">
        <v>35.8825</v>
      </c>
      <c r="P259" s="13">
        <v>10.195</v>
      </c>
      <c r="Q259" s="13">
        <v>53.512500000000003</v>
      </c>
      <c r="R259" s="13">
        <v>35.557499999999997</v>
      </c>
      <c r="S259" s="7">
        <v>22.31</v>
      </c>
      <c r="U259" s="13">
        <v>18.260000000000002</v>
      </c>
      <c r="V259" s="13">
        <v>2.97</v>
      </c>
      <c r="W259" s="7">
        <v>0.62907499999999994</v>
      </c>
      <c r="X259" s="13"/>
      <c r="Y259" s="13">
        <v>53.877499999999998</v>
      </c>
      <c r="Z259" s="7">
        <v>0.83521259000000003</v>
      </c>
      <c r="AA259" s="14">
        <v>2.25</v>
      </c>
      <c r="AB259" s="16">
        <f>AA259*33.334</f>
        <v>75.001500000000007</v>
      </c>
      <c r="AD259" s="16"/>
      <c r="AE259" s="1">
        <v>1</v>
      </c>
    </row>
    <row r="260" spans="1:31" x14ac:dyDescent="0.2">
      <c r="A260" s="1">
        <v>259</v>
      </c>
      <c r="B260" s="1">
        <v>2010</v>
      </c>
      <c r="C260" s="1" t="s">
        <v>190</v>
      </c>
      <c r="D260" s="8" t="s">
        <v>90</v>
      </c>
      <c r="E260" s="8" t="s">
        <v>191</v>
      </c>
      <c r="F260" s="8" t="s">
        <v>83</v>
      </c>
      <c r="G260" s="8"/>
      <c r="H260" s="8"/>
      <c r="I260" s="12">
        <v>4.5199999999999996</v>
      </c>
      <c r="J260" s="7">
        <v>12.9</v>
      </c>
      <c r="K260" s="13"/>
      <c r="L260" s="14">
        <v>2724</v>
      </c>
      <c r="M260" s="14"/>
      <c r="N260" s="14">
        <v>12312</v>
      </c>
      <c r="O260" s="13">
        <v>31.7</v>
      </c>
      <c r="P260" s="13">
        <v>9</v>
      </c>
      <c r="Q260" s="13">
        <v>45.4</v>
      </c>
      <c r="R260" s="13">
        <v>47</v>
      </c>
      <c r="S260" s="13"/>
      <c r="T260" s="15"/>
      <c r="U260" s="13">
        <v>24.8</v>
      </c>
      <c r="V260" s="13">
        <v>3.5</v>
      </c>
      <c r="W260" s="7"/>
      <c r="X260" s="13"/>
      <c r="Y260" s="13">
        <v>66</v>
      </c>
      <c r="Z260" s="7">
        <v>0.96</v>
      </c>
      <c r="AA260" s="13">
        <v>1.5</v>
      </c>
      <c r="AB260" s="16">
        <f>AA260*10</f>
        <v>15</v>
      </c>
      <c r="AC260" s="13">
        <v>1</v>
      </c>
      <c r="AD260" s="16">
        <f>AC260*10</f>
        <v>10</v>
      </c>
      <c r="AE260" s="1">
        <v>1</v>
      </c>
    </row>
    <row r="261" spans="1:31" x14ac:dyDescent="0.2">
      <c r="A261" s="1">
        <v>260</v>
      </c>
      <c r="B261" s="1">
        <v>2019</v>
      </c>
      <c r="C261" s="1" t="s">
        <v>88</v>
      </c>
      <c r="D261" s="8" t="s">
        <v>187</v>
      </c>
      <c r="E261" s="8">
        <v>19176</v>
      </c>
      <c r="F261" s="1" t="s">
        <v>32</v>
      </c>
      <c r="I261" s="12">
        <v>7.4249999999999998</v>
      </c>
      <c r="J261" s="3">
        <v>21.22</v>
      </c>
      <c r="L261" s="5">
        <v>2726.25</v>
      </c>
      <c r="N261" s="5">
        <v>20261.75</v>
      </c>
      <c r="O261" s="6">
        <v>38.9</v>
      </c>
      <c r="P261" s="6">
        <v>5.47</v>
      </c>
      <c r="Q261" s="6">
        <v>51.664999999999999</v>
      </c>
      <c r="R261" s="6">
        <v>33.055</v>
      </c>
      <c r="S261" s="3"/>
      <c r="T261" s="6">
        <v>37.19</v>
      </c>
      <c r="U261" s="6">
        <v>16.465</v>
      </c>
      <c r="V261" s="6">
        <v>12.0025</v>
      </c>
      <c r="W261" s="3">
        <v>0.65757499999999991</v>
      </c>
      <c r="X261" s="6"/>
      <c r="Y261" s="6">
        <v>53.625</v>
      </c>
      <c r="Z261" s="3">
        <v>1.27</v>
      </c>
      <c r="AB261" s="16"/>
      <c r="AC261" s="6">
        <v>0</v>
      </c>
      <c r="AD261" s="16">
        <f>AC261*10</f>
        <v>0</v>
      </c>
      <c r="AE261" s="1">
        <v>1</v>
      </c>
    </row>
    <row r="262" spans="1:31" x14ac:dyDescent="0.2">
      <c r="A262" s="1">
        <v>261</v>
      </c>
      <c r="B262" s="1">
        <v>2016</v>
      </c>
      <c r="C262" s="1" t="s">
        <v>96</v>
      </c>
      <c r="D262" s="1" t="s">
        <v>246</v>
      </c>
      <c r="E262" s="1" t="s">
        <v>593</v>
      </c>
      <c r="F262" s="1" t="s">
        <v>83</v>
      </c>
      <c r="I262" s="12">
        <v>6.5529674</v>
      </c>
      <c r="J262" s="3">
        <v>18.722764000000002</v>
      </c>
      <c r="L262" s="5">
        <v>2726.75</v>
      </c>
      <c r="N262" s="5">
        <v>17843.701499999999</v>
      </c>
      <c r="O262" s="6">
        <v>32.018648499999998</v>
      </c>
      <c r="P262" s="6">
        <v>4.9000000000000004</v>
      </c>
      <c r="Q262" s="6">
        <v>59.024999999999999</v>
      </c>
      <c r="R262" s="6">
        <v>42.8</v>
      </c>
      <c r="S262" s="6">
        <v>24.377500000000001</v>
      </c>
      <c r="T262" s="6"/>
      <c r="U262" s="15">
        <v>7.7725</v>
      </c>
      <c r="V262" s="15">
        <v>15</v>
      </c>
      <c r="W262" s="3">
        <v>0.60572499999999996</v>
      </c>
      <c r="X262" s="6"/>
      <c r="Y262" s="6">
        <v>54.475000000000001</v>
      </c>
      <c r="Z262" s="3">
        <v>1.6108820399999999</v>
      </c>
      <c r="AA262" s="6">
        <v>1.5</v>
      </c>
      <c r="AB262" s="16">
        <f>AA262*10</f>
        <v>15</v>
      </c>
      <c r="AC262" s="6">
        <v>3</v>
      </c>
      <c r="AD262" s="16">
        <f>AC262*10</f>
        <v>30</v>
      </c>
      <c r="AE262" s="1">
        <v>0</v>
      </c>
    </row>
    <row r="263" spans="1:31" x14ac:dyDescent="0.2">
      <c r="A263" s="1">
        <v>262</v>
      </c>
      <c r="B263" s="1">
        <v>2008</v>
      </c>
      <c r="C263" s="8" t="s">
        <v>96</v>
      </c>
      <c r="D263" s="1" t="s">
        <v>916</v>
      </c>
      <c r="E263" s="8">
        <v>9010</v>
      </c>
      <c r="F263" s="8" t="s">
        <v>83</v>
      </c>
      <c r="G263" s="8"/>
      <c r="H263" s="8"/>
      <c r="I263" s="12">
        <v>2.58</v>
      </c>
      <c r="J263" s="7">
        <v>7.37</v>
      </c>
      <c r="K263" s="13"/>
      <c r="L263" s="14">
        <v>2727</v>
      </c>
      <c r="M263" s="14"/>
      <c r="N263" s="14">
        <v>6999</v>
      </c>
      <c r="O263" s="13">
        <v>33.1</v>
      </c>
      <c r="P263" s="13">
        <v>8.3000000000000007</v>
      </c>
      <c r="Q263" s="13">
        <v>47.9</v>
      </c>
      <c r="R263" s="13">
        <v>43.9</v>
      </c>
      <c r="S263" s="13"/>
      <c r="T263" s="13"/>
      <c r="U263" s="13">
        <v>32</v>
      </c>
      <c r="V263" s="15" t="s">
        <v>89</v>
      </c>
      <c r="X263" s="15"/>
      <c r="Y263" s="13">
        <v>66</v>
      </c>
      <c r="Z263" s="7">
        <v>0.54</v>
      </c>
      <c r="AB263" s="16"/>
      <c r="AD263" s="16"/>
      <c r="AE263" s="1">
        <v>0</v>
      </c>
    </row>
    <row r="264" spans="1:31" x14ac:dyDescent="0.2">
      <c r="A264" s="1">
        <v>263</v>
      </c>
      <c r="B264" s="1">
        <v>2011</v>
      </c>
      <c r="C264" s="1" t="s">
        <v>96</v>
      </c>
      <c r="D264" s="8" t="s">
        <v>90</v>
      </c>
      <c r="E264" s="8" t="s">
        <v>101</v>
      </c>
      <c r="F264" s="1" t="s">
        <v>32</v>
      </c>
      <c r="I264" s="12">
        <v>10.1</v>
      </c>
      <c r="J264" s="12">
        <v>21.6428571428571</v>
      </c>
      <c r="K264" s="8" t="s">
        <v>34</v>
      </c>
      <c r="L264" s="14">
        <v>2730</v>
      </c>
      <c r="M264" s="8" t="s">
        <v>34</v>
      </c>
      <c r="N264" s="14">
        <v>27709</v>
      </c>
      <c r="O264" s="13">
        <v>32.299999999999997</v>
      </c>
      <c r="P264" s="13">
        <v>7.9</v>
      </c>
      <c r="Q264" s="13">
        <v>52.5</v>
      </c>
      <c r="R264" s="13">
        <v>54</v>
      </c>
      <c r="T264" s="15"/>
      <c r="U264" s="15" t="s">
        <v>89</v>
      </c>
      <c r="V264" s="13">
        <v>1.9</v>
      </c>
      <c r="W264" s="12" t="s">
        <v>89</v>
      </c>
      <c r="X264" s="15" t="s">
        <v>89</v>
      </c>
      <c r="Y264" s="13">
        <v>62.5</v>
      </c>
      <c r="Z264" s="7">
        <v>2.87</v>
      </c>
      <c r="AA264" s="13">
        <v>1</v>
      </c>
      <c r="AB264" s="16">
        <f>AA264*10</f>
        <v>10</v>
      </c>
      <c r="AC264" s="13">
        <v>1</v>
      </c>
      <c r="AD264" s="16">
        <f>AC264*10</f>
        <v>10</v>
      </c>
      <c r="AE264" s="1">
        <v>0</v>
      </c>
    </row>
    <row r="265" spans="1:31" x14ac:dyDescent="0.2">
      <c r="A265" s="1">
        <v>264</v>
      </c>
      <c r="B265" s="1">
        <v>2019</v>
      </c>
      <c r="C265" s="1" t="s">
        <v>96</v>
      </c>
      <c r="D265" s="28" t="s">
        <v>914</v>
      </c>
      <c r="E265" s="1" t="s">
        <v>753</v>
      </c>
      <c r="F265" s="1" t="s">
        <v>83</v>
      </c>
      <c r="H265" s="1" t="s">
        <v>34</v>
      </c>
      <c r="I265" s="12">
        <v>5.8</v>
      </c>
      <c r="J265" s="3">
        <v>16.53</v>
      </c>
      <c r="K265" s="1" t="s">
        <v>34</v>
      </c>
      <c r="L265" s="5">
        <v>2730.7</v>
      </c>
      <c r="M265" s="1" t="s">
        <v>34</v>
      </c>
      <c r="N265" s="5">
        <v>15664.6</v>
      </c>
      <c r="O265" s="6">
        <v>26.176666699999998</v>
      </c>
      <c r="P265" s="6">
        <v>8.35</v>
      </c>
      <c r="Q265" s="6">
        <v>53.613333300000001</v>
      </c>
      <c r="R265" s="6">
        <v>38.413333299999998</v>
      </c>
      <c r="S265" s="3"/>
      <c r="T265" s="6">
        <v>35.536666699999998</v>
      </c>
      <c r="U265" s="6">
        <v>13.62</v>
      </c>
      <c r="V265" s="6">
        <v>6.96</v>
      </c>
      <c r="W265" s="3">
        <v>0.63519999999999999</v>
      </c>
      <c r="X265" s="6"/>
      <c r="Y265" s="6">
        <v>61.94</v>
      </c>
      <c r="Z265" s="3">
        <v>1.24</v>
      </c>
      <c r="AB265" s="16"/>
      <c r="AC265" s="4">
        <v>5</v>
      </c>
      <c r="AD265" s="16">
        <f>AC265*10</f>
        <v>50</v>
      </c>
      <c r="AE265" s="1">
        <v>0</v>
      </c>
    </row>
    <row r="266" spans="1:31" x14ac:dyDescent="0.2">
      <c r="A266" s="1">
        <v>265</v>
      </c>
      <c r="B266" s="1">
        <v>2018</v>
      </c>
      <c r="C266" s="1" t="s">
        <v>88</v>
      </c>
      <c r="D266" s="28" t="s">
        <v>914</v>
      </c>
      <c r="E266" s="1" t="s">
        <v>693</v>
      </c>
      <c r="F266" s="1" t="s">
        <v>83</v>
      </c>
      <c r="I266" s="12">
        <v>4.0908315899999996</v>
      </c>
      <c r="J266" s="7">
        <v>11.688090300000001</v>
      </c>
      <c r="L266" s="14">
        <v>2732</v>
      </c>
      <c r="N266" s="14">
        <v>11255.066500000001</v>
      </c>
      <c r="O266" s="13">
        <v>31.567499999999999</v>
      </c>
      <c r="P266" s="13">
        <v>9.4124999999999996</v>
      </c>
      <c r="Q266" s="13">
        <v>54.102499999999999</v>
      </c>
      <c r="R266" s="13">
        <v>37.11</v>
      </c>
      <c r="S266" s="7">
        <v>21.69</v>
      </c>
      <c r="U266" s="13">
        <v>15.725</v>
      </c>
      <c r="V266" s="13">
        <v>5.2725</v>
      </c>
      <c r="W266" s="7">
        <v>0.63560000000000005</v>
      </c>
      <c r="X266" s="13"/>
      <c r="Y266" s="13">
        <v>54.172499999999999</v>
      </c>
      <c r="Z266" s="7">
        <v>0.81642828999999995</v>
      </c>
      <c r="AA266" s="14">
        <v>1.75</v>
      </c>
      <c r="AB266" s="16">
        <f>AA266*33.334</f>
        <v>58.334500000000006</v>
      </c>
      <c r="AD266" s="16"/>
      <c r="AE266" s="1">
        <v>1</v>
      </c>
    </row>
    <row r="267" spans="1:31" x14ac:dyDescent="0.2">
      <c r="A267" s="1">
        <v>266</v>
      </c>
      <c r="B267" s="1">
        <v>2018</v>
      </c>
      <c r="C267" s="1" t="s">
        <v>88</v>
      </c>
      <c r="D267" s="8" t="s">
        <v>1023</v>
      </c>
      <c r="E267" s="8" t="s">
        <v>338</v>
      </c>
      <c r="F267" s="1" t="s">
        <v>83</v>
      </c>
      <c r="I267" s="12">
        <v>3.6954653099999999</v>
      </c>
      <c r="J267" s="7">
        <v>10.5584723</v>
      </c>
      <c r="L267" s="14">
        <v>2734.3333299999999</v>
      </c>
      <c r="N267" s="14">
        <v>10098.045400000001</v>
      </c>
      <c r="O267" s="13">
        <v>37.923333300000003</v>
      </c>
      <c r="P267" s="13">
        <v>10.46</v>
      </c>
      <c r="Q267" s="13">
        <v>53.813333299999996</v>
      </c>
      <c r="R267" s="13">
        <v>35.436666700000004</v>
      </c>
      <c r="S267" s="7">
        <v>22.15</v>
      </c>
      <c r="U267" s="13">
        <v>18.5</v>
      </c>
      <c r="V267" s="13">
        <v>2.0299999999999998</v>
      </c>
      <c r="W267" s="7">
        <v>0.63106666700000003</v>
      </c>
      <c r="X267" s="13"/>
      <c r="Y267" s="13">
        <v>53.856666699999998</v>
      </c>
      <c r="Z267" s="7">
        <v>0.70451074999999996</v>
      </c>
      <c r="AA267" s="14">
        <v>2</v>
      </c>
      <c r="AB267" s="16">
        <f>AA267*33.334</f>
        <v>66.668000000000006</v>
      </c>
      <c r="AD267" s="16"/>
      <c r="AE267" s="1">
        <v>1</v>
      </c>
    </row>
    <row r="268" spans="1:31" x14ac:dyDescent="0.2">
      <c r="A268" s="1">
        <v>267</v>
      </c>
      <c r="B268" s="1">
        <v>2018</v>
      </c>
      <c r="C268" s="1" t="s">
        <v>96</v>
      </c>
      <c r="D268" s="8" t="s">
        <v>90</v>
      </c>
      <c r="E268" s="8" t="s">
        <v>698</v>
      </c>
      <c r="F268" s="1" t="s">
        <v>83</v>
      </c>
      <c r="I268" s="12">
        <v>2.9465168199999998</v>
      </c>
      <c r="J268" s="7">
        <v>8.4186195000000001</v>
      </c>
      <c r="K268" s="1" t="s">
        <v>34</v>
      </c>
      <c r="L268" s="14">
        <v>2737.8</v>
      </c>
      <c r="N268" s="14">
        <v>8073.2349999999997</v>
      </c>
      <c r="O268" s="13">
        <v>23.37</v>
      </c>
      <c r="P268" s="13">
        <v>11.69</v>
      </c>
      <c r="Q268" s="13">
        <v>58.945</v>
      </c>
      <c r="R268" s="13">
        <v>57.99</v>
      </c>
      <c r="S268" s="7">
        <v>15.227499999999999</v>
      </c>
      <c r="T268" s="15" t="s">
        <v>89</v>
      </c>
      <c r="U268" s="13">
        <v>0.28000000000000003</v>
      </c>
      <c r="V268" s="13">
        <v>10.442500000000001</v>
      </c>
      <c r="W268" s="7">
        <v>0.606325</v>
      </c>
      <c r="X268" s="13"/>
      <c r="Y268" s="13">
        <v>58.49</v>
      </c>
      <c r="Z268" s="7">
        <v>1.0068045999999999</v>
      </c>
      <c r="AA268" s="14">
        <v>1</v>
      </c>
      <c r="AB268" s="16">
        <f>AA268*33.334</f>
        <v>33.334000000000003</v>
      </c>
      <c r="AD268" s="16"/>
      <c r="AE268" s="1">
        <v>0</v>
      </c>
    </row>
    <row r="269" spans="1:31" x14ac:dyDescent="0.2">
      <c r="A269" s="1">
        <v>268</v>
      </c>
      <c r="B269" s="1">
        <v>2015</v>
      </c>
      <c r="C269" s="8" t="s">
        <v>88</v>
      </c>
      <c r="D269" s="8" t="s">
        <v>332</v>
      </c>
      <c r="E269" s="8" t="s">
        <v>513</v>
      </c>
      <c r="F269" s="1" t="s">
        <v>83</v>
      </c>
      <c r="I269" s="12">
        <v>6.77</v>
      </c>
      <c r="J269" s="7">
        <v>19.342857142857142</v>
      </c>
      <c r="L269" s="14">
        <v>2738</v>
      </c>
      <c r="N269" s="14">
        <v>18578</v>
      </c>
      <c r="O269" s="13">
        <v>29.3</v>
      </c>
      <c r="P269" s="13">
        <v>7.5</v>
      </c>
      <c r="Q269" s="13">
        <v>56.6</v>
      </c>
      <c r="R269" s="13">
        <v>39.299999999999997</v>
      </c>
      <c r="S269" s="8"/>
      <c r="T269" s="13" t="s">
        <v>89</v>
      </c>
      <c r="U269" s="13">
        <v>17.3</v>
      </c>
      <c r="V269" s="13">
        <v>5</v>
      </c>
      <c r="W269" s="7">
        <v>0.64</v>
      </c>
      <c r="X269" s="13"/>
      <c r="Y269" s="13">
        <v>54.2</v>
      </c>
      <c r="Z269" s="7">
        <v>1.5</v>
      </c>
      <c r="AA269" s="13">
        <v>4.2</v>
      </c>
      <c r="AB269" s="16">
        <f>AA269*10</f>
        <v>42</v>
      </c>
      <c r="AC269" s="13">
        <v>1</v>
      </c>
      <c r="AD269" s="16">
        <f>AC269*10</f>
        <v>10</v>
      </c>
      <c r="AE269" s="1">
        <v>1</v>
      </c>
    </row>
    <row r="270" spans="1:31" x14ac:dyDescent="0.2">
      <c r="A270" s="1">
        <v>269</v>
      </c>
      <c r="B270" s="1">
        <v>2011</v>
      </c>
      <c r="C270" s="1" t="s">
        <v>96</v>
      </c>
      <c r="D270" s="8" t="s">
        <v>187</v>
      </c>
      <c r="E270" s="8" t="s">
        <v>258</v>
      </c>
      <c r="F270" s="1" t="s">
        <v>32</v>
      </c>
      <c r="I270" s="12">
        <v>6.9</v>
      </c>
      <c r="J270" s="12">
        <v>20.5</v>
      </c>
      <c r="K270" s="13" t="s">
        <v>34</v>
      </c>
      <c r="L270" s="14">
        <v>2738</v>
      </c>
      <c r="M270" s="14"/>
      <c r="N270" s="14">
        <v>18889</v>
      </c>
      <c r="O270" s="13">
        <v>32</v>
      </c>
      <c r="P270" s="13">
        <v>9.1999999999999993</v>
      </c>
      <c r="Q270" s="13">
        <v>53.1</v>
      </c>
      <c r="R270" s="13">
        <v>50.2</v>
      </c>
      <c r="T270" s="15"/>
      <c r="U270" s="15" t="s">
        <v>89</v>
      </c>
      <c r="V270" s="13">
        <v>2.4</v>
      </c>
      <c r="W270" s="12" t="s">
        <v>89</v>
      </c>
      <c r="X270" s="15" t="s">
        <v>89</v>
      </c>
      <c r="Y270" s="13">
        <v>63.7</v>
      </c>
      <c r="Z270" s="7">
        <v>1.83</v>
      </c>
      <c r="AA270" s="13">
        <v>0.25</v>
      </c>
      <c r="AB270" s="16">
        <f>AA270*10</f>
        <v>2.5</v>
      </c>
      <c r="AC270" s="13">
        <v>1</v>
      </c>
      <c r="AD270" s="16">
        <f>AC270*10</f>
        <v>10</v>
      </c>
      <c r="AE270" s="1">
        <v>0</v>
      </c>
    </row>
    <row r="271" spans="1:31" x14ac:dyDescent="0.2">
      <c r="A271" s="1">
        <v>270</v>
      </c>
      <c r="B271" s="1">
        <v>2014</v>
      </c>
      <c r="C271" s="1" t="s">
        <v>31</v>
      </c>
      <c r="D271" s="1" t="s">
        <v>916</v>
      </c>
      <c r="E271" s="1" t="s">
        <v>414</v>
      </c>
      <c r="F271" s="1" t="s">
        <v>83</v>
      </c>
      <c r="G271" s="1">
        <v>124</v>
      </c>
      <c r="H271" s="1" t="s">
        <v>34</v>
      </c>
      <c r="I271" s="12">
        <v>6.5</v>
      </c>
      <c r="J271" s="12">
        <v>18.600000000000001</v>
      </c>
      <c r="L271" s="16">
        <v>2739</v>
      </c>
      <c r="M271" s="1" t="s">
        <v>34</v>
      </c>
      <c r="N271" s="16">
        <v>17839</v>
      </c>
      <c r="O271" s="15">
        <v>30.6</v>
      </c>
      <c r="P271" s="15">
        <v>6.44</v>
      </c>
      <c r="Q271" s="15">
        <v>48.9</v>
      </c>
      <c r="R271" s="15">
        <v>55.6</v>
      </c>
      <c r="T271" s="15"/>
      <c r="U271" s="15">
        <v>16.100000000000001</v>
      </c>
      <c r="V271" s="15">
        <v>11.3</v>
      </c>
      <c r="W271" s="12">
        <v>0.69</v>
      </c>
      <c r="X271" s="15"/>
      <c r="Y271" s="15">
        <v>66.8</v>
      </c>
      <c r="Z271" s="12">
        <v>1.76</v>
      </c>
      <c r="AA271" s="1">
        <v>2</v>
      </c>
      <c r="AB271" s="16">
        <f>AA271*10</f>
        <v>20</v>
      </c>
      <c r="AD271" s="16"/>
      <c r="AE271" s="1">
        <v>1</v>
      </c>
    </row>
    <row r="272" spans="1:31" x14ac:dyDescent="0.2">
      <c r="A272" s="1">
        <v>271</v>
      </c>
      <c r="B272" s="1">
        <v>2015</v>
      </c>
      <c r="C272" s="8" t="s">
        <v>88</v>
      </c>
      <c r="D272" s="8" t="s">
        <v>332</v>
      </c>
      <c r="E272" s="8">
        <v>8401</v>
      </c>
      <c r="F272" s="1" t="s">
        <v>83</v>
      </c>
      <c r="I272" s="12">
        <v>4.2699999999999996</v>
      </c>
      <c r="J272" s="7">
        <v>12.2</v>
      </c>
      <c r="L272" s="14">
        <v>2741</v>
      </c>
      <c r="N272" s="14">
        <v>11728</v>
      </c>
      <c r="O272" s="13">
        <v>29.9</v>
      </c>
      <c r="P272" s="13">
        <v>7.9</v>
      </c>
      <c r="Q272" s="13">
        <v>62.4</v>
      </c>
      <c r="R272" s="13">
        <v>50.2</v>
      </c>
      <c r="S272" s="8"/>
      <c r="T272" s="13" t="s">
        <v>89</v>
      </c>
      <c r="U272" s="13">
        <v>6.4</v>
      </c>
      <c r="V272" s="13">
        <v>8.6999999999999993</v>
      </c>
      <c r="W272" s="7">
        <v>0.63</v>
      </c>
      <c r="X272" s="13"/>
      <c r="Y272" s="13">
        <v>56.3</v>
      </c>
      <c r="Z272" s="7">
        <v>1.34</v>
      </c>
      <c r="AA272" s="13">
        <v>1.1000000000000001</v>
      </c>
      <c r="AB272" s="16">
        <f>AA272*10</f>
        <v>11</v>
      </c>
      <c r="AC272" s="13">
        <v>1</v>
      </c>
      <c r="AD272" s="16">
        <f>AC272*10</f>
        <v>10</v>
      </c>
      <c r="AE272" s="1">
        <v>1</v>
      </c>
    </row>
    <row r="273" spans="1:31" x14ac:dyDescent="0.2">
      <c r="A273" s="1">
        <v>272</v>
      </c>
      <c r="B273" s="1">
        <v>2018</v>
      </c>
      <c r="C273" s="1" t="s">
        <v>88</v>
      </c>
      <c r="D273" s="28" t="s">
        <v>914</v>
      </c>
      <c r="E273" s="8" t="s">
        <v>688</v>
      </c>
      <c r="F273" s="1" t="s">
        <v>83</v>
      </c>
      <c r="I273" s="12">
        <v>2.3510196300000001</v>
      </c>
      <c r="J273" s="7">
        <v>6.7171988999999996</v>
      </c>
      <c r="L273" s="14">
        <v>2742</v>
      </c>
      <c r="N273" s="14">
        <v>6448.5519999999997</v>
      </c>
      <c r="O273" s="13">
        <v>27.56</v>
      </c>
      <c r="P273" s="13">
        <v>11.62</v>
      </c>
      <c r="Q273" s="13">
        <v>56.2</v>
      </c>
      <c r="R273" s="13">
        <v>45.305</v>
      </c>
      <c r="S273" s="7">
        <v>19.182500000000001</v>
      </c>
      <c r="U273" s="13">
        <v>10.8125</v>
      </c>
      <c r="V273" s="13">
        <v>7.0075000000000003</v>
      </c>
      <c r="W273" s="7">
        <v>0.61890000000000001</v>
      </c>
      <c r="X273" s="13"/>
      <c r="Y273" s="13">
        <v>55.645000000000003</v>
      </c>
      <c r="Z273" s="7">
        <v>0.59843458000000005</v>
      </c>
      <c r="AA273" s="14">
        <v>3</v>
      </c>
      <c r="AB273" s="16">
        <f>AA273*33.334</f>
        <v>100.00200000000001</v>
      </c>
      <c r="AD273" s="16"/>
      <c r="AE273" s="1">
        <v>1</v>
      </c>
    </row>
    <row r="274" spans="1:31" x14ac:dyDescent="0.2">
      <c r="A274" s="1">
        <v>273</v>
      </c>
      <c r="B274" s="1">
        <v>2009</v>
      </c>
      <c r="C274" s="1" t="s">
        <v>96</v>
      </c>
      <c r="D274" s="8" t="s">
        <v>146</v>
      </c>
      <c r="E274" s="8">
        <v>150</v>
      </c>
      <c r="F274" s="1" t="s">
        <v>83</v>
      </c>
      <c r="I274" s="12">
        <v>5.3</v>
      </c>
      <c r="J274" s="7">
        <v>15.1</v>
      </c>
      <c r="K274" s="1" t="s">
        <v>34</v>
      </c>
      <c r="L274" s="14">
        <v>2742</v>
      </c>
      <c r="M274" s="14" t="s">
        <v>34</v>
      </c>
      <c r="N274" s="14">
        <v>14569</v>
      </c>
      <c r="O274" s="13">
        <v>26.1</v>
      </c>
      <c r="P274" s="13">
        <v>10.4</v>
      </c>
      <c r="Q274" s="13">
        <v>53.7</v>
      </c>
      <c r="R274" s="13">
        <v>51.6</v>
      </c>
      <c r="S274" s="13"/>
      <c r="T274" s="13">
        <v>37.5</v>
      </c>
      <c r="U274" s="13">
        <v>14.6</v>
      </c>
      <c r="V274" s="13">
        <v>2.8</v>
      </c>
      <c r="W274" s="12" t="s">
        <v>89</v>
      </c>
      <c r="X274" s="13">
        <v>74</v>
      </c>
      <c r="Y274" s="13">
        <v>59.6</v>
      </c>
      <c r="Z274" s="7">
        <v>1.47</v>
      </c>
      <c r="AA274" s="13">
        <v>1.3</v>
      </c>
      <c r="AB274" s="16">
        <v>13</v>
      </c>
      <c r="AC274" s="13">
        <v>1</v>
      </c>
      <c r="AD274" s="16">
        <f>AC274*10</f>
        <v>10</v>
      </c>
      <c r="AE274" s="1">
        <v>0</v>
      </c>
    </row>
    <row r="275" spans="1:31" ht="17" x14ac:dyDescent="0.2">
      <c r="A275" s="1">
        <v>274</v>
      </c>
      <c r="B275" s="1">
        <v>2018</v>
      </c>
      <c r="C275" s="1" t="s">
        <v>31</v>
      </c>
      <c r="D275" s="8" t="s">
        <v>108</v>
      </c>
      <c r="E275" s="8" t="s">
        <v>666</v>
      </c>
      <c r="F275" s="1" t="s">
        <v>83</v>
      </c>
      <c r="G275" s="8">
        <v>116</v>
      </c>
      <c r="H275" s="1" t="s">
        <v>34</v>
      </c>
      <c r="I275" s="12">
        <v>6.7</v>
      </c>
      <c r="J275" s="3">
        <v>19.100000000000001</v>
      </c>
      <c r="L275" s="5">
        <v>2744.25</v>
      </c>
      <c r="M275" s="6" t="s">
        <v>34</v>
      </c>
      <c r="N275" s="5">
        <v>18340</v>
      </c>
      <c r="O275" s="6">
        <v>42.527500000000003</v>
      </c>
      <c r="P275" s="18">
        <v>8.8424999999999994</v>
      </c>
      <c r="Q275" s="6">
        <v>43.1</v>
      </c>
      <c r="R275" s="6">
        <v>53.2</v>
      </c>
      <c r="S275" s="3"/>
      <c r="T275" s="6">
        <v>26.7925</v>
      </c>
      <c r="U275" s="6">
        <v>32.022500000000001</v>
      </c>
      <c r="V275" s="6">
        <v>6.3875000000000002</v>
      </c>
      <c r="W275" s="3">
        <v>0.70627499999999999</v>
      </c>
      <c r="X275" s="6"/>
      <c r="Y275" s="6">
        <v>68.317499999999995</v>
      </c>
      <c r="Z275" s="3">
        <v>1.53</v>
      </c>
      <c r="AB275" s="16"/>
      <c r="AD275" s="16"/>
      <c r="AE275" s="1">
        <v>1</v>
      </c>
    </row>
    <row r="276" spans="1:31" x14ac:dyDescent="0.2">
      <c r="A276" s="1">
        <v>275</v>
      </c>
      <c r="B276" s="1">
        <v>2016</v>
      </c>
      <c r="C276" s="1" t="s">
        <v>96</v>
      </c>
      <c r="D276" s="8" t="s">
        <v>187</v>
      </c>
      <c r="E276" s="8" t="s">
        <v>465</v>
      </c>
      <c r="F276" s="1" t="s">
        <v>32</v>
      </c>
      <c r="I276" s="12">
        <v>10.35</v>
      </c>
      <c r="J276" s="7">
        <v>29.571428571428601</v>
      </c>
      <c r="L276" s="5">
        <v>2748.5</v>
      </c>
      <c r="N276" s="5">
        <v>28436.55</v>
      </c>
      <c r="O276" s="6">
        <v>35.094999999999999</v>
      </c>
      <c r="P276" s="6">
        <v>5.1974999999999998</v>
      </c>
      <c r="Q276" s="6">
        <v>55.282499999999999</v>
      </c>
      <c r="R276" s="6">
        <v>37.265000000000001</v>
      </c>
      <c r="S276" s="6"/>
      <c r="T276" s="6">
        <v>37.477499999999999</v>
      </c>
      <c r="U276" s="6">
        <v>15.6675</v>
      </c>
      <c r="V276" s="6">
        <v>13.2</v>
      </c>
      <c r="W276" s="3">
        <v>0.61</v>
      </c>
      <c r="X276" s="6"/>
      <c r="Y276" s="6">
        <v>54.04</v>
      </c>
      <c r="Z276" s="3">
        <v>2.1419865499999999</v>
      </c>
      <c r="AA276" s="6">
        <v>1</v>
      </c>
      <c r="AB276" s="16">
        <f>AA276*10</f>
        <v>10</v>
      </c>
      <c r="AC276" s="6">
        <v>1</v>
      </c>
      <c r="AD276" s="16">
        <f>AC276*10</f>
        <v>10</v>
      </c>
      <c r="AE276" s="1">
        <v>0</v>
      </c>
    </row>
    <row r="277" spans="1:31" x14ac:dyDescent="0.2">
      <c r="A277" s="1">
        <v>276</v>
      </c>
      <c r="B277" s="1">
        <v>2014</v>
      </c>
      <c r="C277" s="1" t="s">
        <v>88</v>
      </c>
      <c r="D277" s="8" t="s">
        <v>187</v>
      </c>
      <c r="E277" s="8" t="s">
        <v>458</v>
      </c>
      <c r="F277" s="8" t="s">
        <v>83</v>
      </c>
      <c r="G277" s="8"/>
      <c r="H277" s="8"/>
      <c r="I277" s="12">
        <v>6.92</v>
      </c>
      <c r="J277" s="7">
        <v>19.771428571428601</v>
      </c>
      <c r="K277" s="13"/>
      <c r="L277" s="14">
        <v>2750</v>
      </c>
      <c r="M277" s="14"/>
      <c r="N277" s="14">
        <v>19057</v>
      </c>
      <c r="O277" s="13">
        <v>29.9</v>
      </c>
      <c r="P277" s="13">
        <v>9.4</v>
      </c>
      <c r="Q277" s="13">
        <v>58.8</v>
      </c>
      <c r="R277" s="13">
        <v>54.3</v>
      </c>
      <c r="S277" s="13"/>
      <c r="T277" s="13"/>
      <c r="U277" s="13">
        <v>9.1</v>
      </c>
      <c r="V277" s="13">
        <v>2.4</v>
      </c>
      <c r="W277" s="7">
        <v>0.6</v>
      </c>
      <c r="X277" s="15"/>
      <c r="Y277" s="13">
        <v>58.7</v>
      </c>
      <c r="Z277" s="7">
        <v>2.2200000000000002</v>
      </c>
      <c r="AA277" s="13">
        <v>5.6</v>
      </c>
      <c r="AB277" s="16">
        <f>AA277*10</f>
        <v>56</v>
      </c>
      <c r="AC277" s="8">
        <v>1</v>
      </c>
      <c r="AD277" s="16">
        <f>AC277*10</f>
        <v>10</v>
      </c>
      <c r="AE277" s="1">
        <v>1</v>
      </c>
    </row>
    <row r="278" spans="1:31" ht="17" x14ac:dyDescent="0.2">
      <c r="A278" s="1">
        <v>277</v>
      </c>
      <c r="B278" s="1">
        <v>2018</v>
      </c>
      <c r="C278" s="1" t="s">
        <v>31</v>
      </c>
      <c r="D278" s="1" t="s">
        <v>916</v>
      </c>
      <c r="E278" s="8" t="s">
        <v>650</v>
      </c>
      <c r="F278" s="1" t="s">
        <v>83</v>
      </c>
      <c r="G278" s="8">
        <v>115</v>
      </c>
      <c r="H278" s="1" t="s">
        <v>34</v>
      </c>
      <c r="I278" s="12">
        <v>6</v>
      </c>
      <c r="J278" s="3">
        <v>17.3</v>
      </c>
      <c r="L278" s="5">
        <v>2753.75</v>
      </c>
      <c r="M278" s="6" t="s">
        <v>34</v>
      </c>
      <c r="N278" s="5">
        <v>16712</v>
      </c>
      <c r="O278" s="6">
        <v>44.3</v>
      </c>
      <c r="P278" s="18">
        <v>8.4350000000000005</v>
      </c>
      <c r="Q278" s="6">
        <v>42.207500000000003</v>
      </c>
      <c r="R278" s="6">
        <v>52.26</v>
      </c>
      <c r="S278" s="3"/>
      <c r="T278" s="6">
        <v>26.727499999999999</v>
      </c>
      <c r="U278" s="6">
        <v>33.692500000000003</v>
      </c>
      <c r="V278" s="6">
        <v>7.2149999999999999</v>
      </c>
      <c r="W278" s="3">
        <v>0.71802499999999991</v>
      </c>
      <c r="X278" s="6"/>
      <c r="Y278" s="6">
        <v>69.375</v>
      </c>
      <c r="Z278" s="3">
        <v>1.33</v>
      </c>
      <c r="AB278" s="16"/>
      <c r="AD278" s="16"/>
      <c r="AE278" s="1">
        <v>1</v>
      </c>
    </row>
    <row r="279" spans="1:31" x14ac:dyDescent="0.2">
      <c r="A279" s="1">
        <v>278</v>
      </c>
      <c r="B279" s="1">
        <v>2010</v>
      </c>
      <c r="C279" s="1" t="s">
        <v>88</v>
      </c>
      <c r="D279" s="8" t="s">
        <v>1023</v>
      </c>
      <c r="E279" s="8">
        <v>26837</v>
      </c>
      <c r="F279" s="1" t="s">
        <v>83</v>
      </c>
      <c r="I279" s="12">
        <v>6.87</v>
      </c>
      <c r="J279" s="7">
        <v>19.628571428571401</v>
      </c>
      <c r="L279" s="16">
        <v>2754</v>
      </c>
      <c r="M279" s="1" t="s">
        <v>34</v>
      </c>
      <c r="N279" s="16">
        <v>18909</v>
      </c>
      <c r="O279" s="15">
        <v>30.2</v>
      </c>
      <c r="P279" s="15">
        <v>9.1</v>
      </c>
      <c r="Q279" s="15">
        <v>50.9</v>
      </c>
      <c r="R279" s="15">
        <v>51.6</v>
      </c>
      <c r="T279" s="15"/>
      <c r="U279" s="15">
        <v>33.700000000000003</v>
      </c>
      <c r="V279" s="15">
        <v>3.2</v>
      </c>
      <c r="W279" s="12"/>
      <c r="X279" s="15"/>
      <c r="Y279" s="15">
        <v>62.6</v>
      </c>
      <c r="Z279" s="12">
        <v>1.81</v>
      </c>
      <c r="AA279" s="13">
        <v>2</v>
      </c>
      <c r="AB279" s="16">
        <f>AA279*10</f>
        <v>20</v>
      </c>
      <c r="AC279" s="13">
        <v>1</v>
      </c>
      <c r="AD279" s="16">
        <f>AC279*10</f>
        <v>10</v>
      </c>
      <c r="AE279" s="1">
        <v>1</v>
      </c>
    </row>
    <row r="280" spans="1:31" x14ac:dyDescent="0.2">
      <c r="A280" s="1">
        <v>279</v>
      </c>
      <c r="B280" s="1">
        <v>2008</v>
      </c>
      <c r="C280" s="8" t="s">
        <v>88</v>
      </c>
      <c r="D280" s="1" t="s">
        <v>916</v>
      </c>
      <c r="E280" s="8">
        <v>9161</v>
      </c>
      <c r="F280" s="8" t="s">
        <v>32</v>
      </c>
      <c r="G280" s="8"/>
      <c r="H280" s="8"/>
      <c r="I280" s="12">
        <v>6.99</v>
      </c>
      <c r="J280" s="7">
        <v>20</v>
      </c>
      <c r="K280" s="13"/>
      <c r="L280" s="14">
        <v>2754</v>
      </c>
      <c r="M280" s="14"/>
      <c r="N280" s="14">
        <v>19235</v>
      </c>
      <c r="O280" s="13">
        <v>28.8</v>
      </c>
      <c r="P280" s="13">
        <v>6.8</v>
      </c>
      <c r="Q280" s="13">
        <v>50.8</v>
      </c>
      <c r="R280" s="13">
        <v>49.5</v>
      </c>
      <c r="S280" s="13"/>
      <c r="T280" s="13"/>
      <c r="U280" s="13">
        <v>33.6</v>
      </c>
      <c r="V280" s="15" t="s">
        <v>89</v>
      </c>
      <c r="X280" s="15"/>
      <c r="Y280" s="13">
        <v>64.2</v>
      </c>
      <c r="Z280" s="7">
        <v>1.77</v>
      </c>
      <c r="AB280" s="16"/>
      <c r="AD280" s="16"/>
      <c r="AE280" s="1">
        <v>1</v>
      </c>
    </row>
    <row r="281" spans="1:31" x14ac:dyDescent="0.2">
      <c r="A281" s="1">
        <v>280</v>
      </c>
      <c r="B281" s="1">
        <v>2019</v>
      </c>
      <c r="C281" s="1" t="s">
        <v>88</v>
      </c>
      <c r="D281" s="8" t="s">
        <v>187</v>
      </c>
      <c r="E281" s="8">
        <v>19042</v>
      </c>
      <c r="F281" s="1" t="s">
        <v>32</v>
      </c>
      <c r="I281" s="12">
        <v>6.2</v>
      </c>
      <c r="J281" s="3">
        <v>17.715</v>
      </c>
      <c r="L281" s="5">
        <v>2754.5</v>
      </c>
      <c r="N281" s="5">
        <v>17057.5</v>
      </c>
      <c r="O281" s="6">
        <v>30.06</v>
      </c>
      <c r="P281" s="6">
        <v>4.58</v>
      </c>
      <c r="Q281" s="6">
        <v>55.362499999999997</v>
      </c>
      <c r="R281" s="6">
        <v>41.844999999999999</v>
      </c>
      <c r="S281" s="3"/>
      <c r="T281" s="6">
        <v>37.234999999999999</v>
      </c>
      <c r="U281" s="6">
        <v>4.1550000000000002</v>
      </c>
      <c r="V281" s="6">
        <v>20.984999999999999</v>
      </c>
      <c r="W281" s="3">
        <v>0.6613500000000001</v>
      </c>
      <c r="X281" s="6"/>
      <c r="Y281" s="6">
        <v>55.06</v>
      </c>
      <c r="Z281" s="3">
        <v>1.4375</v>
      </c>
      <c r="AB281" s="16"/>
      <c r="AC281" s="6">
        <v>0</v>
      </c>
      <c r="AD281" s="16">
        <f>AC281*10</f>
        <v>0</v>
      </c>
      <c r="AE281" s="1">
        <v>1</v>
      </c>
    </row>
    <row r="282" spans="1:31" x14ac:dyDescent="0.2">
      <c r="A282" s="1">
        <v>281</v>
      </c>
      <c r="B282" s="1">
        <v>2018</v>
      </c>
      <c r="C282" s="1" t="s">
        <v>31</v>
      </c>
      <c r="D282" s="8" t="s">
        <v>402</v>
      </c>
      <c r="E282" s="8" t="s">
        <v>532</v>
      </c>
      <c r="F282" s="1" t="s">
        <v>83</v>
      </c>
      <c r="G282" s="8">
        <v>118</v>
      </c>
      <c r="I282" s="12">
        <v>5.7830307100000002</v>
      </c>
      <c r="J282" s="3">
        <v>16.522944899999999</v>
      </c>
      <c r="L282" s="5">
        <v>2754.75</v>
      </c>
      <c r="N282" s="5">
        <v>15946.5</v>
      </c>
      <c r="O282" s="6">
        <v>46.7</v>
      </c>
      <c r="P282" s="18">
        <v>8.5449999999999999</v>
      </c>
      <c r="Q282" s="6">
        <v>40.21</v>
      </c>
      <c r="R282" s="6">
        <v>53.6</v>
      </c>
      <c r="S282" s="3"/>
      <c r="T282" s="6">
        <v>24.577500000000001</v>
      </c>
      <c r="U282" s="6">
        <v>35.700000000000003</v>
      </c>
      <c r="V282" s="6">
        <v>6.8525</v>
      </c>
      <c r="W282" s="3">
        <v>0.72900000000000009</v>
      </c>
      <c r="X282" s="6"/>
      <c r="Y282" s="6">
        <v>70.400000000000006</v>
      </c>
      <c r="Z282" s="3">
        <v>1.2379647499999999</v>
      </c>
      <c r="AB282" s="16"/>
      <c r="AD282" s="16"/>
      <c r="AE282" s="1">
        <v>1</v>
      </c>
    </row>
    <row r="283" spans="1:31" x14ac:dyDescent="0.2">
      <c r="A283" s="1">
        <v>282</v>
      </c>
      <c r="B283" s="1">
        <v>2011</v>
      </c>
      <c r="C283" s="1" t="s">
        <v>88</v>
      </c>
      <c r="D283" s="8" t="s">
        <v>1023</v>
      </c>
      <c r="E283" s="8" t="s">
        <v>239</v>
      </c>
      <c r="F283" s="1" t="s">
        <v>32</v>
      </c>
      <c r="I283" s="12">
        <v>7.26</v>
      </c>
      <c r="J283" s="12">
        <v>21.771428571428601</v>
      </c>
      <c r="K283" s="13"/>
      <c r="L283" s="14">
        <v>2755</v>
      </c>
      <c r="M283" s="14"/>
      <c r="N283" s="14">
        <v>20031</v>
      </c>
      <c r="O283" s="13">
        <v>27.2</v>
      </c>
      <c r="P283" s="13">
        <v>7.5</v>
      </c>
      <c r="Q283" s="13">
        <v>53.6</v>
      </c>
      <c r="R283" s="13">
        <v>56.2</v>
      </c>
      <c r="T283" s="15"/>
      <c r="U283" s="15" t="s">
        <v>89</v>
      </c>
      <c r="V283" s="13">
        <v>1.9</v>
      </c>
      <c r="W283" s="12" t="s">
        <v>89</v>
      </c>
      <c r="X283" s="15" t="s">
        <v>89</v>
      </c>
      <c r="Y283" s="13">
        <v>63.4</v>
      </c>
      <c r="Z283" s="7">
        <v>2.1800000000000002</v>
      </c>
      <c r="AA283" s="1">
        <v>0.3</v>
      </c>
      <c r="AB283" s="16">
        <f>AA283*10</f>
        <v>3</v>
      </c>
      <c r="AC283" s="1">
        <v>0</v>
      </c>
      <c r="AD283" s="16">
        <f>AC283*10</f>
        <v>0</v>
      </c>
      <c r="AE283" s="1">
        <v>1</v>
      </c>
    </row>
    <row r="284" spans="1:31" ht="17" x14ac:dyDescent="0.2">
      <c r="A284" s="1">
        <v>283</v>
      </c>
      <c r="B284" s="1">
        <v>2019</v>
      </c>
      <c r="C284" s="1" t="s">
        <v>88</v>
      </c>
      <c r="D284" s="9" t="s">
        <v>738</v>
      </c>
      <c r="E284" s="9" t="s">
        <v>574</v>
      </c>
      <c r="F284" s="1" t="s">
        <v>83</v>
      </c>
      <c r="I284" s="12">
        <v>6.125</v>
      </c>
      <c r="J284" s="3">
        <v>17.475000000000001</v>
      </c>
      <c r="L284" s="5">
        <v>2755.5</v>
      </c>
      <c r="N284" s="5">
        <v>16884.224999999999</v>
      </c>
      <c r="O284" s="6">
        <v>30.8</v>
      </c>
      <c r="P284" s="6">
        <v>8.9725000000000001</v>
      </c>
      <c r="Q284" s="6">
        <v>50.587499999999999</v>
      </c>
      <c r="R284" s="6">
        <v>36.284999999999997</v>
      </c>
      <c r="S284" s="3"/>
      <c r="T284" s="6">
        <v>33.204999999999998</v>
      </c>
      <c r="U284" s="6">
        <v>20.6</v>
      </c>
      <c r="V284" s="6">
        <v>3.7875000000000001</v>
      </c>
      <c r="W284" s="3">
        <v>0.64647499999999991</v>
      </c>
      <c r="X284" s="6"/>
      <c r="Y284" s="6">
        <v>62.95</v>
      </c>
      <c r="Z284" s="3">
        <v>1.1274999999999999</v>
      </c>
      <c r="AB284" s="16"/>
      <c r="AC284" s="4">
        <v>3</v>
      </c>
      <c r="AD284" s="16">
        <f>AC284*10</f>
        <v>30</v>
      </c>
      <c r="AE284" s="1">
        <v>1</v>
      </c>
    </row>
    <row r="285" spans="1:31" x14ac:dyDescent="0.2">
      <c r="A285" s="1">
        <v>284</v>
      </c>
      <c r="B285" s="1">
        <v>2018</v>
      </c>
      <c r="C285" s="1" t="s">
        <v>88</v>
      </c>
      <c r="D285" s="28" t="s">
        <v>914</v>
      </c>
      <c r="E285" s="1" t="s">
        <v>692</v>
      </c>
      <c r="F285" s="1" t="s">
        <v>83</v>
      </c>
      <c r="I285" s="12">
        <v>4.2302709800000002</v>
      </c>
      <c r="J285" s="7">
        <v>12.0864885</v>
      </c>
      <c r="L285" s="14">
        <v>2757.25</v>
      </c>
      <c r="N285" s="14">
        <v>11708.6916</v>
      </c>
      <c r="O285" s="13">
        <v>30.545000000000002</v>
      </c>
      <c r="P285" s="13">
        <v>9.7100000000000009</v>
      </c>
      <c r="Q285" s="13">
        <v>52.44</v>
      </c>
      <c r="R285" s="13">
        <v>36.9375</v>
      </c>
      <c r="S285" s="7">
        <v>21.287500000000001</v>
      </c>
      <c r="U285" s="13">
        <v>16.059999999999999</v>
      </c>
      <c r="V285" s="13">
        <v>6.6825000000000001</v>
      </c>
      <c r="W285" s="7">
        <v>0.642675</v>
      </c>
      <c r="X285" s="13"/>
      <c r="Y285" s="13">
        <v>54.772500000000001</v>
      </c>
      <c r="Z285" s="7">
        <v>0.82313776000000005</v>
      </c>
      <c r="AA285" s="14">
        <v>2.5</v>
      </c>
      <c r="AB285" s="16">
        <f>AA285*33.334</f>
        <v>83.335000000000008</v>
      </c>
      <c r="AD285" s="16"/>
      <c r="AE285" s="1">
        <v>1</v>
      </c>
    </row>
    <row r="286" spans="1:31" x14ac:dyDescent="0.2">
      <c r="A286" s="1">
        <v>285</v>
      </c>
      <c r="B286" s="1">
        <v>2011</v>
      </c>
      <c r="C286" s="1" t="s">
        <v>88</v>
      </c>
      <c r="D286" s="8" t="s">
        <v>240</v>
      </c>
      <c r="E286" s="8" t="s">
        <v>241</v>
      </c>
      <c r="F286" s="1" t="s">
        <v>32</v>
      </c>
      <c r="I286" s="12">
        <v>6.52</v>
      </c>
      <c r="J286" s="12">
        <v>13.714285714285699</v>
      </c>
      <c r="K286" s="13"/>
      <c r="L286" s="14">
        <v>2758</v>
      </c>
      <c r="M286" s="14"/>
      <c r="N286" s="14">
        <v>17982</v>
      </c>
      <c r="O286" s="13">
        <v>28.2</v>
      </c>
      <c r="P286" s="13">
        <v>7.1</v>
      </c>
      <c r="Q286" s="13">
        <v>53</v>
      </c>
      <c r="R286" s="13">
        <v>54.9</v>
      </c>
      <c r="T286" s="15"/>
      <c r="U286" s="15" t="s">
        <v>89</v>
      </c>
      <c r="V286" s="13">
        <v>1.8</v>
      </c>
      <c r="W286" s="12" t="s">
        <v>89</v>
      </c>
      <c r="X286" s="15" t="s">
        <v>89</v>
      </c>
      <c r="Y286" s="13">
        <v>63.7</v>
      </c>
      <c r="Z286" s="7">
        <v>1.9</v>
      </c>
      <c r="AA286" s="1">
        <v>0.5</v>
      </c>
      <c r="AB286" s="16">
        <f>AA286*10</f>
        <v>5</v>
      </c>
      <c r="AC286" s="1">
        <v>5.3</v>
      </c>
      <c r="AD286" s="16">
        <f>AC286*10</f>
        <v>53</v>
      </c>
      <c r="AE286" s="1">
        <v>1</v>
      </c>
    </row>
    <row r="287" spans="1:31" ht="17" x14ac:dyDescent="0.2">
      <c r="A287" s="1">
        <v>286</v>
      </c>
      <c r="B287" s="1">
        <v>2019</v>
      </c>
      <c r="C287" s="1" t="s">
        <v>88</v>
      </c>
      <c r="D287" s="28" t="s">
        <v>914</v>
      </c>
      <c r="E287" s="1" t="s">
        <v>693</v>
      </c>
      <c r="F287" s="1" t="s">
        <v>32</v>
      </c>
      <c r="H287" s="1" t="s">
        <v>34</v>
      </c>
      <c r="I287" s="12">
        <v>9</v>
      </c>
      <c r="J287" s="3">
        <v>25.6</v>
      </c>
      <c r="L287" s="5">
        <v>2762.25</v>
      </c>
      <c r="M287" s="6" t="s">
        <v>34</v>
      </c>
      <c r="N287" s="5">
        <v>24738.799999999999</v>
      </c>
      <c r="O287" s="6">
        <v>32.7425</v>
      </c>
      <c r="P287" s="6">
        <v>6.0625</v>
      </c>
      <c r="Q287" s="6">
        <v>51.005000000000003</v>
      </c>
      <c r="R287" s="6">
        <v>34.432499999999997</v>
      </c>
      <c r="S287" s="3"/>
      <c r="T287" s="6">
        <v>33.587499999999999</v>
      </c>
      <c r="U287" s="6">
        <v>14.81</v>
      </c>
      <c r="V287" s="6">
        <v>22.4</v>
      </c>
      <c r="W287" s="3">
        <v>0.67367500000000002</v>
      </c>
      <c r="X287" s="6"/>
      <c r="Y287" s="6">
        <v>54.3675</v>
      </c>
      <c r="Z287" s="3">
        <v>1.5774999999999999</v>
      </c>
      <c r="AB287" s="16"/>
      <c r="AC287" s="6">
        <v>0</v>
      </c>
      <c r="AD287" s="16">
        <f>AC287*10</f>
        <v>0</v>
      </c>
      <c r="AE287" s="1">
        <v>1</v>
      </c>
    </row>
    <row r="288" spans="1:31" x14ac:dyDescent="0.2">
      <c r="A288" s="1">
        <v>287</v>
      </c>
      <c r="B288" s="1">
        <v>2018</v>
      </c>
      <c r="C288" s="1" t="s">
        <v>96</v>
      </c>
      <c r="D288" s="28" t="s">
        <v>914</v>
      </c>
      <c r="E288" s="8" t="s">
        <v>695</v>
      </c>
      <c r="F288" s="1" t="s">
        <v>83</v>
      </c>
      <c r="I288" s="12">
        <v>3.5138087200000001</v>
      </c>
      <c r="J288" s="7">
        <v>10.0394535</v>
      </c>
      <c r="K288" s="1" t="s">
        <v>34</v>
      </c>
      <c r="L288" s="14">
        <v>2765</v>
      </c>
      <c r="N288" s="14">
        <v>9760.7201999999997</v>
      </c>
      <c r="O288" s="13">
        <v>29.54</v>
      </c>
      <c r="P288" s="13">
        <v>9.49</v>
      </c>
      <c r="Q288" s="13">
        <v>56.594999999999999</v>
      </c>
      <c r="R288" s="13">
        <v>49.045000000000002</v>
      </c>
      <c r="S288" s="7">
        <v>17.25</v>
      </c>
      <c r="T288" s="15" t="s">
        <v>89</v>
      </c>
      <c r="U288" s="13">
        <v>4.7850000000000001</v>
      </c>
      <c r="V288" s="13">
        <v>12.35</v>
      </c>
      <c r="W288" s="7">
        <v>0.62639999999999996</v>
      </c>
      <c r="X288" s="13"/>
      <c r="Y288" s="13">
        <v>56.7</v>
      </c>
      <c r="Z288" s="7">
        <v>0.97007953000000002</v>
      </c>
      <c r="AA288" s="14">
        <v>1</v>
      </c>
      <c r="AB288" s="16">
        <f>AA288*33.334</f>
        <v>33.334000000000003</v>
      </c>
      <c r="AD288" s="16"/>
      <c r="AE288" s="1">
        <v>0</v>
      </c>
    </row>
    <row r="289" spans="1:31" x14ac:dyDescent="0.2">
      <c r="A289" s="1">
        <v>288</v>
      </c>
      <c r="B289" s="1">
        <v>2015</v>
      </c>
      <c r="C289" s="8" t="s">
        <v>88</v>
      </c>
      <c r="D289" s="8" t="s">
        <v>187</v>
      </c>
      <c r="E289" s="8" t="s">
        <v>188</v>
      </c>
      <c r="F289" s="1" t="s">
        <v>83</v>
      </c>
      <c r="I289" s="12">
        <v>7.82</v>
      </c>
      <c r="J289" s="7">
        <v>22.342857142857145</v>
      </c>
      <c r="L289" s="14">
        <v>2767</v>
      </c>
      <c r="N289" s="14">
        <v>21711</v>
      </c>
      <c r="O289" s="13">
        <v>29.3</v>
      </c>
      <c r="P289" s="13">
        <v>6</v>
      </c>
      <c r="Q289" s="13">
        <v>58.1</v>
      </c>
      <c r="R289" s="13">
        <v>40.5</v>
      </c>
      <c r="S289" s="8"/>
      <c r="T289" s="13" t="s">
        <v>89</v>
      </c>
      <c r="U289" s="13">
        <v>13.5</v>
      </c>
      <c r="V289" s="13">
        <v>9.6</v>
      </c>
      <c r="W289" s="7">
        <v>0.64</v>
      </c>
      <c r="X289" s="13"/>
      <c r="Y289" s="13">
        <v>54.5</v>
      </c>
      <c r="Z289" s="7">
        <v>1.84</v>
      </c>
      <c r="AA289" s="13">
        <v>2.7</v>
      </c>
      <c r="AB289" s="16">
        <f>AA289*10</f>
        <v>27</v>
      </c>
      <c r="AC289" s="13">
        <v>1</v>
      </c>
      <c r="AD289" s="16">
        <f>AC289*10</f>
        <v>10</v>
      </c>
      <c r="AE289" s="1">
        <v>1</v>
      </c>
    </row>
    <row r="290" spans="1:31" x14ac:dyDescent="0.2">
      <c r="A290" s="1">
        <v>289</v>
      </c>
      <c r="B290" s="1">
        <v>2018</v>
      </c>
      <c r="C290" s="1" t="s">
        <v>31</v>
      </c>
      <c r="D290" s="1" t="s">
        <v>916</v>
      </c>
      <c r="E290" s="8" t="s">
        <v>653</v>
      </c>
      <c r="F290" s="1" t="s">
        <v>83</v>
      </c>
      <c r="G290" s="8">
        <v>117</v>
      </c>
      <c r="I290" s="12">
        <v>5.2391052699999996</v>
      </c>
      <c r="J290" s="3">
        <v>14.9688722</v>
      </c>
      <c r="L290" s="5">
        <v>2767.25</v>
      </c>
      <c r="N290" s="5">
        <v>14489.5</v>
      </c>
      <c r="O290" s="6">
        <v>41.8125</v>
      </c>
      <c r="P290" s="18">
        <v>9.1750000000000007</v>
      </c>
      <c r="Q290" s="6">
        <v>41.2575</v>
      </c>
      <c r="R290" s="6">
        <v>50.96</v>
      </c>
      <c r="S290" s="3"/>
      <c r="T290" s="6">
        <v>26.35</v>
      </c>
      <c r="U290" s="6">
        <v>35.700000000000003</v>
      </c>
      <c r="V290" s="6">
        <v>8.4</v>
      </c>
      <c r="W290" s="3">
        <v>0.70779999999999998</v>
      </c>
      <c r="X290" s="6"/>
      <c r="Y290" s="6">
        <v>68.454999999999998</v>
      </c>
      <c r="Z290" s="3">
        <v>1.08654731</v>
      </c>
      <c r="AB290" s="16"/>
      <c r="AD290" s="16"/>
      <c r="AE290" s="1">
        <v>1</v>
      </c>
    </row>
    <row r="291" spans="1:31" x14ac:dyDescent="0.2">
      <c r="A291" s="1">
        <v>290</v>
      </c>
      <c r="B291" s="1">
        <v>2010</v>
      </c>
      <c r="C291" s="1" t="s">
        <v>88</v>
      </c>
      <c r="D291" s="8" t="s">
        <v>187</v>
      </c>
      <c r="E291" s="8" t="s">
        <v>188</v>
      </c>
      <c r="F291" s="1" t="s">
        <v>32</v>
      </c>
      <c r="I291" s="12">
        <v>9.5299999999999994</v>
      </c>
      <c r="J291" s="7">
        <v>27.2</v>
      </c>
      <c r="L291" s="14">
        <v>2772</v>
      </c>
      <c r="M291" s="14" t="s">
        <v>34</v>
      </c>
      <c r="N291" s="14">
        <v>26429</v>
      </c>
      <c r="O291" s="13">
        <v>25.7</v>
      </c>
      <c r="P291" s="13">
        <v>7.4</v>
      </c>
      <c r="Q291" s="13">
        <v>52.1</v>
      </c>
      <c r="R291" s="13">
        <v>51.1</v>
      </c>
      <c r="S291" s="13"/>
      <c r="T291" s="13"/>
      <c r="U291" s="13">
        <v>35.1</v>
      </c>
      <c r="V291" s="13">
        <v>1.3</v>
      </c>
      <c r="W291" s="7"/>
      <c r="X291" s="13"/>
      <c r="Y291" s="13">
        <v>61.1</v>
      </c>
      <c r="Z291" s="7">
        <v>2.5299999999999998</v>
      </c>
      <c r="AA291" s="13">
        <v>2</v>
      </c>
      <c r="AB291" s="16">
        <f>AA291*10</f>
        <v>20</v>
      </c>
      <c r="AC291" s="13">
        <v>10</v>
      </c>
      <c r="AD291" s="16">
        <f>AC291*10</f>
        <v>100</v>
      </c>
      <c r="AE291" s="1">
        <v>1</v>
      </c>
    </row>
    <row r="292" spans="1:31" ht="17" x14ac:dyDescent="0.2">
      <c r="A292" s="1">
        <v>291</v>
      </c>
      <c r="B292" s="1">
        <v>2018</v>
      </c>
      <c r="C292" s="1" t="s">
        <v>31</v>
      </c>
      <c r="D292" s="1" t="s">
        <v>805</v>
      </c>
      <c r="E292" s="8" t="s">
        <v>662</v>
      </c>
      <c r="F292" s="1" t="s">
        <v>83</v>
      </c>
      <c r="G292" s="8">
        <v>117</v>
      </c>
      <c r="H292" s="1" t="s">
        <v>34</v>
      </c>
      <c r="I292" s="12">
        <v>6.2</v>
      </c>
      <c r="J292" s="3">
        <v>17.8</v>
      </c>
      <c r="L292" s="5">
        <v>2772.25</v>
      </c>
      <c r="M292" s="6" t="s">
        <v>34</v>
      </c>
      <c r="N292" s="5">
        <v>17292</v>
      </c>
      <c r="O292" s="6">
        <v>48.3</v>
      </c>
      <c r="P292" s="18">
        <v>8.1999999999999993</v>
      </c>
      <c r="Q292" s="6">
        <v>39.4925</v>
      </c>
      <c r="R292" s="6">
        <v>53.9</v>
      </c>
      <c r="S292" s="3"/>
      <c r="T292" s="6">
        <v>24.16</v>
      </c>
      <c r="U292" s="6">
        <v>38</v>
      </c>
      <c r="V292" s="6">
        <v>6.4074999999999998</v>
      </c>
      <c r="W292" s="3">
        <v>0.73599999999999999</v>
      </c>
      <c r="X292" s="6"/>
      <c r="Y292" s="6">
        <v>71</v>
      </c>
      <c r="Z292" s="3">
        <v>1.32</v>
      </c>
      <c r="AB292" s="16"/>
      <c r="AD292" s="16"/>
      <c r="AE292" s="1">
        <v>1</v>
      </c>
    </row>
    <row r="293" spans="1:31" x14ac:dyDescent="0.2">
      <c r="A293" s="1">
        <v>292</v>
      </c>
      <c r="B293" s="1">
        <v>2018</v>
      </c>
      <c r="C293" s="1" t="s">
        <v>96</v>
      </c>
      <c r="D293" s="28" t="s">
        <v>914</v>
      </c>
      <c r="E293" s="8" t="s">
        <v>694</v>
      </c>
      <c r="F293" s="1" t="s">
        <v>83</v>
      </c>
      <c r="I293" s="12">
        <v>3.2394587100000001</v>
      </c>
      <c r="J293" s="7">
        <v>9.2555963000000006</v>
      </c>
      <c r="K293" s="1" t="s">
        <v>34</v>
      </c>
      <c r="L293" s="14">
        <v>2772.3</v>
      </c>
      <c r="N293" s="14">
        <v>9003.5802999999996</v>
      </c>
      <c r="O293" s="13">
        <v>31.31</v>
      </c>
      <c r="P293" s="13">
        <v>10.297499999999999</v>
      </c>
      <c r="Q293" s="13">
        <v>52.43</v>
      </c>
      <c r="R293" s="13">
        <v>41.207500000000003</v>
      </c>
      <c r="S293" s="7">
        <v>19.149999999999999</v>
      </c>
      <c r="T293" s="15" t="s">
        <v>89</v>
      </c>
      <c r="U293" s="13">
        <v>14.34</v>
      </c>
      <c r="V293" s="13">
        <v>6.0149999999999997</v>
      </c>
      <c r="W293" s="7">
        <v>0.63529999999999998</v>
      </c>
      <c r="X293" s="13"/>
      <c r="Y293" s="13">
        <v>55.597499999999997</v>
      </c>
      <c r="Z293" s="7">
        <v>0.69642954999999995</v>
      </c>
      <c r="AA293" s="14">
        <v>2.5</v>
      </c>
      <c r="AB293" s="16">
        <f>AA293*33.334</f>
        <v>83.335000000000008</v>
      </c>
      <c r="AD293" s="16"/>
      <c r="AE293" s="1">
        <v>0</v>
      </c>
    </row>
    <row r="294" spans="1:31" x14ac:dyDescent="0.2">
      <c r="A294" s="1">
        <v>293</v>
      </c>
      <c r="B294" s="1">
        <v>2016</v>
      </c>
      <c r="C294" s="1" t="s">
        <v>88</v>
      </c>
      <c r="D294" s="1" t="s">
        <v>246</v>
      </c>
      <c r="E294" s="8" t="s">
        <v>250</v>
      </c>
      <c r="F294" s="1" t="s">
        <v>83</v>
      </c>
      <c r="I294" s="12">
        <v>4.6976550100000001</v>
      </c>
      <c r="J294" s="3">
        <v>13.421871400000001</v>
      </c>
      <c r="L294" s="5">
        <v>2773.25</v>
      </c>
      <c r="N294" s="5">
        <v>13020.8199</v>
      </c>
      <c r="O294" s="6">
        <v>31.3</v>
      </c>
      <c r="P294" s="6">
        <v>6.6425000000000001</v>
      </c>
      <c r="Q294" s="6">
        <v>55.112499999999997</v>
      </c>
      <c r="R294" s="15">
        <v>39.0625</v>
      </c>
      <c r="S294" s="6">
        <v>24.76</v>
      </c>
      <c r="T294" s="6"/>
      <c r="U294" s="6">
        <v>10.58</v>
      </c>
      <c r="V294" s="6">
        <v>14.5</v>
      </c>
      <c r="W294" s="3">
        <v>0.61414999999999997</v>
      </c>
      <c r="X294" s="6"/>
      <c r="Y294" s="15">
        <v>54.792499999999997</v>
      </c>
      <c r="Z294" s="3">
        <v>0.97859943000000005</v>
      </c>
      <c r="AA294" s="6">
        <v>8</v>
      </c>
      <c r="AB294" s="16">
        <f>AA294*10</f>
        <v>80</v>
      </c>
      <c r="AC294" s="6">
        <v>1</v>
      </c>
      <c r="AD294" s="16">
        <f>AC294*10</f>
        <v>10</v>
      </c>
      <c r="AE294" s="1">
        <v>1</v>
      </c>
    </row>
    <row r="295" spans="1:31" ht="17" x14ac:dyDescent="0.2">
      <c r="A295" s="1">
        <v>294</v>
      </c>
      <c r="B295" s="1">
        <v>2018</v>
      </c>
      <c r="C295" s="1" t="s">
        <v>31</v>
      </c>
      <c r="D295" s="8" t="s">
        <v>391</v>
      </c>
      <c r="E295" s="8" t="s">
        <v>671</v>
      </c>
      <c r="F295" s="1" t="s">
        <v>83</v>
      </c>
      <c r="G295" s="8">
        <v>117</v>
      </c>
      <c r="H295" s="1" t="s">
        <v>34</v>
      </c>
      <c r="I295" s="12">
        <v>7</v>
      </c>
      <c r="J295" s="3">
        <v>20.100000000000001</v>
      </c>
      <c r="L295" s="5">
        <v>2775.3333299999999</v>
      </c>
      <c r="M295" s="6" t="s">
        <v>34</v>
      </c>
      <c r="N295" s="5">
        <v>19474</v>
      </c>
      <c r="O295" s="6">
        <v>43.1</v>
      </c>
      <c r="P295" s="18">
        <v>9.8000000000000007</v>
      </c>
      <c r="Q295" s="6">
        <v>41.773333299999997</v>
      </c>
      <c r="R295" s="6">
        <v>51.533333300000002</v>
      </c>
      <c r="S295" s="3"/>
      <c r="T295" s="6">
        <v>26.183333300000001</v>
      </c>
      <c r="U295" s="6">
        <v>30.95</v>
      </c>
      <c r="V295" s="6">
        <v>7.2133333300000002</v>
      </c>
      <c r="W295" s="3">
        <v>0.70073333300000007</v>
      </c>
      <c r="X295" s="6"/>
      <c r="Y295" s="6">
        <v>67.819999999999993</v>
      </c>
      <c r="Z295" s="3">
        <v>1.52</v>
      </c>
      <c r="AB295" s="16"/>
      <c r="AD295" s="16"/>
      <c r="AE295" s="1">
        <v>1</v>
      </c>
    </row>
    <row r="296" spans="1:31" x14ac:dyDescent="0.2">
      <c r="A296" s="1">
        <v>295</v>
      </c>
      <c r="B296" s="1">
        <v>2015</v>
      </c>
      <c r="C296" s="8" t="s">
        <v>88</v>
      </c>
      <c r="D296" s="8" t="s">
        <v>1023</v>
      </c>
      <c r="E296" s="8" t="s">
        <v>338</v>
      </c>
      <c r="F296" s="1" t="s">
        <v>83</v>
      </c>
      <c r="I296" s="12">
        <v>5.6</v>
      </c>
      <c r="J296" s="7">
        <v>16</v>
      </c>
      <c r="L296" s="14">
        <v>2776</v>
      </c>
      <c r="N296" s="14">
        <v>15555</v>
      </c>
      <c r="O296" s="13">
        <v>30.5</v>
      </c>
      <c r="P296" s="13">
        <v>6.6</v>
      </c>
      <c r="Q296" s="13">
        <v>55.1</v>
      </c>
      <c r="R296" s="13">
        <v>36.700000000000003</v>
      </c>
      <c r="S296" s="8"/>
      <c r="T296" s="13" t="s">
        <v>89</v>
      </c>
      <c r="U296" s="13">
        <v>21.4</v>
      </c>
      <c r="V296" s="13">
        <v>4.2</v>
      </c>
      <c r="W296" s="7">
        <v>0.65</v>
      </c>
      <c r="X296" s="13"/>
      <c r="Y296" s="13">
        <v>54.3</v>
      </c>
      <c r="Z296" s="7">
        <v>1.1299999999999999</v>
      </c>
      <c r="AA296" s="13">
        <v>2.6</v>
      </c>
      <c r="AB296" s="16">
        <f>AA296*10</f>
        <v>26</v>
      </c>
      <c r="AC296" s="13">
        <v>1</v>
      </c>
      <c r="AD296" s="16">
        <f>AC296*10</f>
        <v>10</v>
      </c>
      <c r="AE296" s="1">
        <v>1</v>
      </c>
    </row>
    <row r="297" spans="1:31" x14ac:dyDescent="0.2">
      <c r="A297" s="1">
        <v>296</v>
      </c>
      <c r="B297" s="1">
        <v>2008</v>
      </c>
      <c r="C297" s="1" t="s">
        <v>31</v>
      </c>
      <c r="D297" s="8" t="s">
        <v>35</v>
      </c>
      <c r="E297" s="8">
        <v>9505</v>
      </c>
      <c r="F297" s="8" t="s">
        <v>83</v>
      </c>
      <c r="G297" s="8"/>
      <c r="H297" s="8" t="s">
        <v>34</v>
      </c>
      <c r="I297" s="12">
        <v>5.77</v>
      </c>
      <c r="J297" s="7">
        <v>16.5</v>
      </c>
      <c r="K297" s="13"/>
      <c r="L297" s="14">
        <v>2777</v>
      </c>
      <c r="M297" s="14"/>
      <c r="N297" s="14">
        <v>16012</v>
      </c>
      <c r="O297" s="13">
        <v>34.4</v>
      </c>
      <c r="P297" s="13">
        <v>7.9</v>
      </c>
      <c r="Q297" s="13">
        <v>41.5</v>
      </c>
      <c r="R297" s="13">
        <v>31.8</v>
      </c>
      <c r="S297" s="13"/>
      <c r="T297" s="13">
        <v>19.899999999999999</v>
      </c>
      <c r="U297" s="13">
        <v>31.2</v>
      </c>
      <c r="V297" s="15"/>
      <c r="X297" s="15"/>
      <c r="Y297" s="13">
        <v>62.6</v>
      </c>
      <c r="Z297" s="7">
        <v>0.76</v>
      </c>
      <c r="AB297" s="16"/>
      <c r="AD297" s="16"/>
      <c r="AE297" s="1">
        <v>1</v>
      </c>
    </row>
    <row r="298" spans="1:31" x14ac:dyDescent="0.2">
      <c r="A298" s="1">
        <v>297</v>
      </c>
      <c r="B298" s="1">
        <v>2010</v>
      </c>
      <c r="C298" s="1" t="s">
        <v>31</v>
      </c>
      <c r="D298" s="8" t="s">
        <v>37</v>
      </c>
      <c r="E298" s="8" t="s">
        <v>184</v>
      </c>
      <c r="F298" s="1" t="s">
        <v>83</v>
      </c>
      <c r="I298" s="12">
        <v>5.85</v>
      </c>
      <c r="J298" s="7">
        <v>16.714285714285701</v>
      </c>
      <c r="L298" s="14">
        <v>2781</v>
      </c>
      <c r="N298" s="14">
        <v>16267</v>
      </c>
      <c r="O298" s="13">
        <v>27.8</v>
      </c>
      <c r="P298" s="13">
        <v>8.8000000000000007</v>
      </c>
      <c r="Q298" s="13">
        <v>42.9</v>
      </c>
      <c r="R298" s="13">
        <v>48.5</v>
      </c>
      <c r="S298" s="13"/>
      <c r="T298" s="15"/>
      <c r="U298" s="13">
        <v>24.1</v>
      </c>
      <c r="V298" s="13">
        <v>13.2</v>
      </c>
      <c r="W298" s="12"/>
      <c r="X298" s="15"/>
      <c r="Y298" s="13">
        <v>69</v>
      </c>
      <c r="Z298" s="7">
        <v>1.21</v>
      </c>
      <c r="AB298" s="16"/>
      <c r="AD298" s="16"/>
      <c r="AE298" s="1">
        <v>1</v>
      </c>
    </row>
    <row r="299" spans="1:31" x14ac:dyDescent="0.2">
      <c r="A299" s="1">
        <v>298</v>
      </c>
      <c r="B299" s="1">
        <v>2021</v>
      </c>
      <c r="C299" s="1" t="s">
        <v>96</v>
      </c>
      <c r="D299" s="28" t="s">
        <v>914</v>
      </c>
      <c r="E299" s="1" t="s">
        <v>751</v>
      </c>
      <c r="F299" s="1" t="s">
        <v>83</v>
      </c>
      <c r="H299" s="1" t="s">
        <v>89</v>
      </c>
      <c r="I299" s="12">
        <v>5.1285753054600001</v>
      </c>
      <c r="J299" s="12">
        <v>14.653072301</v>
      </c>
      <c r="K299" s="1" t="s">
        <v>89</v>
      </c>
      <c r="L299" s="16">
        <v>2781.25</v>
      </c>
      <c r="N299" s="16">
        <v>14280.888237052999</v>
      </c>
      <c r="O299" s="15">
        <v>30.1221277</v>
      </c>
      <c r="P299" s="15">
        <v>7.192314627</v>
      </c>
      <c r="Q299" s="15">
        <v>63.837499999999999</v>
      </c>
      <c r="R299" s="15">
        <v>59.725732198999999</v>
      </c>
      <c r="U299" s="15">
        <v>1.3025</v>
      </c>
      <c r="V299" s="15">
        <v>14.44</v>
      </c>
      <c r="W299" s="12">
        <v>0.61804999999999999</v>
      </c>
      <c r="X299" s="15"/>
      <c r="Y299" s="15">
        <v>59.377499999999998</v>
      </c>
      <c r="Z299" s="12"/>
      <c r="AA299" s="1">
        <v>0.75</v>
      </c>
      <c r="AB299" s="16">
        <f>AA299*33.334</f>
        <v>25.000500000000002</v>
      </c>
      <c r="AD299" s="16"/>
      <c r="AE299" s="1">
        <v>0</v>
      </c>
    </row>
    <row r="300" spans="1:31" ht="17" x14ac:dyDescent="0.2">
      <c r="A300" s="1">
        <v>299</v>
      </c>
      <c r="B300" s="1">
        <v>2019</v>
      </c>
      <c r="C300" s="1" t="s">
        <v>88</v>
      </c>
      <c r="D300" s="8" t="s">
        <v>738</v>
      </c>
      <c r="E300" s="8" t="s">
        <v>583</v>
      </c>
      <c r="F300" s="1" t="s">
        <v>32</v>
      </c>
      <c r="H300" s="1" t="s">
        <v>34</v>
      </c>
      <c r="I300" s="12">
        <v>9.3000000000000007</v>
      </c>
      <c r="J300" s="3">
        <v>26.6</v>
      </c>
      <c r="L300" s="5">
        <v>2781.25</v>
      </c>
      <c r="M300" s="6" t="s">
        <v>34</v>
      </c>
      <c r="N300" s="5">
        <v>26103</v>
      </c>
      <c r="O300" s="6">
        <v>33.657499999999999</v>
      </c>
      <c r="P300" s="6">
        <v>7.2</v>
      </c>
      <c r="Q300" s="6">
        <v>50.9</v>
      </c>
      <c r="R300" s="6">
        <v>36.25</v>
      </c>
      <c r="S300" s="3"/>
      <c r="T300" s="6">
        <v>32.505000000000003</v>
      </c>
      <c r="U300" s="6">
        <v>15.2575</v>
      </c>
      <c r="V300" s="6">
        <v>25.2</v>
      </c>
      <c r="W300" s="3">
        <v>0.67727500000000007</v>
      </c>
      <c r="X300" s="6"/>
      <c r="Y300" s="6">
        <v>55.032499999999999</v>
      </c>
      <c r="Z300" s="3">
        <v>1.6924999999999999</v>
      </c>
      <c r="AB300" s="16"/>
      <c r="AC300" s="6">
        <v>0</v>
      </c>
      <c r="AD300" s="16">
        <f>AC300*10</f>
        <v>0</v>
      </c>
      <c r="AE300" s="1">
        <v>1</v>
      </c>
    </row>
    <row r="301" spans="1:31" x14ac:dyDescent="0.2">
      <c r="A301" s="1">
        <v>300</v>
      </c>
      <c r="B301" s="1">
        <v>2018</v>
      </c>
      <c r="C301" s="1" t="s">
        <v>88</v>
      </c>
      <c r="D301" s="8" t="s">
        <v>246</v>
      </c>
      <c r="E301" s="8" t="s">
        <v>689</v>
      </c>
      <c r="F301" s="1" t="s">
        <v>83</v>
      </c>
      <c r="I301" s="12">
        <v>4.0346423199999997</v>
      </c>
      <c r="J301" s="3">
        <v>11.527549499999999</v>
      </c>
      <c r="L301" s="5">
        <v>2782.25</v>
      </c>
      <c r="N301" s="5">
        <v>11229.5262</v>
      </c>
      <c r="O301" s="6">
        <v>29.47</v>
      </c>
      <c r="P301" s="18">
        <v>10.87</v>
      </c>
      <c r="Q301" s="6">
        <v>52.375</v>
      </c>
      <c r="R301" s="6">
        <v>37.36</v>
      </c>
      <c r="S301" s="3">
        <v>21.145</v>
      </c>
      <c r="U301" s="6">
        <v>18.84</v>
      </c>
      <c r="V301" s="6">
        <v>3.98</v>
      </c>
      <c r="W301" s="3">
        <v>0.63885000000000003</v>
      </c>
      <c r="X301" s="6"/>
      <c r="Y301" s="6">
        <v>55.07</v>
      </c>
      <c r="Z301" s="3">
        <v>0.79197916999999995</v>
      </c>
      <c r="AA301" s="5">
        <v>1.25</v>
      </c>
      <c r="AB301" s="16">
        <f>AA301*33.334</f>
        <v>41.667500000000004</v>
      </c>
      <c r="AD301" s="16"/>
      <c r="AE301" s="1">
        <v>1</v>
      </c>
    </row>
    <row r="302" spans="1:31" x14ac:dyDescent="0.2">
      <c r="A302" s="1">
        <v>301</v>
      </c>
      <c r="B302" s="1">
        <v>2016</v>
      </c>
      <c r="C302" s="1" t="s">
        <v>88</v>
      </c>
      <c r="D302" s="1" t="s">
        <v>246</v>
      </c>
      <c r="E302" s="8" t="s">
        <v>575</v>
      </c>
      <c r="F302" s="1" t="s">
        <v>83</v>
      </c>
      <c r="I302" s="12">
        <v>5.0834077500000001</v>
      </c>
      <c r="J302" s="3">
        <v>14.5240221</v>
      </c>
      <c r="L302" s="5">
        <v>2783.25</v>
      </c>
      <c r="N302" s="5">
        <v>14167.770500000001</v>
      </c>
      <c r="O302" s="6">
        <v>31.6</v>
      </c>
      <c r="P302" s="6">
        <v>8</v>
      </c>
      <c r="Q302" s="6">
        <v>55.8675</v>
      </c>
      <c r="R302" s="15">
        <v>44.164999999999999</v>
      </c>
      <c r="S302" s="6">
        <v>21.047499999999999</v>
      </c>
      <c r="T302" s="6"/>
      <c r="U302" s="6">
        <v>6.5824999999999996</v>
      </c>
      <c r="V302" s="6">
        <v>15.9</v>
      </c>
      <c r="W302" s="3">
        <v>0.60667499999999996</v>
      </c>
      <c r="X302" s="6"/>
      <c r="Y302" s="15">
        <v>55.92</v>
      </c>
      <c r="Z302" s="3">
        <v>1.20405312</v>
      </c>
      <c r="AA302" s="6">
        <v>8</v>
      </c>
      <c r="AB302" s="16">
        <f>AA302*10</f>
        <v>80</v>
      </c>
      <c r="AC302" s="6">
        <v>1.3</v>
      </c>
      <c r="AD302" s="16">
        <f>AC302*10</f>
        <v>13</v>
      </c>
      <c r="AE302" s="1">
        <v>1</v>
      </c>
    </row>
    <row r="303" spans="1:31" x14ac:dyDescent="0.2">
      <c r="A303" s="1">
        <v>302</v>
      </c>
      <c r="B303" s="1">
        <v>2019</v>
      </c>
      <c r="C303" s="1" t="s">
        <v>96</v>
      </c>
      <c r="D303" s="28" t="s">
        <v>914</v>
      </c>
      <c r="E303" s="1" t="s">
        <v>750</v>
      </c>
      <c r="F303" s="1" t="s">
        <v>83</v>
      </c>
      <c r="H303" s="1" t="s">
        <v>34</v>
      </c>
      <c r="I303" s="12">
        <v>7.35</v>
      </c>
      <c r="J303" s="3">
        <v>21.03</v>
      </c>
      <c r="K303" s="1" t="s">
        <v>34</v>
      </c>
      <c r="L303" s="5">
        <v>2785</v>
      </c>
      <c r="M303" s="1" t="s">
        <v>34</v>
      </c>
      <c r="N303" s="5">
        <v>20556.900000000001</v>
      </c>
      <c r="O303" s="6">
        <v>35.43</v>
      </c>
      <c r="P303" s="6">
        <v>8.3000000000000007</v>
      </c>
      <c r="Q303" s="6">
        <v>54.907499999999999</v>
      </c>
      <c r="R303" s="6">
        <v>40.872500000000002</v>
      </c>
      <c r="S303" s="3"/>
      <c r="T303" s="6">
        <v>36.555</v>
      </c>
      <c r="U303" s="6">
        <v>3.7925</v>
      </c>
      <c r="V303" s="6">
        <v>8.4574999999999996</v>
      </c>
      <c r="W303" s="3">
        <v>0.64390000000000003</v>
      </c>
      <c r="X303" s="6"/>
      <c r="Y303" s="6">
        <v>62.72</v>
      </c>
      <c r="Z303" s="3">
        <v>1.64</v>
      </c>
      <c r="AB303" s="16"/>
      <c r="AC303" s="4">
        <v>1</v>
      </c>
      <c r="AD303" s="16">
        <f>AC303*10</f>
        <v>10</v>
      </c>
      <c r="AE303" s="1">
        <v>0</v>
      </c>
    </row>
    <row r="304" spans="1:31" ht="17" x14ac:dyDescent="0.2">
      <c r="A304" s="1">
        <v>303</v>
      </c>
      <c r="B304" s="1">
        <v>2018</v>
      </c>
      <c r="C304" s="1" t="s">
        <v>31</v>
      </c>
      <c r="D304" s="8" t="s">
        <v>37</v>
      </c>
      <c r="E304" s="8" t="s">
        <v>620</v>
      </c>
      <c r="F304" s="1" t="s">
        <v>83</v>
      </c>
      <c r="G304" s="8">
        <v>116</v>
      </c>
      <c r="H304" s="1" t="s">
        <v>34</v>
      </c>
      <c r="I304" s="12">
        <v>6</v>
      </c>
      <c r="J304" s="3">
        <v>17.2</v>
      </c>
      <c r="L304" s="5">
        <v>2787</v>
      </c>
      <c r="M304" s="6" t="s">
        <v>34</v>
      </c>
      <c r="N304" s="5">
        <v>16793</v>
      </c>
      <c r="O304" s="6">
        <v>40.954999999999998</v>
      </c>
      <c r="P304" s="18">
        <v>9.3849999999999998</v>
      </c>
      <c r="Q304" s="6">
        <v>40.082500000000003</v>
      </c>
      <c r="R304" s="6">
        <v>47.637500000000003</v>
      </c>
      <c r="S304" s="3"/>
      <c r="T304" s="6">
        <v>25.864999999999998</v>
      </c>
      <c r="U304" s="6">
        <v>33.895000000000003</v>
      </c>
      <c r="V304" s="6">
        <v>7.8</v>
      </c>
      <c r="W304" s="3">
        <v>0.71519999999999995</v>
      </c>
      <c r="X304" s="6"/>
      <c r="Y304" s="6">
        <v>69.12</v>
      </c>
      <c r="Z304" s="3">
        <v>1.1502041599999999</v>
      </c>
      <c r="AB304" s="16"/>
      <c r="AD304" s="16"/>
      <c r="AE304" s="1">
        <v>1</v>
      </c>
    </row>
    <row r="305" spans="1:31" ht="17" x14ac:dyDescent="0.2">
      <c r="A305" s="1">
        <v>304</v>
      </c>
      <c r="B305" s="1">
        <v>2019</v>
      </c>
      <c r="C305" s="1" t="s">
        <v>88</v>
      </c>
      <c r="D305" s="28" t="s">
        <v>914</v>
      </c>
      <c r="E305" s="1" t="s">
        <v>692</v>
      </c>
      <c r="F305" s="1" t="s">
        <v>32</v>
      </c>
      <c r="H305" s="1" t="s">
        <v>34</v>
      </c>
      <c r="I305" s="12">
        <v>10.199999999999999</v>
      </c>
      <c r="J305" s="3">
        <v>29.1</v>
      </c>
      <c r="L305" s="5">
        <v>2790.75</v>
      </c>
      <c r="M305" s="6" t="s">
        <v>34</v>
      </c>
      <c r="N305" s="5">
        <v>28462.799999999999</v>
      </c>
      <c r="O305" s="6">
        <v>33.630000000000003</v>
      </c>
      <c r="P305" s="6">
        <v>6.21</v>
      </c>
      <c r="Q305" s="6">
        <v>50.182499999999997</v>
      </c>
      <c r="R305" s="6">
        <v>32.64</v>
      </c>
      <c r="S305" s="3"/>
      <c r="T305" s="6">
        <v>33.700000000000003</v>
      </c>
      <c r="U305" s="6">
        <v>15.4475</v>
      </c>
      <c r="V305" s="6">
        <v>23.7</v>
      </c>
      <c r="W305" s="3">
        <v>0.68077500000000002</v>
      </c>
      <c r="X305" s="6"/>
      <c r="Y305" s="6">
        <v>54.53</v>
      </c>
      <c r="Z305" s="3">
        <v>1.6625000000000001</v>
      </c>
      <c r="AB305" s="16"/>
      <c r="AC305" s="6">
        <v>0</v>
      </c>
      <c r="AD305" s="16">
        <f>AC305*10</f>
        <v>0</v>
      </c>
      <c r="AE305" s="1">
        <v>1</v>
      </c>
    </row>
    <row r="306" spans="1:31" x14ac:dyDescent="0.2">
      <c r="A306" s="1">
        <v>305</v>
      </c>
      <c r="B306" s="1">
        <v>2018</v>
      </c>
      <c r="C306" s="1" t="s">
        <v>96</v>
      </c>
      <c r="D306" s="28" t="s">
        <v>914</v>
      </c>
      <c r="E306" s="1" t="s">
        <v>695</v>
      </c>
      <c r="F306" s="1" t="s">
        <v>32</v>
      </c>
      <c r="I306" s="12">
        <v>7.3470170146955702</v>
      </c>
      <c r="J306" s="12">
        <v>20.991477184844499</v>
      </c>
      <c r="L306" s="16">
        <v>2791.5</v>
      </c>
      <c r="M306" s="1" t="s">
        <v>34</v>
      </c>
      <c r="N306" s="14">
        <v>20556.900000000001</v>
      </c>
      <c r="O306" s="15">
        <v>34.72</v>
      </c>
      <c r="P306" s="15">
        <v>8.1325000000000003</v>
      </c>
      <c r="Q306" s="15">
        <v>60.045000000000002</v>
      </c>
      <c r="R306" s="15">
        <v>50.22</v>
      </c>
      <c r="S306" s="12">
        <v>17.4925</v>
      </c>
      <c r="U306" s="15">
        <v>4.0949999999999998</v>
      </c>
      <c r="V306" s="15">
        <v>15.38</v>
      </c>
      <c r="W306" s="12">
        <v>0.61939999999999995</v>
      </c>
      <c r="X306" s="15"/>
      <c r="Y306" s="15">
        <v>57.04</v>
      </c>
      <c r="Z306" s="12">
        <v>1.0006252249124801</v>
      </c>
      <c r="AA306" s="16">
        <v>1.75</v>
      </c>
      <c r="AB306" s="16">
        <f>AA306*33.334</f>
        <v>58.334500000000006</v>
      </c>
      <c r="AC306" s="16">
        <v>0.5</v>
      </c>
      <c r="AD306" s="16">
        <f>AC306*33.334</f>
        <v>16.667000000000002</v>
      </c>
      <c r="AE306" s="1">
        <v>0</v>
      </c>
    </row>
    <row r="307" spans="1:31" x14ac:dyDescent="0.2">
      <c r="A307" s="1">
        <v>306</v>
      </c>
      <c r="B307" s="1">
        <v>2015</v>
      </c>
      <c r="C307" s="8" t="s">
        <v>88</v>
      </c>
      <c r="D307" s="8" t="s">
        <v>459</v>
      </c>
      <c r="E307" s="8" t="s">
        <v>511</v>
      </c>
      <c r="F307" s="1" t="s">
        <v>32</v>
      </c>
      <c r="H307" s="1" t="s">
        <v>34</v>
      </c>
      <c r="I307" s="12">
        <v>12.02</v>
      </c>
      <c r="J307" s="7">
        <v>34.4</v>
      </c>
      <c r="L307" s="14">
        <v>2792</v>
      </c>
      <c r="M307" s="1" t="s">
        <v>34</v>
      </c>
      <c r="N307" s="14">
        <v>33601</v>
      </c>
      <c r="O307" s="13">
        <v>26.2</v>
      </c>
      <c r="P307" s="13">
        <v>6.1</v>
      </c>
      <c r="Q307" s="13">
        <v>58.1</v>
      </c>
      <c r="R307" s="13">
        <v>45.5</v>
      </c>
      <c r="S307" s="8"/>
      <c r="T307" s="15" t="s">
        <v>89</v>
      </c>
      <c r="U307" s="13">
        <v>4.7</v>
      </c>
      <c r="V307" s="13">
        <v>21.2</v>
      </c>
      <c r="W307" s="7">
        <v>0.61</v>
      </c>
      <c r="X307" s="13"/>
      <c r="Y307" s="13">
        <v>55.9</v>
      </c>
      <c r="Z307" s="7">
        <v>3.18</v>
      </c>
      <c r="AA307" s="13">
        <v>2.1</v>
      </c>
      <c r="AB307" s="16">
        <f>AA307*10</f>
        <v>21</v>
      </c>
      <c r="AC307" s="13">
        <v>1</v>
      </c>
      <c r="AD307" s="16">
        <f>AC307*10</f>
        <v>10</v>
      </c>
      <c r="AE307" s="1">
        <v>1</v>
      </c>
    </row>
    <row r="308" spans="1:31" x14ac:dyDescent="0.2">
      <c r="A308" s="1">
        <v>307</v>
      </c>
      <c r="B308" s="1">
        <v>2013</v>
      </c>
      <c r="C308" s="1" t="s">
        <v>190</v>
      </c>
      <c r="D308" s="8" t="s">
        <v>391</v>
      </c>
      <c r="E308" s="8" t="s">
        <v>393</v>
      </c>
      <c r="F308" s="1" t="s">
        <v>32</v>
      </c>
      <c r="I308" s="12">
        <v>4.71</v>
      </c>
      <c r="J308" s="7">
        <v>26.5</v>
      </c>
      <c r="K308" s="13"/>
      <c r="L308" s="14">
        <v>2796</v>
      </c>
      <c r="M308" s="14"/>
      <c r="N308" s="14">
        <v>13205</v>
      </c>
      <c r="O308" s="13">
        <v>29.2</v>
      </c>
      <c r="P308" s="13">
        <v>8.91</v>
      </c>
      <c r="Q308" s="13">
        <v>56.6</v>
      </c>
      <c r="R308" s="13">
        <v>47.1</v>
      </c>
      <c r="S308" s="13"/>
      <c r="T308" s="13"/>
      <c r="U308" s="13">
        <v>17.5</v>
      </c>
      <c r="V308" s="13">
        <v>2.62</v>
      </c>
      <c r="W308" s="7">
        <v>0.59</v>
      </c>
      <c r="X308" s="13">
        <v>70.099999999999994</v>
      </c>
      <c r="Y308" s="13">
        <v>58</v>
      </c>
      <c r="Z308" s="7">
        <v>1.25</v>
      </c>
      <c r="AA308" s="13">
        <v>3.8</v>
      </c>
      <c r="AB308" s="16">
        <f>AA308*10</f>
        <v>38</v>
      </c>
      <c r="AC308" s="13">
        <v>2.2999999999999998</v>
      </c>
      <c r="AD308" s="16">
        <f>AC415*10</f>
        <v>17.5</v>
      </c>
      <c r="AE308" s="1">
        <v>1</v>
      </c>
    </row>
    <row r="309" spans="1:31" x14ac:dyDescent="0.2">
      <c r="A309" s="1">
        <v>308</v>
      </c>
      <c r="B309" s="1">
        <v>2020</v>
      </c>
      <c r="C309" s="1" t="s">
        <v>88</v>
      </c>
      <c r="D309" s="1" t="s">
        <v>246</v>
      </c>
      <c r="E309" s="1" t="s">
        <v>594</v>
      </c>
      <c r="F309" s="1" t="s">
        <v>83</v>
      </c>
      <c r="I309" s="12">
        <v>4.5176507390380003</v>
      </c>
      <c r="J309" s="12">
        <v>12.90757354</v>
      </c>
      <c r="K309" s="1" t="s">
        <v>34</v>
      </c>
      <c r="L309" s="16">
        <v>2799.7091047879999</v>
      </c>
      <c r="N309" s="16">
        <v>12746.200936243</v>
      </c>
      <c r="O309" s="10">
        <v>25.7763654</v>
      </c>
      <c r="P309" s="15">
        <v>7.8674999999999997</v>
      </c>
      <c r="Q309" s="15">
        <v>61.502499999999998</v>
      </c>
      <c r="R309" s="15">
        <v>27.41</v>
      </c>
      <c r="S309" s="15"/>
      <c r="T309" s="15">
        <v>34.032499999999999</v>
      </c>
      <c r="U309" s="15">
        <v>9.2799999999999994</v>
      </c>
      <c r="V309" s="15">
        <v>9.3350000000000009</v>
      </c>
      <c r="W309" s="12">
        <v>0.61156648300000005</v>
      </c>
      <c r="X309" s="15"/>
      <c r="Y309" s="15">
        <v>68.349129224999999</v>
      </c>
      <c r="Z309" s="12"/>
      <c r="AA309" s="15">
        <v>2.75</v>
      </c>
      <c r="AB309" s="16">
        <f>AA309*33.334</f>
        <v>91.668500000000009</v>
      </c>
      <c r="AC309" s="1">
        <v>0</v>
      </c>
      <c r="AD309" s="16">
        <f>AC309*33.334</f>
        <v>0</v>
      </c>
      <c r="AE309" s="1">
        <v>1</v>
      </c>
    </row>
    <row r="310" spans="1:31" x14ac:dyDescent="0.2">
      <c r="A310" s="1">
        <v>309</v>
      </c>
      <c r="B310" s="1">
        <v>2019</v>
      </c>
      <c r="C310" s="1" t="s">
        <v>88</v>
      </c>
      <c r="D310" s="28" t="s">
        <v>914</v>
      </c>
      <c r="E310" s="1" t="s">
        <v>692</v>
      </c>
      <c r="F310" s="1" t="s">
        <v>83</v>
      </c>
      <c r="I310" s="12">
        <v>4.2</v>
      </c>
      <c r="J310" s="3">
        <v>11.975</v>
      </c>
      <c r="L310" s="5">
        <v>2799.75</v>
      </c>
      <c r="N310" s="5">
        <v>11670.275</v>
      </c>
      <c r="O310" s="6">
        <v>30.76</v>
      </c>
      <c r="P310" s="6">
        <v>9.06</v>
      </c>
      <c r="Q310" s="6">
        <v>50.4375</v>
      </c>
      <c r="R310" s="6">
        <v>37.72</v>
      </c>
      <c r="S310" s="3"/>
      <c r="T310" s="6">
        <v>34.082500000000003</v>
      </c>
      <c r="U310" s="6">
        <v>15.07</v>
      </c>
      <c r="V310" s="6">
        <v>7.0674999999999999</v>
      </c>
      <c r="W310" s="3">
        <v>0.64612499999999995</v>
      </c>
      <c r="X310" s="6"/>
      <c r="Y310" s="6">
        <v>62.917499999999997</v>
      </c>
      <c r="Z310" s="3">
        <v>0.79500000000000004</v>
      </c>
      <c r="AB310" s="16"/>
      <c r="AC310" s="4">
        <v>5</v>
      </c>
      <c r="AD310" s="16">
        <f>AC310*10</f>
        <v>50</v>
      </c>
      <c r="AE310" s="1">
        <v>1</v>
      </c>
    </row>
    <row r="311" spans="1:31" x14ac:dyDescent="0.2">
      <c r="A311" s="1">
        <v>310</v>
      </c>
      <c r="B311" s="1">
        <v>2011</v>
      </c>
      <c r="C311" s="1" t="s">
        <v>88</v>
      </c>
      <c r="D311" s="8" t="s">
        <v>240</v>
      </c>
      <c r="E311" s="8" t="s">
        <v>241</v>
      </c>
      <c r="F311" s="1" t="s">
        <v>83</v>
      </c>
      <c r="I311" s="12">
        <v>5.74</v>
      </c>
      <c r="J311" s="12">
        <v>20.714285714285701</v>
      </c>
      <c r="K311" s="13"/>
      <c r="L311" s="14">
        <v>2801</v>
      </c>
      <c r="M311" s="14" t="s">
        <v>34</v>
      </c>
      <c r="N311" s="14">
        <v>16040</v>
      </c>
      <c r="O311" s="13">
        <v>27.4</v>
      </c>
      <c r="P311" s="13">
        <v>7.6</v>
      </c>
      <c r="Q311" s="13">
        <v>57</v>
      </c>
      <c r="R311" s="13">
        <v>52.1</v>
      </c>
      <c r="T311" s="15"/>
      <c r="U311" s="13">
        <v>14.7</v>
      </c>
      <c r="V311" s="13">
        <v>1.6</v>
      </c>
      <c r="W311" s="12" t="s">
        <v>89</v>
      </c>
      <c r="X311" s="15" t="s">
        <v>89</v>
      </c>
      <c r="Y311" s="13">
        <v>61.8</v>
      </c>
      <c r="Z311" s="7">
        <v>1.71</v>
      </c>
      <c r="AA311" s="1">
        <v>9</v>
      </c>
      <c r="AB311" s="16">
        <f>AA311*10</f>
        <v>90</v>
      </c>
      <c r="AC311" s="1">
        <v>2.7</v>
      </c>
      <c r="AD311" s="16">
        <f>AC311*10</f>
        <v>27</v>
      </c>
      <c r="AE311" s="1">
        <v>1</v>
      </c>
    </row>
    <row r="312" spans="1:31" x14ac:dyDescent="0.2">
      <c r="A312" s="1">
        <v>311</v>
      </c>
      <c r="B312" s="1">
        <v>2017</v>
      </c>
      <c r="C312" s="1" t="s">
        <v>88</v>
      </c>
      <c r="D312" s="1" t="s">
        <v>1023</v>
      </c>
      <c r="E312" s="1" t="s">
        <v>636</v>
      </c>
      <c r="F312" s="1" t="s">
        <v>32</v>
      </c>
      <c r="I312" s="12">
        <v>5.8574102400000001</v>
      </c>
      <c r="J312" s="3">
        <v>16.735457799999999</v>
      </c>
      <c r="L312" s="5">
        <v>2803.75</v>
      </c>
      <c r="N312" s="5">
        <v>16449.503499999999</v>
      </c>
      <c r="O312" s="6">
        <v>28.439181900000001</v>
      </c>
      <c r="P312" s="6">
        <v>4.7374999999999998</v>
      </c>
      <c r="Q312" s="6">
        <v>64.47</v>
      </c>
      <c r="R312" s="15">
        <v>58.4</v>
      </c>
      <c r="S312" s="15">
        <v>17.100000000000001</v>
      </c>
      <c r="U312" s="6">
        <v>5.4024999999999999</v>
      </c>
      <c r="V312" s="6">
        <v>15.5</v>
      </c>
      <c r="W312" s="3">
        <v>0.59697500000000003</v>
      </c>
      <c r="X312" s="6"/>
      <c r="Y312" s="15">
        <v>59.207500000000003</v>
      </c>
      <c r="Z312" s="3">
        <v>2.2000000000000002</v>
      </c>
      <c r="AB312" s="16"/>
      <c r="AD312" s="16"/>
      <c r="AE312" s="1">
        <v>1</v>
      </c>
    </row>
    <row r="313" spans="1:31" x14ac:dyDescent="0.2">
      <c r="A313" s="1">
        <v>312</v>
      </c>
      <c r="B313" s="1">
        <v>2015</v>
      </c>
      <c r="C313" s="8" t="s">
        <v>88</v>
      </c>
      <c r="D313" s="8" t="s">
        <v>459</v>
      </c>
      <c r="E313" s="8" t="s">
        <v>461</v>
      </c>
      <c r="F313" s="1" t="s">
        <v>32</v>
      </c>
      <c r="H313" s="1" t="s">
        <v>34</v>
      </c>
      <c r="I313" s="12">
        <v>12.05</v>
      </c>
      <c r="J313" s="7">
        <v>34.4</v>
      </c>
      <c r="L313" s="14">
        <v>2804</v>
      </c>
      <c r="M313" s="1" t="s">
        <v>34</v>
      </c>
      <c r="N313" s="14">
        <v>33792</v>
      </c>
      <c r="O313" s="13">
        <v>27</v>
      </c>
      <c r="P313" s="13">
        <v>5.2</v>
      </c>
      <c r="Q313" s="13">
        <v>59.3</v>
      </c>
      <c r="R313" s="13">
        <v>47.2</v>
      </c>
      <c r="S313" s="8"/>
      <c r="T313" s="15" t="s">
        <v>89</v>
      </c>
      <c r="U313" s="13">
        <v>4.8</v>
      </c>
      <c r="V313" s="13">
        <v>18.899999999999999</v>
      </c>
      <c r="W313" s="7">
        <v>0.61</v>
      </c>
      <c r="X313" s="13"/>
      <c r="Y313" s="13">
        <v>56.3</v>
      </c>
      <c r="Z313" s="7">
        <v>3.37</v>
      </c>
      <c r="AA313" s="13">
        <v>2.2000000000000002</v>
      </c>
      <c r="AB313" s="16">
        <f>AA313*10</f>
        <v>22</v>
      </c>
      <c r="AC313" s="13">
        <v>1</v>
      </c>
      <c r="AD313" s="16">
        <f>AC313*10</f>
        <v>10</v>
      </c>
      <c r="AE313" s="1">
        <v>1</v>
      </c>
    </row>
    <row r="314" spans="1:31" ht="17" x14ac:dyDescent="0.2">
      <c r="A314" s="1">
        <v>313</v>
      </c>
      <c r="B314" s="1">
        <v>2018</v>
      </c>
      <c r="C314" s="1" t="s">
        <v>31</v>
      </c>
      <c r="D314" s="1" t="s">
        <v>916</v>
      </c>
      <c r="E314" s="8" t="s">
        <v>656</v>
      </c>
      <c r="F314" s="1" t="s">
        <v>83</v>
      </c>
      <c r="G314" s="8">
        <v>124</v>
      </c>
      <c r="H314" s="1" t="s">
        <v>34</v>
      </c>
      <c r="I314" s="12">
        <v>6.3</v>
      </c>
      <c r="J314" s="3">
        <v>17.899999999999999</v>
      </c>
      <c r="L314" s="5">
        <v>2806</v>
      </c>
      <c r="M314" s="6" t="s">
        <v>34</v>
      </c>
      <c r="N314" s="5">
        <v>17646</v>
      </c>
      <c r="O314" s="6">
        <v>41.56</v>
      </c>
      <c r="P314" s="18">
        <v>9.14</v>
      </c>
      <c r="Q314" s="6">
        <v>44.9</v>
      </c>
      <c r="R314" s="6">
        <v>54.3</v>
      </c>
      <c r="S314" s="3"/>
      <c r="T314" s="6">
        <v>27.2</v>
      </c>
      <c r="U314" s="6">
        <v>28.217500000000001</v>
      </c>
      <c r="V314" s="6">
        <v>7.74</v>
      </c>
      <c r="W314" s="3">
        <v>0.70387500000000003</v>
      </c>
      <c r="X314" s="6"/>
      <c r="Y314" s="6">
        <v>68.105000000000004</v>
      </c>
      <c r="Z314" s="3">
        <v>1.51</v>
      </c>
      <c r="AB314" s="16"/>
      <c r="AD314" s="16"/>
      <c r="AE314" s="1">
        <v>1</v>
      </c>
    </row>
    <row r="315" spans="1:31" x14ac:dyDescent="0.2">
      <c r="A315" s="1">
        <v>314</v>
      </c>
      <c r="B315" s="1">
        <v>2010</v>
      </c>
      <c r="C315" s="1" t="s">
        <v>88</v>
      </c>
      <c r="D315" s="8" t="s">
        <v>1023</v>
      </c>
      <c r="E315" s="8">
        <v>23402</v>
      </c>
      <c r="F315" s="1" t="s">
        <v>32</v>
      </c>
      <c r="I315" s="12">
        <v>5.87</v>
      </c>
      <c r="J315" s="7">
        <v>16.8</v>
      </c>
      <c r="L315" s="14">
        <v>2807</v>
      </c>
      <c r="M315" s="14"/>
      <c r="N315" s="14">
        <v>16480</v>
      </c>
      <c r="O315" s="13">
        <v>24.8</v>
      </c>
      <c r="P315" s="13">
        <v>9.4</v>
      </c>
      <c r="Q315" s="13">
        <v>55.6</v>
      </c>
      <c r="R315" s="13">
        <v>57.1</v>
      </c>
      <c r="S315" s="13"/>
      <c r="T315" s="13"/>
      <c r="U315" s="13">
        <v>36</v>
      </c>
      <c r="V315" s="13">
        <v>1.1000000000000001</v>
      </c>
      <c r="W315" s="7"/>
      <c r="X315" s="13"/>
      <c r="Y315" s="13">
        <v>59.4</v>
      </c>
      <c r="Z315" s="7">
        <v>1.86</v>
      </c>
      <c r="AA315" s="13">
        <v>2.2000000000000002</v>
      </c>
      <c r="AB315" s="16">
        <f>AA315*10</f>
        <v>22</v>
      </c>
      <c r="AC315" s="13">
        <v>6.2</v>
      </c>
      <c r="AD315" s="16">
        <f>AC315*10</f>
        <v>62</v>
      </c>
      <c r="AE315" s="1">
        <v>1</v>
      </c>
    </row>
    <row r="316" spans="1:31" x14ac:dyDescent="0.2">
      <c r="A316" s="1">
        <v>315</v>
      </c>
      <c r="B316" s="1">
        <v>2013</v>
      </c>
      <c r="C316" s="1" t="s">
        <v>88</v>
      </c>
      <c r="D316" s="8" t="s">
        <v>1023</v>
      </c>
      <c r="E316" s="8" t="s">
        <v>336</v>
      </c>
      <c r="F316" s="1" t="s">
        <v>32</v>
      </c>
      <c r="I316" s="12">
        <v>4.87</v>
      </c>
      <c r="J316" s="7">
        <v>13.9142857142857</v>
      </c>
      <c r="K316" s="13"/>
      <c r="L316" s="14">
        <v>2809</v>
      </c>
      <c r="M316" s="14"/>
      <c r="N316" s="14">
        <v>13694</v>
      </c>
      <c r="O316" s="13">
        <v>30.6</v>
      </c>
      <c r="P316" s="13">
        <v>6</v>
      </c>
      <c r="Q316" s="13">
        <v>54.7</v>
      </c>
      <c r="R316" s="13">
        <v>53.2</v>
      </c>
      <c r="S316" s="13" t="s">
        <v>89</v>
      </c>
      <c r="T316" s="13"/>
      <c r="U316" s="13">
        <v>17.8</v>
      </c>
      <c r="V316" s="13">
        <v>2</v>
      </c>
      <c r="W316" s="7">
        <v>0.6</v>
      </c>
      <c r="X316" s="13">
        <v>74.400000000000006</v>
      </c>
      <c r="Y316" s="13">
        <v>59.2</v>
      </c>
      <c r="Z316" s="7">
        <v>1.42</v>
      </c>
      <c r="AA316" s="13">
        <v>1.1000000000000001</v>
      </c>
      <c r="AB316" s="16">
        <f>AA316*10</f>
        <v>11</v>
      </c>
      <c r="AC316" s="13">
        <v>0</v>
      </c>
      <c r="AD316" s="16">
        <f>AC423*10</f>
        <v>0</v>
      </c>
      <c r="AE316" s="1">
        <v>1</v>
      </c>
    </row>
    <row r="317" spans="1:31" x14ac:dyDescent="0.2">
      <c r="A317" s="1">
        <v>316</v>
      </c>
      <c r="B317" s="1">
        <v>2018</v>
      </c>
      <c r="C317" s="1" t="s">
        <v>88</v>
      </c>
      <c r="D317" s="28" t="s">
        <v>914</v>
      </c>
      <c r="E317" s="1" t="s">
        <v>692</v>
      </c>
      <c r="F317" s="1" t="s">
        <v>32</v>
      </c>
      <c r="H317" s="1" t="s">
        <v>34</v>
      </c>
      <c r="I317" s="12">
        <v>7.68</v>
      </c>
      <c r="J317" s="7">
        <v>21.94</v>
      </c>
      <c r="L317" s="16">
        <v>2810</v>
      </c>
      <c r="N317" s="16">
        <v>21601.481795508302</v>
      </c>
      <c r="O317" s="15">
        <v>38.774845680352001</v>
      </c>
      <c r="P317" s="15">
        <v>7.5875000000000004</v>
      </c>
      <c r="Q317" s="15">
        <v>52.172499999999999</v>
      </c>
      <c r="R317" s="15">
        <v>36.792499999999997</v>
      </c>
      <c r="S317" s="12">
        <v>20.87</v>
      </c>
      <c r="U317" s="15">
        <v>17.100000000000001</v>
      </c>
      <c r="V317" s="15">
        <v>9.8000000000000007</v>
      </c>
      <c r="W317" s="12">
        <v>0.62919999999999998</v>
      </c>
      <c r="X317" s="15"/>
      <c r="Y317" s="15">
        <v>55.204999999999998</v>
      </c>
      <c r="Z317" s="12">
        <v>0.66608002346711104</v>
      </c>
      <c r="AA317" s="16">
        <v>2</v>
      </c>
      <c r="AB317" s="16">
        <f>AA317*33.334</f>
        <v>66.668000000000006</v>
      </c>
      <c r="AC317" s="16">
        <v>0.75</v>
      </c>
      <c r="AD317" s="16">
        <f>AC317*33.334</f>
        <v>25.000500000000002</v>
      </c>
      <c r="AE317" s="1">
        <v>1</v>
      </c>
    </row>
    <row r="318" spans="1:31" ht="17" x14ac:dyDescent="0.2">
      <c r="A318" s="1">
        <v>317</v>
      </c>
      <c r="B318" s="1">
        <v>2018</v>
      </c>
      <c r="C318" s="1" t="s">
        <v>31</v>
      </c>
      <c r="D318" s="1" t="s">
        <v>805</v>
      </c>
      <c r="E318" s="8" t="s">
        <v>663</v>
      </c>
      <c r="F318" s="1" t="s">
        <v>83</v>
      </c>
      <c r="G318" s="8">
        <v>118</v>
      </c>
      <c r="H318" s="1" t="s">
        <v>34</v>
      </c>
      <c r="I318" s="12">
        <v>6.9</v>
      </c>
      <c r="J318" s="3">
        <v>19.8</v>
      </c>
      <c r="L318" s="5">
        <v>2811</v>
      </c>
      <c r="M318" s="6" t="s">
        <v>34</v>
      </c>
      <c r="N318" s="5">
        <v>19479</v>
      </c>
      <c r="O318" s="6">
        <v>45.6</v>
      </c>
      <c r="P318" s="18">
        <v>8.8550000000000004</v>
      </c>
      <c r="Q318" s="6">
        <v>38.637500000000003</v>
      </c>
      <c r="R318" s="6">
        <v>49.935000000000002</v>
      </c>
      <c r="S318" s="3"/>
      <c r="T318" s="6">
        <v>23.725000000000001</v>
      </c>
      <c r="U318" s="6">
        <v>36.700000000000003</v>
      </c>
      <c r="V318" s="6">
        <v>7.6050000000000004</v>
      </c>
      <c r="W318" s="3">
        <v>0.7340000000000001</v>
      </c>
      <c r="X318" s="6"/>
      <c r="Y318" s="6">
        <v>70.8</v>
      </c>
      <c r="Z318" s="3">
        <v>1.33</v>
      </c>
      <c r="AB318" s="16"/>
      <c r="AD318" s="16"/>
      <c r="AE318" s="1">
        <v>1</v>
      </c>
    </row>
    <row r="319" spans="1:31" x14ac:dyDescent="0.2">
      <c r="A319" s="1">
        <v>318</v>
      </c>
      <c r="B319" s="1">
        <v>2015</v>
      </c>
      <c r="C319" s="8" t="s">
        <v>88</v>
      </c>
      <c r="D319" s="8" t="s">
        <v>1023</v>
      </c>
      <c r="E319" s="8" t="s">
        <v>338</v>
      </c>
      <c r="F319" s="1" t="s">
        <v>32</v>
      </c>
      <c r="I319" s="12">
        <v>7.12</v>
      </c>
      <c r="J319" s="7">
        <v>20.342857142857145</v>
      </c>
      <c r="L319" s="14">
        <v>2811</v>
      </c>
      <c r="N319" s="14">
        <v>20045</v>
      </c>
      <c r="O319" s="13">
        <v>27.2</v>
      </c>
      <c r="P319" s="13">
        <v>8.6</v>
      </c>
      <c r="Q319" s="13">
        <v>51.1</v>
      </c>
      <c r="R319" s="13">
        <v>39.799999999999997</v>
      </c>
      <c r="S319" s="8"/>
      <c r="T319" s="15" t="s">
        <v>89</v>
      </c>
      <c r="U319" s="13">
        <v>24.8</v>
      </c>
      <c r="V319" s="13">
        <v>2.6</v>
      </c>
      <c r="W319" s="7">
        <v>0.62</v>
      </c>
      <c r="X319" s="13"/>
      <c r="Y319" s="13">
        <v>55.8</v>
      </c>
      <c r="Z319" s="7">
        <v>1.45</v>
      </c>
      <c r="AA319" s="13">
        <v>1.1000000000000001</v>
      </c>
      <c r="AB319" s="16">
        <f>AA319*10</f>
        <v>11</v>
      </c>
      <c r="AC319" s="13">
        <v>5.2</v>
      </c>
      <c r="AD319" s="16">
        <f>AC319*10</f>
        <v>52</v>
      </c>
      <c r="AE319" s="1">
        <v>1</v>
      </c>
    </row>
    <row r="320" spans="1:31" x14ac:dyDescent="0.2">
      <c r="A320" s="1">
        <v>319</v>
      </c>
      <c r="B320" s="1">
        <v>2008</v>
      </c>
      <c r="C320" s="1" t="s">
        <v>31</v>
      </c>
      <c r="D320" s="8" t="s">
        <v>71</v>
      </c>
      <c r="E320" s="8" t="s">
        <v>75</v>
      </c>
      <c r="F320" s="8" t="s">
        <v>83</v>
      </c>
      <c r="G320" s="8"/>
      <c r="H320" s="8"/>
      <c r="I320" s="12">
        <v>4.3499999999999996</v>
      </c>
      <c r="J320" s="7">
        <v>12.428571428571429</v>
      </c>
      <c r="K320" s="13"/>
      <c r="L320" s="14">
        <v>2815</v>
      </c>
      <c r="M320" s="14"/>
      <c r="N320" s="14">
        <v>12292</v>
      </c>
      <c r="O320" s="13">
        <v>31.9</v>
      </c>
      <c r="P320" s="13">
        <v>9.1</v>
      </c>
      <c r="Q320" s="13">
        <v>45.9</v>
      </c>
      <c r="R320" s="13">
        <v>36.299999999999997</v>
      </c>
      <c r="S320" s="13"/>
      <c r="T320" s="13">
        <v>21.3</v>
      </c>
      <c r="U320" s="13">
        <v>24.9</v>
      </c>
      <c r="V320" s="15"/>
      <c r="X320" s="15"/>
      <c r="Y320" s="13">
        <v>63.2</v>
      </c>
      <c r="Z320" s="7">
        <v>0.73</v>
      </c>
      <c r="AB320" s="16"/>
      <c r="AD320" s="16"/>
      <c r="AE320" s="1">
        <v>1</v>
      </c>
    </row>
    <row r="321" spans="1:31" x14ac:dyDescent="0.2">
      <c r="A321" s="1">
        <v>320</v>
      </c>
      <c r="B321" s="1">
        <v>2013</v>
      </c>
      <c r="C321" s="1" t="s">
        <v>96</v>
      </c>
      <c r="D321" s="8" t="s">
        <v>1023</v>
      </c>
      <c r="E321" s="8" t="s">
        <v>398</v>
      </c>
      <c r="F321" s="1" t="s">
        <v>32</v>
      </c>
      <c r="I321" s="12">
        <v>4.2</v>
      </c>
      <c r="J321" s="7">
        <v>29.171428571428599</v>
      </c>
      <c r="K321" s="13" t="s">
        <v>34</v>
      </c>
      <c r="L321" s="14">
        <v>2819</v>
      </c>
      <c r="M321" s="14"/>
      <c r="N321" s="14">
        <v>11810</v>
      </c>
      <c r="O321" s="13">
        <v>31</v>
      </c>
      <c r="P321" s="13">
        <v>5.4</v>
      </c>
      <c r="Q321" s="13">
        <v>55.2</v>
      </c>
      <c r="R321" s="13">
        <v>46.7</v>
      </c>
      <c r="S321" s="13" t="s">
        <v>89</v>
      </c>
      <c r="T321" s="13"/>
      <c r="U321" s="13">
        <v>19.600000000000001</v>
      </c>
      <c r="V321" s="13">
        <v>0.9</v>
      </c>
      <c r="W321" s="7">
        <v>0.61</v>
      </c>
      <c r="X321" s="13">
        <v>70.599999999999994</v>
      </c>
      <c r="Y321" s="13">
        <v>59.6</v>
      </c>
      <c r="Z321" s="7">
        <v>1.0900000000000001</v>
      </c>
      <c r="AA321" s="13">
        <v>1.1000000000000001</v>
      </c>
      <c r="AB321" s="16">
        <f>AA321*10</f>
        <v>11</v>
      </c>
      <c r="AC321" s="13">
        <v>0.6</v>
      </c>
      <c r="AD321" s="16">
        <f>AC321*10</f>
        <v>6</v>
      </c>
      <c r="AE321" s="1">
        <v>0</v>
      </c>
    </row>
    <row r="322" spans="1:31" x14ac:dyDescent="0.2">
      <c r="A322" s="1">
        <v>321</v>
      </c>
      <c r="B322" s="1">
        <v>2015</v>
      </c>
      <c r="C322" s="8" t="s">
        <v>88</v>
      </c>
      <c r="D322" s="8" t="s">
        <v>1023</v>
      </c>
      <c r="E322" s="8" t="s">
        <v>237</v>
      </c>
      <c r="F322" s="1" t="s">
        <v>83</v>
      </c>
      <c r="I322" s="12">
        <v>4.22</v>
      </c>
      <c r="J322" s="7">
        <v>12.057142857142857</v>
      </c>
      <c r="L322" s="14">
        <v>2819</v>
      </c>
      <c r="N322" s="14">
        <v>11916</v>
      </c>
      <c r="O322" s="13">
        <v>27.1</v>
      </c>
      <c r="P322" s="13">
        <v>7.9</v>
      </c>
      <c r="Q322" s="13">
        <v>60.9</v>
      </c>
      <c r="R322" s="13">
        <v>53.1</v>
      </c>
      <c r="S322" s="8"/>
      <c r="T322" s="13" t="s">
        <v>89</v>
      </c>
      <c r="U322" s="13">
        <v>5.8</v>
      </c>
      <c r="V322" s="13">
        <v>12.4</v>
      </c>
      <c r="W322" s="7">
        <v>0.63</v>
      </c>
      <c r="X322" s="13"/>
      <c r="Y322" s="13">
        <v>58.1</v>
      </c>
      <c r="Z322" s="7">
        <v>1.37</v>
      </c>
      <c r="AA322" s="13">
        <v>1.6</v>
      </c>
      <c r="AB322" s="16">
        <f>AA322*10</f>
        <v>16</v>
      </c>
      <c r="AC322" s="13">
        <v>1</v>
      </c>
      <c r="AD322" s="16">
        <f>AC322*10</f>
        <v>10</v>
      </c>
      <c r="AE322" s="1">
        <v>1</v>
      </c>
    </row>
    <row r="323" spans="1:31" x14ac:dyDescent="0.2">
      <c r="A323" s="1">
        <v>322</v>
      </c>
      <c r="B323" s="1">
        <v>2015</v>
      </c>
      <c r="C323" s="8" t="s">
        <v>88</v>
      </c>
      <c r="D323" s="8" t="s">
        <v>1023</v>
      </c>
      <c r="E323" s="8" t="s">
        <v>337</v>
      </c>
      <c r="F323" s="1" t="s">
        <v>83</v>
      </c>
      <c r="I323" s="12">
        <v>4.9000000000000004</v>
      </c>
      <c r="J323" s="7">
        <v>14.000000000000002</v>
      </c>
      <c r="L323" s="14">
        <v>2826</v>
      </c>
      <c r="N323" s="14">
        <v>13838</v>
      </c>
      <c r="O323" s="13">
        <v>29.3</v>
      </c>
      <c r="P323" s="13">
        <v>9.8000000000000007</v>
      </c>
      <c r="Q323" s="13">
        <v>56.8</v>
      </c>
      <c r="R323" s="13">
        <v>50.5</v>
      </c>
      <c r="S323" s="8"/>
      <c r="T323" s="13" t="s">
        <v>89</v>
      </c>
      <c r="U323" s="13">
        <v>11.3</v>
      </c>
      <c r="V323" s="13">
        <v>9.6999999999999993</v>
      </c>
      <c r="W323" s="7">
        <v>0.64</v>
      </c>
      <c r="X323" s="13"/>
      <c r="Y323" s="13">
        <v>57.9</v>
      </c>
      <c r="Z323" s="7">
        <v>1.4</v>
      </c>
      <c r="AA323" s="13">
        <v>3.2</v>
      </c>
      <c r="AB323" s="16">
        <f>AA323*10</f>
        <v>32</v>
      </c>
      <c r="AC323" s="13">
        <v>1</v>
      </c>
      <c r="AD323" s="16">
        <f>AC323*10</f>
        <v>10</v>
      </c>
      <c r="AE323" s="1">
        <v>1</v>
      </c>
    </row>
    <row r="324" spans="1:31" x14ac:dyDescent="0.2">
      <c r="A324" s="1">
        <v>323</v>
      </c>
      <c r="B324" s="1">
        <v>2013</v>
      </c>
      <c r="C324" s="1" t="s">
        <v>88</v>
      </c>
      <c r="D324" s="1" t="s">
        <v>916</v>
      </c>
      <c r="E324" s="8" t="s">
        <v>92</v>
      </c>
      <c r="F324" s="1" t="s">
        <v>83</v>
      </c>
      <c r="I324" s="12">
        <v>7.01</v>
      </c>
      <c r="J324" s="7">
        <v>20.0285714285714</v>
      </c>
      <c r="K324" s="13"/>
      <c r="L324" s="14">
        <v>2828</v>
      </c>
      <c r="M324" s="14" t="s">
        <v>34</v>
      </c>
      <c r="N324" s="14">
        <v>19834</v>
      </c>
      <c r="O324" s="13">
        <v>30.1</v>
      </c>
      <c r="P324" s="13">
        <v>7.1</v>
      </c>
      <c r="Q324" s="13">
        <v>54.6</v>
      </c>
      <c r="R324" s="13">
        <v>44.4</v>
      </c>
      <c r="S324" s="13"/>
      <c r="T324" s="13"/>
      <c r="U324" s="13">
        <v>23.1</v>
      </c>
      <c r="V324" s="13">
        <v>1.1000000000000001</v>
      </c>
      <c r="W324" s="7">
        <v>0.59</v>
      </c>
      <c r="X324" s="13">
        <v>69.599999999999994</v>
      </c>
      <c r="Y324" s="13">
        <v>57.6</v>
      </c>
      <c r="Z324" s="7">
        <v>1.69</v>
      </c>
      <c r="AA324" s="13">
        <v>3.1</v>
      </c>
      <c r="AB324" s="16">
        <f>AA324*10</f>
        <v>31</v>
      </c>
      <c r="AC324" s="13">
        <v>1.8</v>
      </c>
      <c r="AD324" s="16">
        <f>AC324*10</f>
        <v>18</v>
      </c>
      <c r="AE324" s="1">
        <v>1</v>
      </c>
    </row>
    <row r="325" spans="1:31" x14ac:dyDescent="0.2">
      <c r="A325" s="1">
        <v>324</v>
      </c>
      <c r="B325" s="1">
        <v>2008</v>
      </c>
      <c r="C325" s="8" t="s">
        <v>88</v>
      </c>
      <c r="D325" s="1" t="s">
        <v>916</v>
      </c>
      <c r="E325" s="8" t="s">
        <v>92</v>
      </c>
      <c r="F325" s="8" t="s">
        <v>83</v>
      </c>
      <c r="G325" s="8"/>
      <c r="H325" s="8" t="s">
        <v>34</v>
      </c>
      <c r="I325" s="12">
        <v>4.92</v>
      </c>
      <c r="J325" s="7">
        <v>14.1</v>
      </c>
      <c r="K325" s="13"/>
      <c r="L325" s="14">
        <v>2829</v>
      </c>
      <c r="M325" s="14" t="s">
        <v>34</v>
      </c>
      <c r="N325" s="14">
        <v>14026</v>
      </c>
      <c r="O325" s="13">
        <v>35.5</v>
      </c>
      <c r="P325" s="13">
        <v>5.5</v>
      </c>
      <c r="Q325" s="13">
        <v>47.3</v>
      </c>
      <c r="R325" s="13">
        <v>46.9</v>
      </c>
      <c r="S325" s="13"/>
      <c r="T325" s="13"/>
      <c r="U325" s="13">
        <v>30.8</v>
      </c>
      <c r="V325" s="15" t="s">
        <v>89</v>
      </c>
      <c r="X325" s="15"/>
      <c r="Y325" s="13">
        <v>67.400000000000006</v>
      </c>
      <c r="Z325" s="7">
        <v>1.08</v>
      </c>
      <c r="AB325" s="16"/>
      <c r="AD325" s="16"/>
      <c r="AE325" s="1">
        <v>1</v>
      </c>
    </row>
    <row r="326" spans="1:31" x14ac:dyDescent="0.2">
      <c r="A326" s="1">
        <v>325</v>
      </c>
      <c r="B326" s="1">
        <v>2012</v>
      </c>
      <c r="C326" s="1" t="s">
        <v>88</v>
      </c>
      <c r="D326" s="8" t="s">
        <v>1023</v>
      </c>
      <c r="E326" s="8" t="s">
        <v>339</v>
      </c>
      <c r="F326" s="1" t="s">
        <v>83</v>
      </c>
      <c r="I326" s="12">
        <v>3.98</v>
      </c>
      <c r="J326" s="7">
        <v>11.4</v>
      </c>
      <c r="K326" s="13"/>
      <c r="L326" s="14">
        <v>2833</v>
      </c>
      <c r="M326" s="14"/>
      <c r="N326" s="14">
        <v>11340</v>
      </c>
      <c r="O326" s="13">
        <v>28.2</v>
      </c>
      <c r="P326" s="13">
        <v>7.93</v>
      </c>
      <c r="Q326" s="13">
        <v>56.3</v>
      </c>
      <c r="R326" s="13">
        <v>46.8</v>
      </c>
      <c r="S326" s="13"/>
      <c r="T326" s="13"/>
      <c r="U326" s="13">
        <v>9.5</v>
      </c>
      <c r="V326" s="13">
        <v>2</v>
      </c>
      <c r="W326" s="7">
        <v>0.62</v>
      </c>
      <c r="X326" s="15"/>
      <c r="Y326" s="15"/>
      <c r="Z326" s="7">
        <v>1.04</v>
      </c>
      <c r="AA326" s="7">
        <v>3</v>
      </c>
      <c r="AB326" s="16">
        <f>AA326*10</f>
        <v>30</v>
      </c>
      <c r="AC326" s="7">
        <v>0</v>
      </c>
      <c r="AD326" s="16">
        <f>AC326*10</f>
        <v>0</v>
      </c>
      <c r="AE326" s="1">
        <v>1</v>
      </c>
    </row>
    <row r="327" spans="1:31" x14ac:dyDescent="0.2">
      <c r="A327" s="1">
        <v>326</v>
      </c>
      <c r="B327" s="1">
        <v>2016</v>
      </c>
      <c r="C327" s="1" t="s">
        <v>88</v>
      </c>
      <c r="D327" s="1" t="s">
        <v>246</v>
      </c>
      <c r="E327" s="1" t="s">
        <v>582</v>
      </c>
      <c r="F327" s="1" t="s">
        <v>83</v>
      </c>
      <c r="I327" s="12">
        <v>4.8858623000000003</v>
      </c>
      <c r="J327" s="3">
        <v>13.959606600000001</v>
      </c>
      <c r="L327" s="5">
        <v>2833.25</v>
      </c>
      <c r="N327" s="5">
        <v>13849.451800000001</v>
      </c>
      <c r="O327" s="6">
        <v>30.375308499999999</v>
      </c>
      <c r="P327" s="6">
        <v>7.5449999999999999</v>
      </c>
      <c r="Q327" s="6">
        <v>62.057499999999997</v>
      </c>
      <c r="R327" s="15">
        <v>55.7</v>
      </c>
      <c r="S327" s="6">
        <v>18.2</v>
      </c>
      <c r="T327" s="6"/>
      <c r="U327" s="6">
        <v>5.0774999999999997</v>
      </c>
      <c r="V327" s="6">
        <v>14.4</v>
      </c>
      <c r="W327" s="3">
        <v>0.59607500000000002</v>
      </c>
      <c r="X327" s="6"/>
      <c r="Y327" s="15">
        <v>58.865000000000002</v>
      </c>
      <c r="Z327" s="3">
        <v>1.6451206300000001</v>
      </c>
      <c r="AA327" s="6">
        <v>2</v>
      </c>
      <c r="AB327" s="16">
        <f>AA327*10</f>
        <v>20</v>
      </c>
      <c r="AC327" s="6">
        <v>1</v>
      </c>
      <c r="AD327" s="16">
        <f>AC327*10</f>
        <v>10</v>
      </c>
      <c r="AE327" s="1">
        <v>1</v>
      </c>
    </row>
    <row r="328" spans="1:31" x14ac:dyDescent="0.2">
      <c r="A328" s="1">
        <v>327</v>
      </c>
      <c r="B328" s="1">
        <v>2016</v>
      </c>
      <c r="C328" s="1" t="s">
        <v>96</v>
      </c>
      <c r="D328" s="8" t="s">
        <v>187</v>
      </c>
      <c r="E328" s="8" t="s">
        <v>520</v>
      </c>
      <c r="F328" s="1" t="s">
        <v>32</v>
      </c>
      <c r="I328" s="12">
        <v>5.9749999999999996</v>
      </c>
      <c r="J328" s="7">
        <v>17.071428571428601</v>
      </c>
      <c r="L328" s="5">
        <v>2836.25</v>
      </c>
      <c r="N328" s="5">
        <v>16965.400000000001</v>
      </c>
      <c r="O328" s="6">
        <v>24.197500000000002</v>
      </c>
      <c r="P328" s="6">
        <v>7.3</v>
      </c>
      <c r="Q328" s="6">
        <v>58.924999999999997</v>
      </c>
      <c r="R328" s="6">
        <v>50</v>
      </c>
      <c r="S328" s="6"/>
      <c r="T328" s="6">
        <v>37.107500000000002</v>
      </c>
      <c r="U328" s="6">
        <v>9.9849999999999994</v>
      </c>
      <c r="V328" s="6">
        <v>13</v>
      </c>
      <c r="W328" s="3">
        <v>0.62</v>
      </c>
      <c r="X328" s="6"/>
      <c r="Y328" s="6">
        <v>57.587499999999999</v>
      </c>
      <c r="Z328" s="3">
        <v>1.7578159900000001</v>
      </c>
      <c r="AA328" s="6">
        <v>0</v>
      </c>
      <c r="AB328" s="16">
        <f>AA328*10</f>
        <v>0</v>
      </c>
      <c r="AC328" s="6">
        <v>1.37</v>
      </c>
      <c r="AD328" s="16">
        <f>AC328*10</f>
        <v>13.700000000000001</v>
      </c>
      <c r="AE328" s="1">
        <v>0</v>
      </c>
    </row>
    <row r="329" spans="1:31" x14ac:dyDescent="0.2">
      <c r="A329" s="1">
        <v>328</v>
      </c>
      <c r="B329" s="1">
        <v>2018</v>
      </c>
      <c r="C329" s="1" t="s">
        <v>88</v>
      </c>
      <c r="D329" s="8" t="s">
        <v>246</v>
      </c>
      <c r="E329" s="8" t="s">
        <v>690</v>
      </c>
      <c r="F329" s="1" t="s">
        <v>83</v>
      </c>
      <c r="I329" s="12">
        <v>3.53787567</v>
      </c>
      <c r="J329" s="3">
        <v>10.108216199999999</v>
      </c>
      <c r="L329" s="5">
        <v>2836.3333299999999</v>
      </c>
      <c r="N329" s="5">
        <v>10029.8778</v>
      </c>
      <c r="O329" s="6">
        <v>28.05</v>
      </c>
      <c r="P329" s="18">
        <v>9.7366667000000007</v>
      </c>
      <c r="Q329" s="6">
        <v>55.47</v>
      </c>
      <c r="R329" s="6">
        <v>52.36</v>
      </c>
      <c r="S329" s="3">
        <v>15.546666699999999</v>
      </c>
      <c r="U329" s="6">
        <v>9.3366667000000003</v>
      </c>
      <c r="V329" s="6">
        <v>10.486666700000001</v>
      </c>
      <c r="W329" s="3">
        <v>0.63180000000000003</v>
      </c>
      <c r="X329" s="6"/>
      <c r="Y329" s="6">
        <v>58.39</v>
      </c>
      <c r="Z329" s="3">
        <v>1.02658524</v>
      </c>
      <c r="AA329" s="5">
        <v>0.66666667000000002</v>
      </c>
      <c r="AB329" s="16">
        <f>AA329*33.334</f>
        <v>22.222666777780002</v>
      </c>
      <c r="AD329" s="16"/>
      <c r="AE329" s="1">
        <v>1</v>
      </c>
    </row>
    <row r="330" spans="1:31" x14ac:dyDescent="0.2">
      <c r="A330" s="1">
        <v>329</v>
      </c>
      <c r="B330" s="1">
        <v>2011</v>
      </c>
      <c r="C330" s="1" t="s">
        <v>88</v>
      </c>
      <c r="D330" s="8" t="s">
        <v>187</v>
      </c>
      <c r="E330" s="8" t="s">
        <v>243</v>
      </c>
      <c r="F330" s="1" t="s">
        <v>32</v>
      </c>
      <c r="I330" s="12">
        <v>7.58</v>
      </c>
      <c r="J330" s="12">
        <v>20.991477184844499</v>
      </c>
      <c r="K330" s="13" t="s">
        <v>34</v>
      </c>
      <c r="L330" s="14">
        <v>2837</v>
      </c>
      <c r="M330" s="14" t="s">
        <v>34</v>
      </c>
      <c r="N330" s="14">
        <v>21507</v>
      </c>
      <c r="O330" s="13">
        <v>28</v>
      </c>
      <c r="P330" s="13">
        <v>11.4</v>
      </c>
      <c r="Q330" s="13">
        <v>51.4</v>
      </c>
      <c r="R330" s="13">
        <v>52.3</v>
      </c>
      <c r="T330" s="15"/>
      <c r="U330" s="15" t="s">
        <v>89</v>
      </c>
      <c r="V330" s="13">
        <v>0.7</v>
      </c>
      <c r="W330" s="12" t="s">
        <v>89</v>
      </c>
      <c r="X330" s="15" t="s">
        <v>89</v>
      </c>
      <c r="Y330" s="13">
        <v>65.099999999999994</v>
      </c>
      <c r="Z330" s="7">
        <v>2.0299999999999998</v>
      </c>
      <c r="AA330" s="1">
        <v>0</v>
      </c>
      <c r="AB330" s="16">
        <f>AA330*10</f>
        <v>0</v>
      </c>
      <c r="AC330" s="1">
        <v>1.3</v>
      </c>
      <c r="AD330" s="16">
        <f>AC330*10</f>
        <v>13</v>
      </c>
      <c r="AE330" s="1">
        <v>1</v>
      </c>
    </row>
    <row r="331" spans="1:31" x14ac:dyDescent="0.2">
      <c r="A331" s="1">
        <v>330</v>
      </c>
      <c r="B331" s="1">
        <v>2014</v>
      </c>
      <c r="C331" s="1" t="s">
        <v>31</v>
      </c>
      <c r="D331" s="1" t="s">
        <v>71</v>
      </c>
      <c r="E331" s="1" t="s">
        <v>455</v>
      </c>
      <c r="F331" s="1" t="s">
        <v>83</v>
      </c>
      <c r="G331" s="1">
        <v>109</v>
      </c>
      <c r="I331" s="12">
        <v>5.55</v>
      </c>
      <c r="J331" s="12">
        <v>15.9</v>
      </c>
      <c r="L331" s="16">
        <v>2838</v>
      </c>
      <c r="N331" s="16">
        <v>15723</v>
      </c>
      <c r="O331" s="15">
        <v>35</v>
      </c>
      <c r="P331" s="15">
        <v>6.94</v>
      </c>
      <c r="Q331" s="15">
        <v>50.7</v>
      </c>
      <c r="R331" s="15">
        <v>53</v>
      </c>
      <c r="T331" s="15"/>
      <c r="U331" s="15">
        <v>20.100000000000001</v>
      </c>
      <c r="V331" s="15">
        <v>6.6</v>
      </c>
      <c r="W331" s="12">
        <v>0.67</v>
      </c>
      <c r="X331" s="15"/>
      <c r="Y331" s="15">
        <v>65.099999999999994</v>
      </c>
      <c r="Z331" s="12">
        <v>1.49</v>
      </c>
      <c r="AA331" s="1">
        <v>4</v>
      </c>
      <c r="AB331" s="16">
        <f>AA331*10</f>
        <v>40</v>
      </c>
      <c r="AD331" s="16"/>
      <c r="AE331" s="1">
        <v>1</v>
      </c>
    </row>
    <row r="332" spans="1:31" x14ac:dyDescent="0.2">
      <c r="A332" s="1">
        <v>331</v>
      </c>
      <c r="B332" s="1">
        <v>2015</v>
      </c>
      <c r="C332" s="8" t="s">
        <v>88</v>
      </c>
      <c r="D332" s="8" t="s">
        <v>187</v>
      </c>
      <c r="E332" s="8" t="s">
        <v>508</v>
      </c>
      <c r="F332" s="1" t="s">
        <v>83</v>
      </c>
      <c r="I332" s="12">
        <v>4.57</v>
      </c>
      <c r="J332" s="7">
        <v>13.057142857142859</v>
      </c>
      <c r="L332" s="14">
        <v>2839</v>
      </c>
      <c r="N332" s="14">
        <v>12967</v>
      </c>
      <c r="O332" s="13">
        <v>29.6</v>
      </c>
      <c r="P332" s="13">
        <v>8</v>
      </c>
      <c r="Q332" s="13">
        <v>55</v>
      </c>
      <c r="R332" s="13">
        <v>41.3</v>
      </c>
      <c r="S332" s="8"/>
      <c r="T332" s="13" t="s">
        <v>89</v>
      </c>
      <c r="U332" s="13">
        <v>19.899999999999999</v>
      </c>
      <c r="V332" s="13">
        <v>5.4</v>
      </c>
      <c r="W332" s="7">
        <v>0.66</v>
      </c>
      <c r="X332" s="13"/>
      <c r="Y332" s="13">
        <v>56.3</v>
      </c>
      <c r="Z332" s="7">
        <v>1.05</v>
      </c>
      <c r="AA332" s="13">
        <v>6.4</v>
      </c>
      <c r="AB332" s="16">
        <f>AA332*10</f>
        <v>64</v>
      </c>
      <c r="AC332" s="13">
        <v>1.9</v>
      </c>
      <c r="AD332" s="16">
        <f>AC332*10</f>
        <v>19</v>
      </c>
      <c r="AE332" s="1">
        <v>1</v>
      </c>
    </row>
    <row r="333" spans="1:31" x14ac:dyDescent="0.2">
      <c r="A333" s="1">
        <v>332</v>
      </c>
      <c r="B333" s="1">
        <v>2008</v>
      </c>
      <c r="C333" s="8" t="s">
        <v>96</v>
      </c>
      <c r="D333" s="1" t="s">
        <v>916</v>
      </c>
      <c r="E333" s="8">
        <v>9010</v>
      </c>
      <c r="F333" s="8" t="s">
        <v>32</v>
      </c>
      <c r="G333" s="8"/>
      <c r="H333" s="8"/>
      <c r="I333" s="12">
        <v>6.65</v>
      </c>
      <c r="J333" s="7">
        <v>19</v>
      </c>
      <c r="K333" s="13"/>
      <c r="L333" s="14">
        <v>2839</v>
      </c>
      <c r="M333" s="14"/>
      <c r="N333" s="14">
        <v>18899</v>
      </c>
      <c r="O333" s="13">
        <v>30.6</v>
      </c>
      <c r="P333" s="13">
        <v>8.4</v>
      </c>
      <c r="Q333" s="13">
        <v>47.2</v>
      </c>
      <c r="R333" s="13">
        <v>47.6</v>
      </c>
      <c r="S333" s="13"/>
      <c r="T333" s="13"/>
      <c r="U333" s="13">
        <v>31.8</v>
      </c>
      <c r="V333" s="15" t="s">
        <v>89</v>
      </c>
      <c r="X333" s="15"/>
      <c r="Y333" s="13">
        <v>66.3</v>
      </c>
      <c r="Z333" s="7">
        <v>1.49</v>
      </c>
      <c r="AB333" s="16"/>
      <c r="AD333" s="16"/>
      <c r="AE333" s="1">
        <v>0</v>
      </c>
    </row>
    <row r="334" spans="1:31" x14ac:dyDescent="0.2">
      <c r="A334" s="1">
        <v>333</v>
      </c>
      <c r="B334" s="1">
        <v>2014</v>
      </c>
      <c r="C334" s="1" t="s">
        <v>31</v>
      </c>
      <c r="D334" s="1" t="s">
        <v>37</v>
      </c>
      <c r="E334" s="1" t="s">
        <v>375</v>
      </c>
      <c r="F334" s="1" t="s">
        <v>83</v>
      </c>
      <c r="G334" s="1">
        <v>116</v>
      </c>
      <c r="I334" s="12">
        <v>5.69</v>
      </c>
      <c r="J334" s="12">
        <v>16.3</v>
      </c>
      <c r="L334" s="16">
        <v>2842</v>
      </c>
      <c r="N334" s="16">
        <v>16310</v>
      </c>
      <c r="O334" s="15">
        <v>33.200000000000003</v>
      </c>
      <c r="P334" s="15">
        <v>7.28</v>
      </c>
      <c r="Q334" s="15">
        <v>50.6</v>
      </c>
      <c r="R334" s="15">
        <v>49.9</v>
      </c>
      <c r="T334" s="15"/>
      <c r="U334" s="15">
        <v>25.1</v>
      </c>
      <c r="V334" s="15">
        <v>3.8</v>
      </c>
      <c r="W334" s="12">
        <v>0.66</v>
      </c>
      <c r="X334" s="15"/>
      <c r="Y334" s="15">
        <v>64.400000000000006</v>
      </c>
      <c r="Z334" s="12">
        <v>1.41</v>
      </c>
      <c r="AA334" s="1">
        <v>6</v>
      </c>
      <c r="AB334" s="16">
        <f>AA334*10</f>
        <v>60</v>
      </c>
      <c r="AD334" s="16"/>
      <c r="AE334" s="1">
        <v>1</v>
      </c>
    </row>
    <row r="335" spans="1:31" ht="17" x14ac:dyDescent="0.2">
      <c r="A335" s="1">
        <v>334</v>
      </c>
      <c r="B335" s="1">
        <v>2019</v>
      </c>
      <c r="C335" s="1" t="s">
        <v>88</v>
      </c>
      <c r="D335" s="28" t="s">
        <v>914</v>
      </c>
      <c r="E335" s="1" t="s">
        <v>735</v>
      </c>
      <c r="F335" s="1" t="s">
        <v>32</v>
      </c>
      <c r="H335" s="1" t="s">
        <v>34</v>
      </c>
      <c r="I335" s="12">
        <v>8.6</v>
      </c>
      <c r="J335" s="3">
        <v>24.5</v>
      </c>
      <c r="L335" s="5">
        <v>2842</v>
      </c>
      <c r="M335" s="6" t="s">
        <v>34</v>
      </c>
      <c r="N335" s="5">
        <v>24535.5</v>
      </c>
      <c r="O335" s="6">
        <v>34.305</v>
      </c>
      <c r="P335" s="6">
        <v>6.53</v>
      </c>
      <c r="Q335" s="6">
        <v>50.825000000000003</v>
      </c>
      <c r="R335" s="6">
        <v>34.604999999999997</v>
      </c>
      <c r="S335" s="3"/>
      <c r="T335" s="6">
        <v>33.522500000000001</v>
      </c>
      <c r="U335" s="6">
        <v>15.9375</v>
      </c>
      <c r="V335" s="6">
        <v>18.395</v>
      </c>
      <c r="W335" s="3">
        <v>0.67787499999999989</v>
      </c>
      <c r="X335" s="6"/>
      <c r="Y335" s="6">
        <v>55.397500000000001</v>
      </c>
      <c r="Z335" s="3">
        <v>1.5024999999999999</v>
      </c>
      <c r="AB335" s="16"/>
      <c r="AC335" s="6">
        <v>0</v>
      </c>
      <c r="AD335" s="16">
        <f>AC335*10</f>
        <v>0</v>
      </c>
      <c r="AE335" s="1">
        <v>1</v>
      </c>
    </row>
    <row r="336" spans="1:31" x14ac:dyDescent="0.2">
      <c r="A336" s="1">
        <v>335</v>
      </c>
      <c r="B336" s="1">
        <v>2016</v>
      </c>
      <c r="C336" s="1" t="s">
        <v>31</v>
      </c>
      <c r="D336" s="1" t="s">
        <v>916</v>
      </c>
      <c r="E336" s="8" t="s">
        <v>404</v>
      </c>
      <c r="F336" s="1" t="s">
        <v>32</v>
      </c>
      <c r="G336" s="8">
        <v>130</v>
      </c>
      <c r="H336" s="1" t="s">
        <v>34</v>
      </c>
      <c r="I336" s="12">
        <v>10.220000000000001</v>
      </c>
      <c r="J336" s="7">
        <v>29.2</v>
      </c>
      <c r="L336" s="14">
        <v>2844</v>
      </c>
      <c r="N336" s="14">
        <v>28985</v>
      </c>
      <c r="O336" s="13">
        <v>31.1</v>
      </c>
      <c r="P336" s="13">
        <v>7.5</v>
      </c>
      <c r="Q336" s="13">
        <v>53</v>
      </c>
      <c r="R336" s="13">
        <v>48.5</v>
      </c>
      <c r="S336" s="13"/>
      <c r="T336" s="13">
        <v>32.6</v>
      </c>
      <c r="U336" s="13">
        <v>18.899999999999999</v>
      </c>
      <c r="V336" s="13">
        <v>3.6</v>
      </c>
      <c r="W336" s="7">
        <v>0.64</v>
      </c>
      <c r="X336" s="13"/>
      <c r="Y336" s="13">
        <v>64.599999999999994</v>
      </c>
      <c r="Z336" s="7">
        <v>2.64</v>
      </c>
      <c r="AA336" s="15" t="s">
        <v>89</v>
      </c>
      <c r="AB336" s="16"/>
      <c r="AD336" s="16"/>
      <c r="AE336" s="1">
        <v>1</v>
      </c>
    </row>
    <row r="337" spans="1:31" x14ac:dyDescent="0.2">
      <c r="A337" s="1">
        <v>336</v>
      </c>
      <c r="B337" s="1">
        <v>2018</v>
      </c>
      <c r="C337" s="1" t="s">
        <v>31</v>
      </c>
      <c r="D337" s="8" t="s">
        <v>391</v>
      </c>
      <c r="E337" s="8" t="s">
        <v>672</v>
      </c>
      <c r="F337" s="1" t="s">
        <v>83</v>
      </c>
      <c r="G337" s="8">
        <v>117</v>
      </c>
      <c r="I337" s="12">
        <v>5.1238100900000001</v>
      </c>
      <c r="J337" s="3">
        <v>14.6394574</v>
      </c>
      <c r="L337" s="5">
        <v>2852</v>
      </c>
      <c r="N337" s="5">
        <v>14615</v>
      </c>
      <c r="O337" s="6">
        <v>33.092500000000001</v>
      </c>
      <c r="P337" s="18">
        <v>9</v>
      </c>
      <c r="Q337" s="6">
        <v>46.9</v>
      </c>
      <c r="R337" s="6">
        <v>46.64</v>
      </c>
      <c r="S337" s="3"/>
      <c r="T337" s="6">
        <v>30</v>
      </c>
      <c r="U337" s="6">
        <v>27.875</v>
      </c>
      <c r="V337" s="6">
        <v>6.87</v>
      </c>
      <c r="W337" s="3">
        <v>0.6738249999999999</v>
      </c>
      <c r="X337" s="6"/>
      <c r="Y337" s="6">
        <v>65.407499999999999</v>
      </c>
      <c r="Z337" s="3">
        <v>1.1205951999999999</v>
      </c>
      <c r="AB337" s="16"/>
      <c r="AD337" s="16"/>
      <c r="AE337" s="1">
        <v>1</v>
      </c>
    </row>
    <row r="338" spans="1:31" x14ac:dyDescent="0.2">
      <c r="A338" s="1">
        <v>337</v>
      </c>
      <c r="B338" s="1">
        <v>2011</v>
      </c>
      <c r="C338" s="1" t="s">
        <v>96</v>
      </c>
      <c r="D338" s="8" t="s">
        <v>90</v>
      </c>
      <c r="E338" s="8" t="s">
        <v>254</v>
      </c>
      <c r="F338" s="1" t="s">
        <v>32</v>
      </c>
      <c r="I338" s="12">
        <v>8.6999999999999993</v>
      </c>
      <c r="J338" s="12">
        <v>26.847376214000001</v>
      </c>
      <c r="K338" s="8" t="s">
        <v>34</v>
      </c>
      <c r="L338" s="14">
        <v>2852</v>
      </c>
      <c r="M338" s="8" t="s">
        <v>34</v>
      </c>
      <c r="N338" s="14">
        <v>24954</v>
      </c>
      <c r="O338" s="13">
        <v>26.9</v>
      </c>
      <c r="P338" s="13">
        <v>7.4</v>
      </c>
      <c r="Q338" s="13">
        <v>53.8</v>
      </c>
      <c r="R338" s="13">
        <v>64.5</v>
      </c>
      <c r="T338" s="15"/>
      <c r="U338" s="15" t="s">
        <v>89</v>
      </c>
      <c r="V338" s="13">
        <v>2.5</v>
      </c>
      <c r="W338" s="12" t="s">
        <v>89</v>
      </c>
      <c r="X338" s="15" t="s">
        <v>89</v>
      </c>
      <c r="Y338" s="13">
        <v>64.099999999999994</v>
      </c>
      <c r="Z338" s="7">
        <v>3.03</v>
      </c>
      <c r="AA338" s="13">
        <v>1</v>
      </c>
      <c r="AB338" s="16">
        <f>AA338*10</f>
        <v>10</v>
      </c>
      <c r="AC338" s="13">
        <v>1</v>
      </c>
      <c r="AD338" s="16">
        <f>AC338*10</f>
        <v>10</v>
      </c>
      <c r="AE338" s="1">
        <v>0</v>
      </c>
    </row>
    <row r="339" spans="1:31" ht="17" x14ac:dyDescent="0.2">
      <c r="A339" s="1">
        <v>338</v>
      </c>
      <c r="B339" s="1">
        <v>2018</v>
      </c>
      <c r="C339" s="1" t="s">
        <v>31</v>
      </c>
      <c r="D339" s="1" t="s">
        <v>916</v>
      </c>
      <c r="E339" s="8" t="s">
        <v>603</v>
      </c>
      <c r="F339" s="1" t="s">
        <v>83</v>
      </c>
      <c r="G339" s="8">
        <v>118</v>
      </c>
      <c r="H339" s="1" t="s">
        <v>34</v>
      </c>
      <c r="I339" s="12">
        <v>6.5</v>
      </c>
      <c r="J339" s="3">
        <v>18.5</v>
      </c>
      <c r="L339" s="5">
        <v>2852.5</v>
      </c>
      <c r="M339" s="6" t="s">
        <v>34</v>
      </c>
      <c r="N339" s="5">
        <v>18478</v>
      </c>
      <c r="O339" s="6">
        <v>46.5</v>
      </c>
      <c r="P339" s="18">
        <v>8.3350000000000009</v>
      </c>
      <c r="Q339" s="6">
        <v>38.15</v>
      </c>
      <c r="R339" s="6">
        <v>53.7</v>
      </c>
      <c r="S339" s="3"/>
      <c r="T339" s="6">
        <v>23.355</v>
      </c>
      <c r="U339" s="6">
        <v>38.700000000000003</v>
      </c>
      <c r="V339" s="6">
        <v>7.19</v>
      </c>
      <c r="W339" s="3">
        <v>0.748</v>
      </c>
      <c r="X339" s="6"/>
      <c r="Y339" s="6">
        <v>72</v>
      </c>
      <c r="Z339" s="3">
        <v>1.33</v>
      </c>
      <c r="AB339" s="16"/>
      <c r="AD339" s="16"/>
      <c r="AE339" s="1">
        <v>1</v>
      </c>
    </row>
    <row r="340" spans="1:31" x14ac:dyDescent="0.2">
      <c r="A340" s="1">
        <v>339</v>
      </c>
      <c r="B340" s="1">
        <v>2021</v>
      </c>
      <c r="C340" s="1" t="s">
        <v>96</v>
      </c>
      <c r="D340" s="28" t="s">
        <v>914</v>
      </c>
      <c r="E340" s="1" t="s">
        <v>849</v>
      </c>
      <c r="F340" s="1" t="s">
        <v>83</v>
      </c>
      <c r="H340" s="1" t="s">
        <v>89</v>
      </c>
      <c r="I340" s="12">
        <v>3.9400898629515</v>
      </c>
      <c r="J340" s="12">
        <v>11.257399608</v>
      </c>
      <c r="K340" s="1" t="s">
        <v>89</v>
      </c>
      <c r="L340" s="16">
        <v>2853.75</v>
      </c>
      <c r="N340" s="16">
        <v>11291.268791363</v>
      </c>
      <c r="O340" s="15">
        <v>30.903902599999999</v>
      </c>
      <c r="P340" s="15">
        <v>9.0000316169999994</v>
      </c>
      <c r="Q340" s="15">
        <v>63.8125</v>
      </c>
      <c r="R340" s="15">
        <v>58.672634449999997</v>
      </c>
      <c r="U340" s="15">
        <v>4.1449999999999996</v>
      </c>
      <c r="V340" s="15">
        <v>7.71</v>
      </c>
      <c r="W340" s="12">
        <v>0.63062499999999999</v>
      </c>
      <c r="X340" s="15"/>
      <c r="Y340" s="15">
        <v>59.902500000000003</v>
      </c>
      <c r="Z340" s="12"/>
      <c r="AA340" s="1">
        <v>0</v>
      </c>
      <c r="AB340" s="16">
        <f>AA340*33.334</f>
        <v>0</v>
      </c>
      <c r="AD340" s="16"/>
      <c r="AE340" s="1">
        <v>0</v>
      </c>
    </row>
    <row r="341" spans="1:31" x14ac:dyDescent="0.2">
      <c r="A341" s="1">
        <v>340</v>
      </c>
      <c r="B341" s="1">
        <v>2013</v>
      </c>
      <c r="C341" s="1" t="s">
        <v>88</v>
      </c>
      <c r="D341" s="1" t="s">
        <v>916</v>
      </c>
      <c r="E341" s="8" t="s">
        <v>235</v>
      </c>
      <c r="F341" s="1" t="s">
        <v>32</v>
      </c>
      <c r="I341" s="12">
        <v>5.72</v>
      </c>
      <c r="J341" s="7">
        <v>16.342857142857099</v>
      </c>
      <c r="K341" s="13"/>
      <c r="L341" s="14">
        <v>2855</v>
      </c>
      <c r="M341" s="14"/>
      <c r="N341" s="14">
        <v>16364</v>
      </c>
      <c r="O341" s="13">
        <v>31.2</v>
      </c>
      <c r="P341" s="13">
        <v>5.5</v>
      </c>
      <c r="Q341" s="13">
        <v>54.9</v>
      </c>
      <c r="R341" s="13">
        <v>53.7</v>
      </c>
      <c r="S341" s="13" t="s">
        <v>89</v>
      </c>
      <c r="T341" s="13"/>
      <c r="U341" s="13">
        <v>15.5</v>
      </c>
      <c r="V341" s="13">
        <v>1.1000000000000001</v>
      </c>
      <c r="W341" s="7">
        <v>0.61</v>
      </c>
      <c r="X341" s="13">
        <v>74.599999999999994</v>
      </c>
      <c r="Y341" s="13">
        <v>59.7</v>
      </c>
      <c r="Z341" s="7">
        <v>1.68</v>
      </c>
      <c r="AA341" s="13">
        <v>3</v>
      </c>
      <c r="AB341" s="16">
        <f>AA341*10</f>
        <v>30</v>
      </c>
      <c r="AC341" s="13">
        <v>0</v>
      </c>
      <c r="AD341" s="16">
        <f>AC448*10</f>
        <v>0</v>
      </c>
      <c r="AE341" s="1">
        <v>1</v>
      </c>
    </row>
    <row r="342" spans="1:31" x14ac:dyDescent="0.2">
      <c r="A342" s="1">
        <v>341</v>
      </c>
      <c r="B342" s="1">
        <v>2012</v>
      </c>
      <c r="C342" s="1" t="s">
        <v>31</v>
      </c>
      <c r="D342" s="1" t="s">
        <v>916</v>
      </c>
      <c r="E342" s="1" t="s">
        <v>297</v>
      </c>
      <c r="F342" s="1" t="s">
        <v>83</v>
      </c>
      <c r="I342" s="12">
        <v>5.48</v>
      </c>
      <c r="J342" s="12">
        <v>15.7</v>
      </c>
      <c r="L342" s="16">
        <v>2858</v>
      </c>
      <c r="N342" s="16">
        <v>15656</v>
      </c>
      <c r="O342" s="15">
        <v>33.700000000000003</v>
      </c>
      <c r="P342" s="15">
        <v>7.33</v>
      </c>
      <c r="Q342" s="15">
        <v>51.8</v>
      </c>
      <c r="R342" s="15">
        <v>51.7</v>
      </c>
      <c r="T342" s="15"/>
      <c r="U342" s="15">
        <v>28</v>
      </c>
      <c r="V342" s="15">
        <v>4.2</v>
      </c>
      <c r="W342" s="12">
        <v>0.67</v>
      </c>
      <c r="X342" s="15"/>
      <c r="Y342" s="15"/>
      <c r="Z342" s="12">
        <v>1.46</v>
      </c>
      <c r="AB342" s="16"/>
      <c r="AD342" s="16"/>
      <c r="AE342" s="1">
        <v>1</v>
      </c>
    </row>
    <row r="343" spans="1:31" x14ac:dyDescent="0.2">
      <c r="A343" s="1">
        <v>342</v>
      </c>
      <c r="B343" s="1">
        <v>2012</v>
      </c>
      <c r="C343" s="1" t="s">
        <v>31</v>
      </c>
      <c r="D343" s="1" t="s">
        <v>916</v>
      </c>
      <c r="E343" s="1" t="s">
        <v>263</v>
      </c>
      <c r="F343" s="1" t="s">
        <v>83</v>
      </c>
      <c r="I343" s="12">
        <v>5.5</v>
      </c>
      <c r="J343" s="12">
        <v>15.7</v>
      </c>
      <c r="L343" s="16">
        <v>2860</v>
      </c>
      <c r="N343" s="16">
        <v>15739</v>
      </c>
      <c r="O343" s="15">
        <v>29</v>
      </c>
      <c r="P343" s="15">
        <v>7.09</v>
      </c>
      <c r="Q343" s="15">
        <v>52.3</v>
      </c>
      <c r="R343" s="15">
        <v>51.4</v>
      </c>
      <c r="T343" s="15"/>
      <c r="U343" s="15">
        <v>28.3</v>
      </c>
      <c r="V343" s="15">
        <v>3.7</v>
      </c>
      <c r="W343" s="12">
        <v>0.67</v>
      </c>
      <c r="X343" s="15"/>
      <c r="Y343" s="15"/>
      <c r="Z343" s="12">
        <v>1.47</v>
      </c>
      <c r="AB343" s="16"/>
      <c r="AD343" s="16"/>
      <c r="AE343" s="1">
        <v>1</v>
      </c>
    </row>
    <row r="344" spans="1:31" ht="17" x14ac:dyDescent="0.2">
      <c r="A344" s="1">
        <v>343</v>
      </c>
      <c r="B344" s="1">
        <v>2018</v>
      </c>
      <c r="C344" s="1" t="s">
        <v>31</v>
      </c>
      <c r="D344" s="8" t="s">
        <v>125</v>
      </c>
      <c r="E344" s="8" t="s">
        <v>491</v>
      </c>
      <c r="F344" s="1" t="s">
        <v>83</v>
      </c>
      <c r="G344" s="8">
        <v>117</v>
      </c>
      <c r="H344" s="1" t="s">
        <v>34</v>
      </c>
      <c r="I344" s="12">
        <v>6.2</v>
      </c>
      <c r="J344" s="3">
        <v>17.8</v>
      </c>
      <c r="L344" s="5">
        <v>2862.5</v>
      </c>
      <c r="M344" s="6" t="s">
        <v>34</v>
      </c>
      <c r="N344" s="5">
        <v>17782</v>
      </c>
      <c r="O344" s="6">
        <v>40.032499999999999</v>
      </c>
      <c r="P344" s="18">
        <v>8.8475000000000001</v>
      </c>
      <c r="Q344" s="6">
        <v>40.954999999999998</v>
      </c>
      <c r="R344" s="6">
        <v>50.602499999999999</v>
      </c>
      <c r="S344" s="3"/>
      <c r="T344" s="6">
        <v>25.984999999999999</v>
      </c>
      <c r="U344" s="6">
        <v>34.482500000000002</v>
      </c>
      <c r="V344" s="6">
        <v>7.9</v>
      </c>
      <c r="W344" s="3">
        <v>0.71310000000000007</v>
      </c>
      <c r="X344" s="6"/>
      <c r="Y344" s="6">
        <v>68.932500000000005</v>
      </c>
      <c r="Z344" s="3">
        <v>1.29</v>
      </c>
      <c r="AB344" s="16"/>
      <c r="AD344" s="16"/>
      <c r="AE344" s="1">
        <v>1</v>
      </c>
    </row>
    <row r="345" spans="1:31" ht="17" x14ac:dyDescent="0.2">
      <c r="A345" s="1">
        <v>344</v>
      </c>
      <c r="B345" s="1">
        <v>2019</v>
      </c>
      <c r="C345" s="1" t="s">
        <v>88</v>
      </c>
      <c r="D345" s="28" t="s">
        <v>914</v>
      </c>
      <c r="E345" s="9" t="s">
        <v>737</v>
      </c>
      <c r="F345" s="1" t="s">
        <v>83</v>
      </c>
      <c r="I345" s="12">
        <v>3.35</v>
      </c>
      <c r="J345" s="3">
        <v>9.5749999999999993</v>
      </c>
      <c r="L345" s="5">
        <v>2864</v>
      </c>
      <c r="N345" s="5">
        <v>9634.65</v>
      </c>
      <c r="O345" s="6">
        <v>27.692499999999999</v>
      </c>
      <c r="P345" s="6">
        <v>10.08</v>
      </c>
      <c r="Q345" s="6">
        <v>50.895000000000003</v>
      </c>
      <c r="R345" s="6">
        <v>43.92</v>
      </c>
      <c r="S345" s="3"/>
      <c r="T345" s="6">
        <v>33.935000000000002</v>
      </c>
      <c r="U345" s="6">
        <v>13.494999999999999</v>
      </c>
      <c r="V345" s="6">
        <v>6.54</v>
      </c>
      <c r="W345" s="3">
        <v>0.64375000000000004</v>
      </c>
      <c r="X345" s="6"/>
      <c r="Y345" s="6">
        <v>62.704999999999998</v>
      </c>
      <c r="Z345" s="3">
        <v>0.74</v>
      </c>
      <c r="AB345" s="16"/>
      <c r="AC345" s="4">
        <v>0</v>
      </c>
      <c r="AD345" s="16">
        <f>AC345*10</f>
        <v>0</v>
      </c>
      <c r="AE345" s="1">
        <v>1</v>
      </c>
    </row>
    <row r="346" spans="1:31" x14ac:dyDescent="0.2">
      <c r="A346" s="1">
        <v>345</v>
      </c>
      <c r="B346" s="1">
        <v>2010</v>
      </c>
      <c r="C346" s="1" t="s">
        <v>88</v>
      </c>
      <c r="D346" s="8" t="s">
        <v>1023</v>
      </c>
      <c r="E346" s="8">
        <v>7301</v>
      </c>
      <c r="F346" s="1" t="s">
        <v>32</v>
      </c>
      <c r="I346" s="12">
        <v>6.29</v>
      </c>
      <c r="J346" s="7">
        <v>18</v>
      </c>
      <c r="L346" s="14">
        <v>2867</v>
      </c>
      <c r="M346" s="14"/>
      <c r="N346" s="14">
        <v>18089</v>
      </c>
      <c r="O346" s="13">
        <v>24.6</v>
      </c>
      <c r="P346" s="13">
        <v>9.3000000000000007</v>
      </c>
      <c r="Q346" s="13">
        <v>56</v>
      </c>
      <c r="R346" s="13">
        <v>56.5</v>
      </c>
      <c r="S346" s="13"/>
      <c r="T346" s="13"/>
      <c r="U346" s="13">
        <v>36</v>
      </c>
      <c r="V346" s="13">
        <v>0.5</v>
      </c>
      <c r="W346" s="7"/>
      <c r="X346" s="13"/>
      <c r="Y346" s="13">
        <v>60.1</v>
      </c>
      <c r="Z346" s="7">
        <v>1.99</v>
      </c>
      <c r="AA346" s="13">
        <v>2.5</v>
      </c>
      <c r="AB346" s="16">
        <f>AA346*10</f>
        <v>25</v>
      </c>
      <c r="AC346" s="13">
        <v>10</v>
      </c>
      <c r="AD346" s="16">
        <f>AC346*10</f>
        <v>100</v>
      </c>
      <c r="AE346" s="1">
        <v>1</v>
      </c>
    </row>
    <row r="347" spans="1:31" ht="17" x14ac:dyDescent="0.2">
      <c r="A347" s="1">
        <v>346</v>
      </c>
      <c r="B347" s="1">
        <v>2018</v>
      </c>
      <c r="C347" s="1" t="s">
        <v>31</v>
      </c>
      <c r="D347" s="1" t="s">
        <v>916</v>
      </c>
      <c r="E347" s="8" t="s">
        <v>649</v>
      </c>
      <c r="F347" s="1" t="s">
        <v>83</v>
      </c>
      <c r="G347" s="8">
        <v>130</v>
      </c>
      <c r="H347" s="1" t="s">
        <v>34</v>
      </c>
      <c r="I347" s="12">
        <v>6.2</v>
      </c>
      <c r="J347" s="3">
        <v>17.600000000000001</v>
      </c>
      <c r="L347" s="5">
        <v>2869.25</v>
      </c>
      <c r="M347" s="6" t="s">
        <v>34</v>
      </c>
      <c r="N347" s="5">
        <v>17669</v>
      </c>
      <c r="O347" s="6">
        <v>35.907499999999999</v>
      </c>
      <c r="P347" s="18">
        <v>9.6925000000000008</v>
      </c>
      <c r="Q347" s="6">
        <v>44.7</v>
      </c>
      <c r="R347" s="6">
        <v>48.54</v>
      </c>
      <c r="S347" s="3"/>
      <c r="T347" s="6">
        <v>28.4</v>
      </c>
      <c r="U347" s="6">
        <v>26.977499999999999</v>
      </c>
      <c r="V347" s="6">
        <v>8.1</v>
      </c>
      <c r="W347" s="3">
        <v>0.68822500000000009</v>
      </c>
      <c r="X347" s="6"/>
      <c r="Y347" s="6">
        <v>66.697500000000005</v>
      </c>
      <c r="Z347" s="3">
        <v>1.34</v>
      </c>
      <c r="AB347" s="16"/>
      <c r="AD347" s="16"/>
      <c r="AE347" s="1">
        <v>1</v>
      </c>
    </row>
    <row r="348" spans="1:31" x14ac:dyDescent="0.2">
      <c r="A348" s="1">
        <v>347</v>
      </c>
      <c r="B348" s="1">
        <v>2011</v>
      </c>
      <c r="C348" s="1" t="s">
        <v>88</v>
      </c>
      <c r="D348" s="1" t="s">
        <v>916</v>
      </c>
      <c r="E348" s="8" t="s">
        <v>236</v>
      </c>
      <c r="F348" s="1" t="s">
        <v>32</v>
      </c>
      <c r="I348" s="12">
        <v>6.1</v>
      </c>
      <c r="J348" s="12">
        <v>29.5</v>
      </c>
      <c r="K348" s="13" t="s">
        <v>34</v>
      </c>
      <c r="L348" s="14">
        <v>2870</v>
      </c>
      <c r="M348" s="14"/>
      <c r="N348" s="14">
        <v>17515</v>
      </c>
      <c r="O348" s="13">
        <v>29.6</v>
      </c>
      <c r="P348" s="13">
        <v>8.4</v>
      </c>
      <c r="Q348" s="13">
        <v>55.6</v>
      </c>
      <c r="R348" s="13">
        <v>60.2</v>
      </c>
      <c r="T348" s="15"/>
      <c r="U348" s="15" t="s">
        <v>89</v>
      </c>
      <c r="V348" s="13">
        <v>2</v>
      </c>
      <c r="W348" s="12" t="s">
        <v>89</v>
      </c>
      <c r="X348" s="15" t="s">
        <v>89</v>
      </c>
      <c r="Y348" s="13">
        <v>65.2</v>
      </c>
      <c r="Z348" s="7">
        <v>2.04</v>
      </c>
      <c r="AA348" s="1">
        <v>1</v>
      </c>
      <c r="AB348" s="16">
        <f>AA348*10</f>
        <v>10</v>
      </c>
      <c r="AC348" s="1">
        <v>4.8</v>
      </c>
      <c r="AD348" s="16">
        <f>AC348*10</f>
        <v>48</v>
      </c>
      <c r="AE348" s="1">
        <v>1</v>
      </c>
    </row>
    <row r="349" spans="1:31" x14ac:dyDescent="0.2">
      <c r="A349" s="1">
        <v>348</v>
      </c>
      <c r="B349" s="1">
        <v>2015</v>
      </c>
      <c r="C349" s="8" t="s">
        <v>88</v>
      </c>
      <c r="D349" s="8" t="s">
        <v>1023</v>
      </c>
      <c r="E349" s="8" t="s">
        <v>336</v>
      </c>
      <c r="F349" s="1" t="s">
        <v>83</v>
      </c>
      <c r="I349" s="12">
        <v>4.8</v>
      </c>
      <c r="J349" s="7">
        <v>13.714285714285715</v>
      </c>
      <c r="L349" s="14">
        <v>2871</v>
      </c>
      <c r="N349" s="14">
        <v>13737</v>
      </c>
      <c r="O349" s="13">
        <v>27.1</v>
      </c>
      <c r="P349" s="13">
        <v>8.1</v>
      </c>
      <c r="Q349" s="13">
        <v>61.2</v>
      </c>
      <c r="R349" s="13">
        <v>55.7</v>
      </c>
      <c r="S349" s="8"/>
      <c r="T349" s="13" t="s">
        <v>89</v>
      </c>
      <c r="U349" s="13">
        <v>3.9</v>
      </c>
      <c r="V349" s="13">
        <v>13</v>
      </c>
      <c r="W349" s="7">
        <v>0.64</v>
      </c>
      <c r="X349" s="13"/>
      <c r="Y349" s="13">
        <v>59.3</v>
      </c>
      <c r="Z349" s="7">
        <v>1.64</v>
      </c>
      <c r="AA349" s="13">
        <v>1.6</v>
      </c>
      <c r="AB349" s="16">
        <f>AA349*10</f>
        <v>16</v>
      </c>
      <c r="AC349" s="13">
        <v>1</v>
      </c>
      <c r="AD349" s="16">
        <f>AC349*10</f>
        <v>10</v>
      </c>
      <c r="AE349" s="1">
        <v>1</v>
      </c>
    </row>
    <row r="350" spans="1:31" x14ac:dyDescent="0.2">
      <c r="A350" s="1">
        <v>349</v>
      </c>
      <c r="B350" s="1">
        <v>2018</v>
      </c>
      <c r="C350" s="1" t="s">
        <v>31</v>
      </c>
      <c r="D350" s="8" t="s">
        <v>125</v>
      </c>
      <c r="E350" s="8" t="s">
        <v>665</v>
      </c>
      <c r="F350" s="1" t="s">
        <v>83</v>
      </c>
      <c r="G350" s="8">
        <v>116</v>
      </c>
      <c r="I350" s="12">
        <v>5.7904762200000004</v>
      </c>
      <c r="J350" s="3">
        <v>16.544217799999998</v>
      </c>
      <c r="L350" s="5">
        <v>2872</v>
      </c>
      <c r="M350" s="1" t="s">
        <v>34</v>
      </c>
      <c r="N350" s="5">
        <v>16639</v>
      </c>
      <c r="O350" s="6">
        <v>42.28</v>
      </c>
      <c r="P350" s="18">
        <v>8.3825000000000003</v>
      </c>
      <c r="Q350" s="6">
        <v>37.712499999999999</v>
      </c>
      <c r="R350" s="6">
        <v>49.822499999999998</v>
      </c>
      <c r="S350" s="3"/>
      <c r="T350" s="6">
        <v>24.18</v>
      </c>
      <c r="U350" s="6">
        <v>39.299999999999997</v>
      </c>
      <c r="V350" s="6">
        <v>6.9074999999999998</v>
      </c>
      <c r="W350" s="3">
        <v>0.73299999999999998</v>
      </c>
      <c r="X350" s="6"/>
      <c r="Y350" s="6">
        <v>70.8</v>
      </c>
      <c r="Z350" s="3">
        <v>1.0829541</v>
      </c>
      <c r="AB350" s="16"/>
      <c r="AD350" s="16"/>
      <c r="AE350" s="1">
        <v>1</v>
      </c>
    </row>
    <row r="351" spans="1:31" x14ac:dyDescent="0.2">
      <c r="A351" s="1">
        <v>350</v>
      </c>
      <c r="B351" s="1">
        <v>2013</v>
      </c>
      <c r="C351" s="1" t="s">
        <v>31</v>
      </c>
      <c r="D351" s="1" t="s">
        <v>916</v>
      </c>
      <c r="E351" s="8" t="s">
        <v>297</v>
      </c>
      <c r="F351" s="1" t="s">
        <v>32</v>
      </c>
      <c r="G351" s="8">
        <v>130</v>
      </c>
      <c r="H351" s="8"/>
      <c r="I351" s="12">
        <v>8.89</v>
      </c>
      <c r="J351" s="7">
        <v>25.4</v>
      </c>
      <c r="K351" s="13"/>
      <c r="L351" s="14">
        <v>2875</v>
      </c>
      <c r="M351" s="8"/>
      <c r="N351" s="14">
        <v>25522</v>
      </c>
      <c r="O351" s="13">
        <v>30.5</v>
      </c>
      <c r="P351" s="13">
        <v>8</v>
      </c>
      <c r="Q351" s="13">
        <v>44.9</v>
      </c>
      <c r="R351" s="13">
        <v>43.4</v>
      </c>
      <c r="S351" s="13" t="s">
        <v>89</v>
      </c>
      <c r="T351" s="13"/>
      <c r="U351" s="13">
        <v>26.7</v>
      </c>
      <c r="V351" s="13">
        <v>4.2</v>
      </c>
      <c r="W351" s="7">
        <v>0.68</v>
      </c>
      <c r="X351" s="15" t="s">
        <v>89</v>
      </c>
      <c r="Y351" s="15" t="s">
        <v>89</v>
      </c>
      <c r="Z351" s="7">
        <v>1.74</v>
      </c>
      <c r="AB351" s="16"/>
      <c r="AD351" s="16"/>
      <c r="AE351" s="1">
        <v>1</v>
      </c>
    </row>
    <row r="352" spans="1:31" x14ac:dyDescent="0.2">
      <c r="A352" s="1">
        <v>351</v>
      </c>
      <c r="B352" s="1">
        <v>2017</v>
      </c>
      <c r="C352" s="1" t="s">
        <v>88</v>
      </c>
      <c r="D352" s="28" t="s">
        <v>914</v>
      </c>
      <c r="E352" s="1" t="s">
        <v>640</v>
      </c>
      <c r="F352" s="1" t="s">
        <v>32</v>
      </c>
      <c r="I352" s="12">
        <v>5.2403608500000001</v>
      </c>
      <c r="J352" s="3">
        <v>14.972459600000001</v>
      </c>
      <c r="L352" s="5">
        <v>2875.25</v>
      </c>
      <c r="N352" s="5">
        <v>15080.672699999999</v>
      </c>
      <c r="O352" s="6">
        <v>28.779649899999999</v>
      </c>
      <c r="P352" s="6">
        <v>5.4</v>
      </c>
      <c r="Q352" s="6">
        <v>63.33</v>
      </c>
      <c r="R352" s="15">
        <v>58</v>
      </c>
      <c r="S352" s="15">
        <v>18.3</v>
      </c>
      <c r="U352" s="6">
        <v>4.9349999999999996</v>
      </c>
      <c r="V352" s="6">
        <v>15.1</v>
      </c>
      <c r="W352" s="3">
        <v>0.60397500000000004</v>
      </c>
      <c r="X352" s="6"/>
      <c r="Y352" s="15">
        <v>59.942500000000003</v>
      </c>
      <c r="Z352" s="3">
        <v>1.92370771</v>
      </c>
      <c r="AB352" s="16"/>
      <c r="AD352" s="16"/>
      <c r="AE352" s="1">
        <v>1</v>
      </c>
    </row>
    <row r="353" spans="1:31" x14ac:dyDescent="0.2">
      <c r="A353" s="1">
        <v>352</v>
      </c>
      <c r="B353" s="1">
        <v>2016</v>
      </c>
      <c r="C353" s="1" t="s">
        <v>96</v>
      </c>
      <c r="D353" s="8" t="s">
        <v>459</v>
      </c>
      <c r="E353" s="8" t="s">
        <v>589</v>
      </c>
      <c r="F353" s="1" t="s">
        <v>32</v>
      </c>
      <c r="I353" s="12">
        <v>10.199999999999999</v>
      </c>
      <c r="J353" s="7">
        <v>29.1428571428571</v>
      </c>
      <c r="L353" s="5">
        <v>2879.5</v>
      </c>
      <c r="M353" s="1" t="s">
        <v>34</v>
      </c>
      <c r="N353" s="5">
        <v>29164</v>
      </c>
      <c r="O353" s="6">
        <v>28.625</v>
      </c>
      <c r="P353" s="6">
        <v>4.3875000000000002</v>
      </c>
      <c r="Q353" s="6">
        <v>56.67</v>
      </c>
      <c r="R353" s="6">
        <v>42.512500000000003</v>
      </c>
      <c r="S353" s="6"/>
      <c r="T353" s="6">
        <v>38.484999999999999</v>
      </c>
      <c r="U353" s="6">
        <v>11.29</v>
      </c>
      <c r="V353" s="6">
        <v>14.5</v>
      </c>
      <c r="W353" s="3">
        <v>0.62</v>
      </c>
      <c r="X353" s="6"/>
      <c r="Y353" s="6">
        <v>56.527500000000003</v>
      </c>
      <c r="Z353" s="3">
        <v>2.4559656099999998</v>
      </c>
      <c r="AA353" s="6">
        <v>1.1200000000000001</v>
      </c>
      <c r="AB353" s="16">
        <f>AA353*10</f>
        <v>11.200000000000001</v>
      </c>
      <c r="AC353" s="6">
        <v>1</v>
      </c>
      <c r="AD353" s="16">
        <f>AC353*10</f>
        <v>10</v>
      </c>
      <c r="AE353" s="1">
        <v>0</v>
      </c>
    </row>
    <row r="354" spans="1:31" x14ac:dyDescent="0.2">
      <c r="A354" s="1">
        <v>353</v>
      </c>
      <c r="B354" s="1">
        <v>2021</v>
      </c>
      <c r="C354" s="1" t="s">
        <v>88</v>
      </c>
      <c r="D354" s="1" t="s">
        <v>838</v>
      </c>
      <c r="E354" s="1" t="s">
        <v>840</v>
      </c>
      <c r="F354" s="1" t="s">
        <v>83</v>
      </c>
      <c r="H354" s="1" t="s">
        <v>89</v>
      </c>
      <c r="I354" s="12">
        <v>6.466529285899</v>
      </c>
      <c r="J354" s="12">
        <v>18.475797960000001</v>
      </c>
      <c r="K354" s="1" t="s">
        <v>89</v>
      </c>
      <c r="L354" s="16">
        <v>2880.5</v>
      </c>
      <c r="N354" s="16">
        <v>18605.343552072001</v>
      </c>
      <c r="O354" s="15">
        <v>30.218607899999999</v>
      </c>
      <c r="P354" s="15">
        <v>7.32</v>
      </c>
      <c r="Q354" s="15">
        <v>60.335000000000001</v>
      </c>
      <c r="R354" s="15">
        <v>57.43</v>
      </c>
      <c r="U354" s="15">
        <v>8.9725000000000001</v>
      </c>
      <c r="V354" s="15">
        <v>8.3949999999999996</v>
      </c>
      <c r="W354" s="12">
        <v>0.63649999999999995</v>
      </c>
      <c r="X354" s="15"/>
      <c r="Y354" s="15">
        <v>59.95</v>
      </c>
      <c r="Z354" s="12"/>
      <c r="AA354" s="15">
        <v>1</v>
      </c>
      <c r="AB354" s="16">
        <f>AA354*33.334</f>
        <v>33.334000000000003</v>
      </c>
      <c r="AC354" s="1">
        <v>1.25</v>
      </c>
      <c r="AD354" s="16">
        <f>AC354*33.334</f>
        <v>41.667500000000004</v>
      </c>
      <c r="AE354" s="1">
        <v>1</v>
      </c>
    </row>
    <row r="355" spans="1:31" ht="17" x14ac:dyDescent="0.2">
      <c r="A355" s="1">
        <v>354</v>
      </c>
      <c r="B355" s="1">
        <v>2018</v>
      </c>
      <c r="C355" s="1" t="s">
        <v>31</v>
      </c>
      <c r="D355" s="1" t="s">
        <v>805</v>
      </c>
      <c r="E355" s="8" t="s">
        <v>661</v>
      </c>
      <c r="F355" s="1" t="s">
        <v>83</v>
      </c>
      <c r="G355" s="8">
        <v>116</v>
      </c>
      <c r="H355" s="1" t="s">
        <v>34</v>
      </c>
      <c r="I355" s="12">
        <v>6.5</v>
      </c>
      <c r="J355" s="3">
        <v>18.399999999999999</v>
      </c>
      <c r="L355" s="5">
        <v>2881.5</v>
      </c>
      <c r="M355" s="6" t="s">
        <v>34</v>
      </c>
      <c r="N355" s="5">
        <v>18623</v>
      </c>
      <c r="O355" s="6">
        <v>39.6325</v>
      </c>
      <c r="P355" s="18">
        <v>8.7324999999999999</v>
      </c>
      <c r="Q355" s="6">
        <v>42.9</v>
      </c>
      <c r="R355" s="6">
        <v>51.597499999999997</v>
      </c>
      <c r="S355" s="3"/>
      <c r="T355" s="6">
        <v>26.63</v>
      </c>
      <c r="U355" s="6">
        <v>31.5975</v>
      </c>
      <c r="V355" s="6">
        <v>8</v>
      </c>
      <c r="W355" s="3">
        <v>0.70965</v>
      </c>
      <c r="X355" s="6"/>
      <c r="Y355" s="6">
        <v>68.622500000000002</v>
      </c>
      <c r="Z355" s="3">
        <v>1.43</v>
      </c>
      <c r="AB355" s="16"/>
      <c r="AD355" s="16"/>
      <c r="AE355" s="1">
        <v>1</v>
      </c>
    </row>
    <row r="356" spans="1:31" x14ac:dyDescent="0.2">
      <c r="A356" s="1">
        <v>355</v>
      </c>
      <c r="B356" s="1">
        <v>2019</v>
      </c>
      <c r="C356" s="1" t="s">
        <v>88</v>
      </c>
      <c r="D356" s="8" t="s">
        <v>738</v>
      </c>
      <c r="E356" s="8" t="s">
        <v>574</v>
      </c>
      <c r="F356" s="1" t="s">
        <v>32</v>
      </c>
      <c r="I356" s="12">
        <v>6.8025000000000002</v>
      </c>
      <c r="J356" s="3">
        <v>19.4375</v>
      </c>
      <c r="L356" s="5">
        <v>2881.5</v>
      </c>
      <c r="N356" s="5">
        <v>19599.25</v>
      </c>
      <c r="O356" s="6">
        <v>32.402500000000003</v>
      </c>
      <c r="P356" s="6">
        <v>7.2</v>
      </c>
      <c r="Q356" s="6">
        <v>48.1175</v>
      </c>
      <c r="R356" s="6">
        <v>33.274999999999999</v>
      </c>
      <c r="S356" s="3"/>
      <c r="T356" s="6">
        <v>33.064999999999998</v>
      </c>
      <c r="U356" s="6">
        <v>21.717500000000001</v>
      </c>
      <c r="V356" s="6">
        <v>10.147500000000001</v>
      </c>
      <c r="W356" s="3">
        <v>0.66667500000000002</v>
      </c>
      <c r="X356" s="6"/>
      <c r="Y356" s="6">
        <v>56.21</v>
      </c>
      <c r="Z356" s="3">
        <v>1.1025</v>
      </c>
      <c r="AB356" s="16"/>
      <c r="AC356" s="6">
        <v>0.5</v>
      </c>
      <c r="AD356" s="16">
        <f>AC356*10</f>
        <v>5</v>
      </c>
      <c r="AE356" s="1">
        <v>1</v>
      </c>
    </row>
    <row r="357" spans="1:31" x14ac:dyDescent="0.2">
      <c r="A357" s="1">
        <v>356</v>
      </c>
      <c r="B357" s="1">
        <v>2011</v>
      </c>
      <c r="C357" s="1" t="s">
        <v>31</v>
      </c>
      <c r="D357" s="1" t="s">
        <v>916</v>
      </c>
      <c r="E357" s="1">
        <v>37906</v>
      </c>
      <c r="F357" s="1" t="s">
        <v>83</v>
      </c>
      <c r="I357" s="12">
        <v>6.21</v>
      </c>
      <c r="J357" s="12">
        <v>17.7</v>
      </c>
      <c r="L357" s="16">
        <v>2885</v>
      </c>
      <c r="N357" s="16">
        <v>18071</v>
      </c>
      <c r="O357" s="15">
        <v>28.2</v>
      </c>
      <c r="P357" s="15">
        <v>8.6999999999999993</v>
      </c>
      <c r="Q357" s="15">
        <v>51.1</v>
      </c>
      <c r="R357" s="15">
        <v>61.7</v>
      </c>
      <c r="T357" s="15"/>
      <c r="U357" s="15">
        <v>20.100000000000001</v>
      </c>
      <c r="V357" s="15">
        <v>8.1999999999999993</v>
      </c>
      <c r="W357" s="12"/>
      <c r="X357" s="15"/>
      <c r="Y357" s="15">
        <v>64.2</v>
      </c>
      <c r="Z357" s="12">
        <v>1.79</v>
      </c>
      <c r="AB357" s="16"/>
      <c r="AD357" s="16"/>
      <c r="AE357" s="1">
        <v>1</v>
      </c>
    </row>
    <row r="358" spans="1:31" x14ac:dyDescent="0.2">
      <c r="A358" s="1">
        <v>357</v>
      </c>
      <c r="B358" s="1">
        <v>2017</v>
      </c>
      <c r="C358" s="1" t="s">
        <v>88</v>
      </c>
      <c r="D358" s="1" t="s">
        <v>1023</v>
      </c>
      <c r="E358" s="1" t="s">
        <v>637</v>
      </c>
      <c r="F358" s="1" t="s">
        <v>32</v>
      </c>
      <c r="H358" s="1" t="s">
        <v>34</v>
      </c>
      <c r="I358" s="12">
        <v>6.29</v>
      </c>
      <c r="J358" s="3">
        <v>18</v>
      </c>
      <c r="L358" s="5">
        <v>2886.5</v>
      </c>
      <c r="M358" s="1" t="s">
        <v>34</v>
      </c>
      <c r="N358" s="5">
        <v>18157</v>
      </c>
      <c r="O358" s="6">
        <v>28.509204700000002</v>
      </c>
      <c r="P358" s="6">
        <v>7.1</v>
      </c>
      <c r="Q358" s="6">
        <v>57.094999999999999</v>
      </c>
      <c r="R358" s="15">
        <v>51.807499999999997</v>
      </c>
      <c r="S358" s="15">
        <v>19.3</v>
      </c>
      <c r="U358" s="6">
        <v>13.904999999999999</v>
      </c>
      <c r="V358" s="6">
        <v>9.6</v>
      </c>
      <c r="W358" s="3">
        <v>0.61034999999999995</v>
      </c>
      <c r="X358" s="6"/>
      <c r="Y358" s="15">
        <v>58.774999999999999</v>
      </c>
      <c r="Z358" s="3">
        <v>1.85353799</v>
      </c>
      <c r="AB358" s="16"/>
      <c r="AD358" s="16"/>
      <c r="AE358" s="1">
        <v>1</v>
      </c>
    </row>
    <row r="359" spans="1:31" x14ac:dyDescent="0.2">
      <c r="A359" s="1">
        <v>358</v>
      </c>
      <c r="B359" s="1">
        <v>2017</v>
      </c>
      <c r="C359" s="1" t="s">
        <v>96</v>
      </c>
      <c r="D359" s="1" t="s">
        <v>246</v>
      </c>
      <c r="E359" s="1" t="s">
        <v>648</v>
      </c>
      <c r="F359" s="1" t="s">
        <v>32</v>
      </c>
      <c r="I359" s="12">
        <v>6.31</v>
      </c>
      <c r="J359" s="3">
        <v>18</v>
      </c>
      <c r="K359" s="1" t="s">
        <v>34</v>
      </c>
      <c r="L359" s="5">
        <v>2887</v>
      </c>
      <c r="M359" s="1" t="s">
        <v>34</v>
      </c>
      <c r="N359" s="5">
        <v>18213</v>
      </c>
      <c r="O359" s="6">
        <v>30.6</v>
      </c>
      <c r="P359" s="6">
        <v>5.5</v>
      </c>
      <c r="Q359" s="6">
        <v>55.1</v>
      </c>
      <c r="R359" s="6">
        <v>39.1</v>
      </c>
      <c r="S359" s="6">
        <v>24.8</v>
      </c>
      <c r="U359" s="15">
        <v>19</v>
      </c>
      <c r="V359" s="15">
        <v>12</v>
      </c>
      <c r="W359" s="3">
        <v>0.63300000000000001</v>
      </c>
      <c r="X359" s="6"/>
      <c r="Y359" s="6">
        <v>56.1</v>
      </c>
      <c r="Z359" s="3">
        <v>1.4</v>
      </c>
      <c r="AB359" s="16"/>
      <c r="AD359" s="16"/>
      <c r="AE359" s="1">
        <v>0</v>
      </c>
    </row>
    <row r="360" spans="1:31" x14ac:dyDescent="0.2">
      <c r="A360" s="1">
        <v>359</v>
      </c>
      <c r="B360" s="1">
        <v>2012</v>
      </c>
      <c r="C360" s="1" t="s">
        <v>88</v>
      </c>
      <c r="D360" s="8" t="s">
        <v>1023</v>
      </c>
      <c r="E360" s="8" t="s">
        <v>237</v>
      </c>
      <c r="F360" s="1" t="s">
        <v>83</v>
      </c>
      <c r="I360" s="12">
        <v>2.61</v>
      </c>
      <c r="J360" s="7">
        <v>7.5</v>
      </c>
      <c r="K360" s="13"/>
      <c r="L360" s="14">
        <v>2888</v>
      </c>
      <c r="M360" s="14"/>
      <c r="N360" s="14">
        <v>7542</v>
      </c>
      <c r="O360" s="13">
        <v>32</v>
      </c>
      <c r="P360" s="13">
        <v>9.52</v>
      </c>
      <c r="Q360" s="13">
        <v>55.6</v>
      </c>
      <c r="R360" s="13">
        <v>47.8</v>
      </c>
      <c r="S360" s="13"/>
      <c r="T360" s="13"/>
      <c r="U360" s="13">
        <v>17.5</v>
      </c>
      <c r="V360" s="13">
        <v>2</v>
      </c>
      <c r="W360" s="7">
        <v>0.63</v>
      </c>
      <c r="X360" s="15"/>
      <c r="Y360" s="15"/>
      <c r="Z360" s="7">
        <v>0.69</v>
      </c>
      <c r="AA360" s="7">
        <v>6</v>
      </c>
      <c r="AB360" s="16">
        <f>AA360*10</f>
        <v>60</v>
      </c>
      <c r="AC360" s="7">
        <v>0</v>
      </c>
      <c r="AD360" s="16">
        <f>AC360*10</f>
        <v>0</v>
      </c>
      <c r="AE360" s="1">
        <v>1</v>
      </c>
    </row>
    <row r="361" spans="1:31" x14ac:dyDescent="0.2">
      <c r="A361" s="1">
        <v>360</v>
      </c>
      <c r="B361" s="1">
        <v>2017</v>
      </c>
      <c r="C361" s="1" t="s">
        <v>88</v>
      </c>
      <c r="D361" s="1" t="s">
        <v>246</v>
      </c>
      <c r="E361" s="1" t="s">
        <v>574</v>
      </c>
      <c r="F361" s="1" t="s">
        <v>32</v>
      </c>
      <c r="I361" s="12">
        <v>5.8035103499999998</v>
      </c>
      <c r="J361" s="3">
        <v>16.581458099999999</v>
      </c>
      <c r="L361" s="5">
        <v>2888.5</v>
      </c>
      <c r="N361" s="5">
        <v>16870.051899999999</v>
      </c>
      <c r="O361" s="6">
        <v>27.645708200000001</v>
      </c>
      <c r="P361" s="6">
        <v>6</v>
      </c>
      <c r="Q361" s="6">
        <v>57.522500000000001</v>
      </c>
      <c r="R361" s="15">
        <v>44.837499999999999</v>
      </c>
      <c r="S361" s="15">
        <v>23.2</v>
      </c>
      <c r="U361" s="6">
        <v>15.577500000000001</v>
      </c>
      <c r="V361" s="6">
        <v>12.1</v>
      </c>
      <c r="W361" s="3">
        <v>0.625</v>
      </c>
      <c r="X361" s="6"/>
      <c r="Y361" s="15">
        <v>57.13</v>
      </c>
      <c r="Z361" s="3">
        <v>1.4880863</v>
      </c>
      <c r="AB361" s="16"/>
      <c r="AD361" s="16"/>
      <c r="AE361" s="1">
        <v>1</v>
      </c>
    </row>
    <row r="362" spans="1:31" x14ac:dyDescent="0.2">
      <c r="A362" s="1">
        <v>361</v>
      </c>
      <c r="B362" s="1">
        <v>2009</v>
      </c>
      <c r="C362" s="1" t="s">
        <v>31</v>
      </c>
      <c r="D362" s="1" t="s">
        <v>805</v>
      </c>
      <c r="E362" s="8" t="s">
        <v>137</v>
      </c>
      <c r="F362" s="1" t="s">
        <v>83</v>
      </c>
      <c r="I362" s="12">
        <v>7.82</v>
      </c>
      <c r="J362" s="7">
        <v>22.3</v>
      </c>
      <c r="L362" s="14">
        <v>2889</v>
      </c>
      <c r="M362" s="14"/>
      <c r="N362" s="14">
        <v>22578</v>
      </c>
      <c r="O362" s="13">
        <v>35.700000000000003</v>
      </c>
      <c r="P362" s="13">
        <v>8.1999999999999993</v>
      </c>
      <c r="Q362" s="13">
        <v>44.5</v>
      </c>
      <c r="R362" s="13">
        <v>41.7</v>
      </c>
      <c r="S362" s="8"/>
      <c r="T362" s="13">
        <v>27.4</v>
      </c>
      <c r="U362" s="13">
        <v>32.700000000000003</v>
      </c>
      <c r="V362" s="15"/>
      <c r="W362" s="7" t="s">
        <v>89</v>
      </c>
      <c r="X362" s="13"/>
      <c r="Y362" s="13">
        <v>65</v>
      </c>
      <c r="Z362" s="7">
        <v>1.45</v>
      </c>
      <c r="AB362" s="16"/>
      <c r="AD362" s="16"/>
      <c r="AE362" s="1">
        <v>1</v>
      </c>
    </row>
    <row r="363" spans="1:31" x14ac:dyDescent="0.2">
      <c r="A363" s="1">
        <v>362</v>
      </c>
      <c r="B363" s="1">
        <v>2013</v>
      </c>
      <c r="C363" s="1" t="s">
        <v>88</v>
      </c>
      <c r="D363" s="1" t="s">
        <v>916</v>
      </c>
      <c r="E363" s="8" t="s">
        <v>389</v>
      </c>
      <c r="F363" s="1" t="s">
        <v>32</v>
      </c>
      <c r="I363" s="12">
        <v>5.07</v>
      </c>
      <c r="J363" s="7">
        <v>14.4857142857143</v>
      </c>
      <c r="K363" s="13"/>
      <c r="L363" s="14">
        <v>2890</v>
      </c>
      <c r="M363" s="14"/>
      <c r="N363" s="14">
        <v>14676</v>
      </c>
      <c r="O363" s="13">
        <v>32.5</v>
      </c>
      <c r="P363" s="13">
        <v>3.7</v>
      </c>
      <c r="Q363" s="13">
        <v>58</v>
      </c>
      <c r="R363" s="13">
        <v>57.5</v>
      </c>
      <c r="S363" s="13" t="s">
        <v>89</v>
      </c>
      <c r="T363" s="13"/>
      <c r="U363" s="13">
        <v>11.2</v>
      </c>
      <c r="V363" s="13">
        <v>0.5</v>
      </c>
      <c r="W363" s="7">
        <v>0.61</v>
      </c>
      <c r="X363" s="13">
        <v>75.400000000000006</v>
      </c>
      <c r="Y363" s="13">
        <v>59.6</v>
      </c>
      <c r="Z363" s="7">
        <v>1.69</v>
      </c>
      <c r="AA363" s="13">
        <v>1.3</v>
      </c>
      <c r="AB363" s="16">
        <f>AA363*10</f>
        <v>13</v>
      </c>
      <c r="AC363" s="13">
        <v>0.1</v>
      </c>
      <c r="AD363" s="16">
        <f>AC470*10</f>
        <v>0</v>
      </c>
      <c r="AE363" s="1">
        <v>1</v>
      </c>
    </row>
    <row r="364" spans="1:31" x14ac:dyDescent="0.2">
      <c r="A364" s="1">
        <v>363</v>
      </c>
      <c r="B364" s="1">
        <v>2008</v>
      </c>
      <c r="C364" s="8" t="s">
        <v>88</v>
      </c>
      <c r="D364" s="8" t="s">
        <v>90</v>
      </c>
      <c r="E364" s="8" t="s">
        <v>94</v>
      </c>
      <c r="F364" s="8" t="s">
        <v>83</v>
      </c>
      <c r="G364" s="8"/>
      <c r="H364" s="8"/>
      <c r="I364" s="12">
        <v>4.5</v>
      </c>
      <c r="J364" s="7">
        <v>12.9</v>
      </c>
      <c r="K364" s="13" t="s">
        <v>34</v>
      </c>
      <c r="L364" s="14">
        <v>2892</v>
      </c>
      <c r="M364" s="14"/>
      <c r="N364" s="14">
        <v>13015</v>
      </c>
      <c r="O364" s="13">
        <v>30.7</v>
      </c>
      <c r="P364" s="13">
        <v>5.2</v>
      </c>
      <c r="Q364" s="13">
        <v>49.1</v>
      </c>
      <c r="R364" s="13">
        <v>52.6</v>
      </c>
      <c r="S364" s="13"/>
      <c r="T364" s="13"/>
      <c r="U364" s="13">
        <v>32.1</v>
      </c>
      <c r="V364" s="15" t="s">
        <v>89</v>
      </c>
      <c r="X364" s="15"/>
      <c r="Y364" s="13">
        <v>66</v>
      </c>
      <c r="Z364" s="7">
        <v>1.1599999999999999</v>
      </c>
      <c r="AB364" s="16"/>
      <c r="AD364" s="16"/>
      <c r="AE364" s="1">
        <v>1</v>
      </c>
    </row>
    <row r="365" spans="1:31" x14ac:dyDescent="0.2">
      <c r="A365" s="1">
        <v>364</v>
      </c>
      <c r="B365" s="1">
        <v>2008</v>
      </c>
      <c r="C365" s="1" t="s">
        <v>31</v>
      </c>
      <c r="D365" s="1" t="s">
        <v>805</v>
      </c>
      <c r="E365" s="8" t="s">
        <v>53</v>
      </c>
      <c r="F365" s="8" t="s">
        <v>83</v>
      </c>
      <c r="G365" s="8"/>
      <c r="H365" s="8"/>
      <c r="I365" s="12">
        <v>4.95</v>
      </c>
      <c r="J365" s="7">
        <v>14.142857142857144</v>
      </c>
      <c r="K365" s="13"/>
      <c r="L365" s="14">
        <v>2892</v>
      </c>
      <c r="M365" s="14"/>
      <c r="N365" s="14">
        <v>14315</v>
      </c>
      <c r="O365" s="13">
        <v>33.9</v>
      </c>
      <c r="P365" s="13">
        <v>9.4</v>
      </c>
      <c r="Q365" s="13">
        <v>45.5</v>
      </c>
      <c r="R365" s="13">
        <v>39.9</v>
      </c>
      <c r="S365" s="13"/>
      <c r="T365" s="13">
        <v>23.3</v>
      </c>
      <c r="U365" s="13">
        <v>26</v>
      </c>
      <c r="V365" s="15"/>
      <c r="X365" s="15"/>
      <c r="Y365" s="13">
        <v>64.7</v>
      </c>
      <c r="Z365" s="7">
        <v>0.89</v>
      </c>
      <c r="AB365" s="16"/>
      <c r="AD365" s="16"/>
      <c r="AE365" s="1">
        <v>1</v>
      </c>
    </row>
    <row r="366" spans="1:31" x14ac:dyDescent="0.2">
      <c r="A366" s="1">
        <v>365</v>
      </c>
      <c r="B366" s="1">
        <v>2019</v>
      </c>
      <c r="C366" s="1" t="s">
        <v>88</v>
      </c>
      <c r="D366" s="8" t="s">
        <v>187</v>
      </c>
      <c r="E366" s="8">
        <v>19038</v>
      </c>
      <c r="F366" s="1" t="s">
        <v>32</v>
      </c>
      <c r="I366" s="12">
        <v>4.6375000000000002</v>
      </c>
      <c r="J366" s="3">
        <v>13.25</v>
      </c>
      <c r="L366" s="5">
        <v>2892.75</v>
      </c>
      <c r="N366" s="5">
        <v>13461.25</v>
      </c>
      <c r="O366" s="6">
        <v>32.832500000000003</v>
      </c>
      <c r="P366" s="6">
        <v>7.8</v>
      </c>
      <c r="Q366" s="6">
        <v>54.207500000000003</v>
      </c>
      <c r="R366" s="6">
        <v>43.0625</v>
      </c>
      <c r="S366" s="3"/>
      <c r="T366" s="6">
        <v>36.085000000000001</v>
      </c>
      <c r="U366" s="6">
        <v>5.9649999999999999</v>
      </c>
      <c r="V366" s="6">
        <v>18.0825</v>
      </c>
      <c r="W366" s="3">
        <v>0.67102500000000009</v>
      </c>
      <c r="X366" s="6"/>
      <c r="Y366" s="6">
        <v>57.032499999999999</v>
      </c>
      <c r="Z366" s="3">
        <v>1.0774999999999999</v>
      </c>
      <c r="AB366" s="16"/>
      <c r="AC366" s="6">
        <v>0</v>
      </c>
      <c r="AD366" s="16">
        <f>AC366*10</f>
        <v>0</v>
      </c>
      <c r="AE366" s="1">
        <v>1</v>
      </c>
    </row>
    <row r="367" spans="1:31" x14ac:dyDescent="0.2">
      <c r="A367" s="1">
        <v>366</v>
      </c>
      <c r="B367" s="1">
        <v>2011</v>
      </c>
      <c r="C367" s="1" t="s">
        <v>88</v>
      </c>
      <c r="D367" s="8" t="s">
        <v>90</v>
      </c>
      <c r="E367" s="8" t="s">
        <v>242</v>
      </c>
      <c r="F367" s="1" t="s">
        <v>83</v>
      </c>
      <c r="I367" s="12">
        <v>5.54</v>
      </c>
      <c r="J367" s="12">
        <v>25.457142857142902</v>
      </c>
      <c r="K367" s="13" t="s">
        <v>34</v>
      </c>
      <c r="L367" s="14">
        <v>2893</v>
      </c>
      <c r="M367" s="14" t="s">
        <v>34</v>
      </c>
      <c r="N367" s="14">
        <v>16026</v>
      </c>
      <c r="O367" s="13">
        <v>28.1</v>
      </c>
      <c r="P367" s="13">
        <v>6.1</v>
      </c>
      <c r="Q367" s="13">
        <v>52.9</v>
      </c>
      <c r="R367" s="13">
        <v>53</v>
      </c>
      <c r="T367" s="15"/>
      <c r="U367" s="13">
        <v>18.7</v>
      </c>
      <c r="V367" s="13">
        <v>2.1</v>
      </c>
      <c r="W367" s="12" t="s">
        <v>89</v>
      </c>
      <c r="X367" s="15" t="s">
        <v>89</v>
      </c>
      <c r="Y367" s="13">
        <v>64.5</v>
      </c>
      <c r="Z367" s="7">
        <v>1.55</v>
      </c>
      <c r="AA367" s="1">
        <v>2</v>
      </c>
      <c r="AB367" s="16">
        <f>AA367*10</f>
        <v>20</v>
      </c>
      <c r="AC367" s="1">
        <v>3</v>
      </c>
      <c r="AD367" s="16">
        <f>AC367*10</f>
        <v>30</v>
      </c>
      <c r="AE367" s="1">
        <v>1</v>
      </c>
    </row>
    <row r="368" spans="1:31" x14ac:dyDescent="0.2">
      <c r="A368" s="1">
        <v>367</v>
      </c>
      <c r="B368" s="1">
        <v>2011</v>
      </c>
      <c r="C368" s="1" t="s">
        <v>88</v>
      </c>
      <c r="D368" s="1" t="s">
        <v>916</v>
      </c>
      <c r="E368" s="8" t="s">
        <v>92</v>
      </c>
      <c r="F368" s="1" t="s">
        <v>83</v>
      </c>
      <c r="I368" s="12">
        <v>5.88</v>
      </c>
      <c r="J368" s="12">
        <v>24.3</v>
      </c>
      <c r="K368" s="13" t="s">
        <v>34</v>
      </c>
      <c r="L368" s="14">
        <v>2893</v>
      </c>
      <c r="M368" s="14" t="s">
        <v>34</v>
      </c>
      <c r="N368" s="14">
        <v>16971</v>
      </c>
      <c r="O368" s="13">
        <v>29.3</v>
      </c>
      <c r="P368" s="13">
        <v>5.8</v>
      </c>
      <c r="Q368" s="13">
        <v>51</v>
      </c>
      <c r="R368" s="13">
        <v>45.8</v>
      </c>
      <c r="T368" s="15"/>
      <c r="U368" s="13">
        <v>24.2</v>
      </c>
      <c r="V368" s="13">
        <v>2.5</v>
      </c>
      <c r="W368" s="12" t="s">
        <v>89</v>
      </c>
      <c r="X368" s="15" t="s">
        <v>89</v>
      </c>
      <c r="Y368" s="13">
        <v>64.099999999999994</v>
      </c>
      <c r="Z368" s="7">
        <v>1.37</v>
      </c>
      <c r="AA368" s="1">
        <v>7</v>
      </c>
      <c r="AB368" s="16">
        <f>AA368*10</f>
        <v>70</v>
      </c>
      <c r="AC368" s="1">
        <v>2</v>
      </c>
      <c r="AD368" s="16">
        <f>AC368*10</f>
        <v>20</v>
      </c>
      <c r="AE368" s="1">
        <v>1</v>
      </c>
    </row>
    <row r="369" spans="1:31" x14ac:dyDescent="0.2">
      <c r="A369" s="1">
        <v>368</v>
      </c>
      <c r="B369" s="1">
        <v>2018</v>
      </c>
      <c r="C369" s="1" t="s">
        <v>88</v>
      </c>
      <c r="D369" s="28" t="s">
        <v>914</v>
      </c>
      <c r="E369" s="8" t="s">
        <v>675</v>
      </c>
      <c r="F369" s="1" t="s">
        <v>83</v>
      </c>
      <c r="I369" s="12">
        <v>3.2130025099999999</v>
      </c>
      <c r="J369" s="7">
        <v>9.1800072000000004</v>
      </c>
      <c r="L369" s="14">
        <v>2893.75</v>
      </c>
      <c r="N369" s="14">
        <v>9272.3073000000004</v>
      </c>
      <c r="O369" s="13">
        <v>31.17</v>
      </c>
      <c r="P369" s="13">
        <v>11.78</v>
      </c>
      <c r="Q369" s="13">
        <v>53.432499999999997</v>
      </c>
      <c r="R369" s="13">
        <v>47.63</v>
      </c>
      <c r="S369" s="7">
        <v>17.267499999999998</v>
      </c>
      <c r="U369" s="13">
        <v>10.4925</v>
      </c>
      <c r="V369" s="13">
        <v>8.68</v>
      </c>
      <c r="W369" s="7">
        <v>0.64092499999999997</v>
      </c>
      <c r="X369" s="13"/>
      <c r="Y369" s="13">
        <v>58.19</v>
      </c>
      <c r="Z369" s="7">
        <v>0.82332494000000001</v>
      </c>
      <c r="AA369" s="14">
        <v>0.75</v>
      </c>
      <c r="AB369" s="16">
        <f>AA369*33.334</f>
        <v>25.000500000000002</v>
      </c>
      <c r="AD369" s="16"/>
      <c r="AE369" s="1">
        <v>1</v>
      </c>
    </row>
    <row r="370" spans="1:31" x14ac:dyDescent="0.2">
      <c r="A370" s="1">
        <v>369</v>
      </c>
      <c r="B370" s="1">
        <v>2008</v>
      </c>
      <c r="C370" s="1" t="s">
        <v>31</v>
      </c>
      <c r="D370" s="1" t="s">
        <v>805</v>
      </c>
      <c r="E370" s="8" t="s">
        <v>49</v>
      </c>
      <c r="F370" s="8" t="s">
        <v>83</v>
      </c>
      <c r="G370" s="8"/>
      <c r="H370" s="8"/>
      <c r="I370" s="12">
        <v>4.04</v>
      </c>
      <c r="J370" s="7">
        <v>11.542857142857144</v>
      </c>
      <c r="K370" s="13"/>
      <c r="L370" s="14">
        <v>2894</v>
      </c>
      <c r="M370" s="14"/>
      <c r="N370" s="14">
        <v>11665</v>
      </c>
      <c r="O370" s="13">
        <v>36.5</v>
      </c>
      <c r="P370" s="13">
        <v>9.8000000000000007</v>
      </c>
      <c r="Q370" s="13">
        <v>39.4</v>
      </c>
      <c r="R370" s="13">
        <v>39</v>
      </c>
      <c r="S370" s="13"/>
      <c r="T370" s="13">
        <v>21.4</v>
      </c>
      <c r="U370" s="13">
        <v>29.1</v>
      </c>
      <c r="V370" s="15"/>
      <c r="X370" s="15"/>
      <c r="Y370" s="13">
        <v>64.900000000000006</v>
      </c>
      <c r="Z370" s="7">
        <v>0.61</v>
      </c>
      <c r="AB370" s="16"/>
      <c r="AD370" s="16"/>
      <c r="AE370" s="1">
        <v>1</v>
      </c>
    </row>
    <row r="371" spans="1:31" x14ac:dyDescent="0.2">
      <c r="A371" s="1">
        <v>370</v>
      </c>
      <c r="B371" s="1">
        <v>2015</v>
      </c>
      <c r="C371" s="8" t="s">
        <v>88</v>
      </c>
      <c r="D371" s="8" t="s">
        <v>1023</v>
      </c>
      <c r="E371" s="8" t="s">
        <v>238</v>
      </c>
      <c r="F371" s="1" t="s">
        <v>32</v>
      </c>
      <c r="I371" s="12">
        <v>6.97</v>
      </c>
      <c r="J371" s="7">
        <v>19.600000000000001</v>
      </c>
      <c r="L371" s="14">
        <v>2894</v>
      </c>
      <c r="N371" s="14">
        <v>20190</v>
      </c>
      <c r="O371" s="13">
        <v>28</v>
      </c>
      <c r="P371" s="13">
        <v>7.3</v>
      </c>
      <c r="Q371" s="13">
        <v>54.9</v>
      </c>
      <c r="R371" s="13">
        <v>53.5</v>
      </c>
      <c r="S371" s="8"/>
      <c r="T371" s="15" t="s">
        <v>89</v>
      </c>
      <c r="U371" s="13">
        <v>13.4</v>
      </c>
      <c r="V371" s="13">
        <v>14.1</v>
      </c>
      <c r="W371" s="7">
        <v>0.61</v>
      </c>
      <c r="X371" s="13"/>
      <c r="Y371" s="13">
        <v>59.2</v>
      </c>
      <c r="Z371" s="7">
        <v>2.0499999999999998</v>
      </c>
      <c r="AA371" s="13">
        <v>3.7</v>
      </c>
      <c r="AB371" s="16">
        <f>AA371*10</f>
        <v>37</v>
      </c>
      <c r="AC371" s="13">
        <v>1</v>
      </c>
      <c r="AD371" s="16">
        <f>AC371*10</f>
        <v>10</v>
      </c>
      <c r="AE371" s="1">
        <v>1</v>
      </c>
    </row>
    <row r="372" spans="1:31" x14ac:dyDescent="0.2">
      <c r="A372" s="1">
        <v>371</v>
      </c>
      <c r="B372" s="1">
        <v>2016</v>
      </c>
      <c r="C372" s="1" t="s">
        <v>96</v>
      </c>
      <c r="D372" s="8" t="s">
        <v>187</v>
      </c>
      <c r="E372" s="8" t="s">
        <v>467</v>
      </c>
      <c r="F372" s="1" t="s">
        <v>32</v>
      </c>
      <c r="I372" s="12">
        <v>8.1</v>
      </c>
      <c r="J372" s="7">
        <v>23.9</v>
      </c>
      <c r="L372" s="5">
        <v>2894.5</v>
      </c>
      <c r="M372" s="1" t="s">
        <v>34</v>
      </c>
      <c r="N372" s="5">
        <v>23335</v>
      </c>
      <c r="O372" s="6">
        <v>37.145000000000003</v>
      </c>
      <c r="P372" s="6">
        <v>6.9850000000000003</v>
      </c>
      <c r="Q372" s="6">
        <v>50.64</v>
      </c>
      <c r="R372" s="6">
        <v>35.092500000000001</v>
      </c>
      <c r="S372" s="6"/>
      <c r="T372" s="6">
        <v>36.457500000000003</v>
      </c>
      <c r="U372" s="6">
        <v>20.4925</v>
      </c>
      <c r="V372" s="6">
        <v>6.8274999999999997</v>
      </c>
      <c r="W372" s="3">
        <v>0.63</v>
      </c>
      <c r="X372" s="6"/>
      <c r="Y372" s="6">
        <v>56.14</v>
      </c>
      <c r="Z372" s="3">
        <v>1.43780598</v>
      </c>
      <c r="AA372" s="6">
        <v>2.25</v>
      </c>
      <c r="AB372" s="16">
        <f>AA372*10</f>
        <v>22.5</v>
      </c>
      <c r="AC372" s="6">
        <v>2</v>
      </c>
      <c r="AD372" s="16">
        <f>AC372*10</f>
        <v>20</v>
      </c>
      <c r="AE372" s="1">
        <v>0</v>
      </c>
    </row>
    <row r="373" spans="1:31" ht="17" x14ac:dyDescent="0.2">
      <c r="A373" s="1">
        <v>372</v>
      </c>
      <c r="B373" s="1">
        <v>2018</v>
      </c>
      <c r="C373" s="1" t="s">
        <v>31</v>
      </c>
      <c r="D373" s="8" t="s">
        <v>108</v>
      </c>
      <c r="E373" s="8" t="s">
        <v>667</v>
      </c>
      <c r="F373" s="1" t="s">
        <v>83</v>
      </c>
      <c r="G373" s="8">
        <v>118</v>
      </c>
      <c r="H373" s="1" t="s">
        <v>34</v>
      </c>
      <c r="I373" s="12">
        <v>6.2</v>
      </c>
      <c r="J373" s="3">
        <v>17.600000000000001</v>
      </c>
      <c r="L373" s="5">
        <v>2897</v>
      </c>
      <c r="M373" s="6" t="s">
        <v>34</v>
      </c>
      <c r="N373" s="5">
        <v>17941</v>
      </c>
      <c r="O373" s="6">
        <v>38.450000000000003</v>
      </c>
      <c r="P373" s="18">
        <v>8.9700000000000006</v>
      </c>
      <c r="Q373" s="6">
        <v>42.057499999999997</v>
      </c>
      <c r="R373" s="6">
        <v>51.442500000000003</v>
      </c>
      <c r="S373" s="3"/>
      <c r="T373" s="6">
        <v>26.4575</v>
      </c>
      <c r="U373" s="6">
        <v>32.465000000000003</v>
      </c>
      <c r="V373" s="6">
        <v>7.4550000000000001</v>
      </c>
      <c r="W373" s="3">
        <v>0.70694999999999997</v>
      </c>
      <c r="X373" s="6"/>
      <c r="Y373" s="6">
        <v>68.377499999999998</v>
      </c>
      <c r="Z373" s="3">
        <v>1.31</v>
      </c>
      <c r="AB373" s="16"/>
      <c r="AD373" s="16"/>
      <c r="AE373" s="1">
        <v>1</v>
      </c>
    </row>
    <row r="374" spans="1:31" x14ac:dyDescent="0.2">
      <c r="A374" s="1">
        <v>373</v>
      </c>
      <c r="B374" s="1">
        <v>2018</v>
      </c>
      <c r="C374" s="1" t="s">
        <v>88</v>
      </c>
      <c r="D374" s="8" t="s">
        <v>1023</v>
      </c>
      <c r="E374" s="8" t="s">
        <v>337</v>
      </c>
      <c r="F374" s="1" t="s">
        <v>83</v>
      </c>
      <c r="I374" s="12">
        <v>3.1925183800000001</v>
      </c>
      <c r="J374" s="7">
        <v>9.1214811000000005</v>
      </c>
      <c r="L374" s="14">
        <v>2897.75</v>
      </c>
      <c r="N374" s="14">
        <v>9255.0828999999994</v>
      </c>
      <c r="O374" s="13">
        <v>31.004999999999999</v>
      </c>
      <c r="P374" s="13">
        <v>11.55</v>
      </c>
      <c r="Q374" s="13">
        <v>52.977499999999999</v>
      </c>
      <c r="R374" s="13">
        <v>49.03</v>
      </c>
      <c r="S374" s="7">
        <v>17.6175</v>
      </c>
      <c r="U374" s="13">
        <v>15.092499999999999</v>
      </c>
      <c r="V374" s="13">
        <v>4.9050000000000002</v>
      </c>
      <c r="W374" s="7">
        <v>0.63437500000000002</v>
      </c>
      <c r="X374" s="13"/>
      <c r="Y374" s="13">
        <v>58.55</v>
      </c>
      <c r="Z374" s="7">
        <v>0.82754762999999998</v>
      </c>
      <c r="AA374" s="14">
        <v>2</v>
      </c>
      <c r="AB374" s="16">
        <f>AA374*33.334</f>
        <v>66.668000000000006</v>
      </c>
      <c r="AD374" s="16"/>
      <c r="AE374" s="1">
        <v>1</v>
      </c>
    </row>
    <row r="375" spans="1:31" x14ac:dyDescent="0.2">
      <c r="A375" s="1">
        <v>374</v>
      </c>
      <c r="B375" s="1">
        <v>2015</v>
      </c>
      <c r="C375" s="8" t="s">
        <v>96</v>
      </c>
      <c r="D375" s="8" t="s">
        <v>187</v>
      </c>
      <c r="E375" s="8" t="s">
        <v>258</v>
      </c>
      <c r="F375" s="1" t="s">
        <v>32</v>
      </c>
      <c r="I375" s="12">
        <v>7.42</v>
      </c>
      <c r="J375" s="7">
        <v>21.200000000000003</v>
      </c>
      <c r="K375" s="1" t="s">
        <v>34</v>
      </c>
      <c r="L375" s="14">
        <v>2899</v>
      </c>
      <c r="N375" s="14">
        <v>21504</v>
      </c>
      <c r="O375" s="13">
        <v>30.5</v>
      </c>
      <c r="P375" s="13">
        <v>9.3000000000000007</v>
      </c>
      <c r="Q375" s="13">
        <v>50.1</v>
      </c>
      <c r="R375" s="13">
        <v>35.799999999999997</v>
      </c>
      <c r="S375" s="8"/>
      <c r="T375" s="15" t="s">
        <v>89</v>
      </c>
      <c r="U375" s="13">
        <v>21</v>
      </c>
      <c r="V375" s="13">
        <v>6.3</v>
      </c>
      <c r="W375" s="7">
        <v>0.64</v>
      </c>
      <c r="X375" s="13"/>
      <c r="Y375" s="13">
        <v>56.4</v>
      </c>
      <c r="Z375" s="7">
        <v>1.33</v>
      </c>
      <c r="AA375" s="13">
        <v>1</v>
      </c>
      <c r="AB375" s="16">
        <f>AA375*10</f>
        <v>10</v>
      </c>
      <c r="AC375" s="13">
        <v>1</v>
      </c>
      <c r="AD375" s="16">
        <f>AC375*10</f>
        <v>10</v>
      </c>
      <c r="AE375" s="1">
        <v>0</v>
      </c>
    </row>
    <row r="376" spans="1:31" x14ac:dyDescent="0.2">
      <c r="A376" s="1">
        <v>375</v>
      </c>
      <c r="B376" s="1">
        <v>2011</v>
      </c>
      <c r="C376" s="1" t="s">
        <v>88</v>
      </c>
      <c r="D376" s="8" t="s">
        <v>1023</v>
      </c>
      <c r="E376" s="8" t="s">
        <v>237</v>
      </c>
      <c r="F376" s="1" t="s">
        <v>83</v>
      </c>
      <c r="I376" s="12">
        <v>3.93</v>
      </c>
      <c r="J376" s="12">
        <v>19.930950233000001</v>
      </c>
      <c r="K376" s="13" t="s">
        <v>34</v>
      </c>
      <c r="L376" s="14">
        <v>2900</v>
      </c>
      <c r="M376" s="14"/>
      <c r="N376" s="14">
        <v>11386</v>
      </c>
      <c r="O376" s="13">
        <v>31.6</v>
      </c>
      <c r="P376" s="13">
        <v>8.1999999999999993</v>
      </c>
      <c r="Q376" s="13">
        <v>54.6</v>
      </c>
      <c r="R376" s="13">
        <v>57.5</v>
      </c>
      <c r="T376" s="15"/>
      <c r="U376" s="13">
        <v>13.9</v>
      </c>
      <c r="V376" s="13">
        <v>1.7</v>
      </c>
      <c r="W376" s="12" t="s">
        <v>89</v>
      </c>
      <c r="X376" s="15" t="s">
        <v>89</v>
      </c>
      <c r="Y376" s="13">
        <v>63.8</v>
      </c>
      <c r="Z376" s="7">
        <v>1.23</v>
      </c>
      <c r="AA376" s="1">
        <v>1.5</v>
      </c>
      <c r="AB376" s="16">
        <f>AA376*10</f>
        <v>15</v>
      </c>
      <c r="AC376" s="1">
        <v>1.5</v>
      </c>
      <c r="AD376" s="16">
        <f>AC376*10</f>
        <v>15</v>
      </c>
      <c r="AE376" s="1">
        <v>1</v>
      </c>
    </row>
    <row r="377" spans="1:31" x14ac:dyDescent="0.2">
      <c r="A377" s="1">
        <v>376</v>
      </c>
      <c r="B377" s="1">
        <v>2015</v>
      </c>
      <c r="C377" s="8" t="s">
        <v>88</v>
      </c>
      <c r="D377" s="8" t="s">
        <v>459</v>
      </c>
      <c r="E377" s="8" t="s">
        <v>511</v>
      </c>
      <c r="F377" s="1" t="s">
        <v>83</v>
      </c>
      <c r="H377" s="1" t="s">
        <v>34</v>
      </c>
      <c r="I377" s="12">
        <v>8.9700000000000006</v>
      </c>
      <c r="J377" s="7">
        <v>25.6</v>
      </c>
      <c r="L377" s="14">
        <v>2900</v>
      </c>
      <c r="M377" s="1" t="s">
        <v>34</v>
      </c>
      <c r="N377" s="14">
        <v>26069</v>
      </c>
      <c r="O377" s="13">
        <v>27.1</v>
      </c>
      <c r="P377" s="13">
        <v>5.2</v>
      </c>
      <c r="Q377" s="13">
        <v>57.1</v>
      </c>
      <c r="R377" s="13">
        <v>46.8</v>
      </c>
      <c r="S377" s="8"/>
      <c r="T377" s="13" t="s">
        <v>89</v>
      </c>
      <c r="U377" s="13">
        <v>7.2</v>
      </c>
      <c r="V377" s="13">
        <v>13.7</v>
      </c>
      <c r="W377" s="7">
        <v>0.66</v>
      </c>
      <c r="X377" s="13"/>
      <c r="Y377" s="13">
        <v>57.6</v>
      </c>
      <c r="Z377" s="7">
        <v>2.39</v>
      </c>
      <c r="AA377" s="13">
        <v>2.2000000000000002</v>
      </c>
      <c r="AB377" s="16">
        <f>AA377*10</f>
        <v>22</v>
      </c>
      <c r="AC377" s="13">
        <v>1</v>
      </c>
      <c r="AD377" s="16">
        <f>AC377*10</f>
        <v>10</v>
      </c>
      <c r="AE377" s="1">
        <v>1</v>
      </c>
    </row>
    <row r="378" spans="1:31" x14ac:dyDescent="0.2">
      <c r="A378" s="1">
        <v>377</v>
      </c>
      <c r="B378" s="1">
        <v>2018</v>
      </c>
      <c r="C378" s="1" t="s">
        <v>88</v>
      </c>
      <c r="D378" s="28" t="s">
        <v>914</v>
      </c>
      <c r="E378" s="1" t="s">
        <v>675</v>
      </c>
      <c r="F378" s="1" t="s">
        <v>32</v>
      </c>
      <c r="I378" s="12">
        <v>3.3217627478285201</v>
      </c>
      <c r="J378" s="12">
        <v>9.4907507080814995</v>
      </c>
      <c r="L378" s="16">
        <v>2901.75</v>
      </c>
      <c r="N378" s="16">
        <v>9622.0475366342907</v>
      </c>
      <c r="O378" s="15">
        <v>31.166830542406501</v>
      </c>
      <c r="P378" s="15">
        <v>10.7125</v>
      </c>
      <c r="Q378" s="15">
        <v>55.94</v>
      </c>
      <c r="R378" s="15">
        <v>48.9</v>
      </c>
      <c r="S378" s="12">
        <v>18.337499999999999</v>
      </c>
      <c r="U378" s="15">
        <v>9.8424999999999994</v>
      </c>
      <c r="V378" s="15">
        <v>8.8574999999999999</v>
      </c>
      <c r="W378" s="12">
        <v>0.61382499999999995</v>
      </c>
      <c r="X378" s="15"/>
      <c r="Y378" s="15">
        <v>58.53</v>
      </c>
      <c r="Z378" s="12">
        <v>0.41554046171116699</v>
      </c>
      <c r="AA378" s="16">
        <v>3</v>
      </c>
      <c r="AB378" s="16">
        <f>AA378*33.334</f>
        <v>100.00200000000001</v>
      </c>
      <c r="AC378" s="16">
        <v>0.75</v>
      </c>
      <c r="AD378" s="16">
        <f>AC378*33.334</f>
        <v>25.000500000000002</v>
      </c>
      <c r="AE378" s="1">
        <v>1</v>
      </c>
    </row>
    <row r="379" spans="1:31" x14ac:dyDescent="0.2">
      <c r="A379" s="1">
        <v>378</v>
      </c>
      <c r="B379" s="1">
        <v>2018</v>
      </c>
      <c r="C379" s="1" t="s">
        <v>31</v>
      </c>
      <c r="D379" s="8" t="s">
        <v>391</v>
      </c>
      <c r="E379" s="8" t="s">
        <v>674</v>
      </c>
      <c r="F379" s="1" t="s">
        <v>83</v>
      </c>
      <c r="G379" s="8">
        <v>117</v>
      </c>
      <c r="I379" s="12">
        <v>4.1803585400000003</v>
      </c>
      <c r="J379" s="3">
        <v>11.9438815</v>
      </c>
      <c r="L379" s="5">
        <v>2902.5</v>
      </c>
      <c r="N379" s="5">
        <v>12088.25</v>
      </c>
      <c r="O379" s="6">
        <v>37.575000000000003</v>
      </c>
      <c r="P379" s="18">
        <v>8.14</v>
      </c>
      <c r="Q379" s="6">
        <v>44.3</v>
      </c>
      <c r="R379" s="6">
        <v>52.037500000000001</v>
      </c>
      <c r="S379" s="3"/>
      <c r="T379" s="6">
        <v>28.2</v>
      </c>
      <c r="U379" s="6">
        <v>32.435000000000002</v>
      </c>
      <c r="V379" s="6">
        <v>6.29</v>
      </c>
      <c r="W379" s="3">
        <v>0.69874999999999998</v>
      </c>
      <c r="X379" s="6"/>
      <c r="Y379" s="6">
        <v>67.642499999999998</v>
      </c>
      <c r="Z379" s="3">
        <v>0.96811767999999998</v>
      </c>
      <c r="AB379" s="16"/>
      <c r="AD379" s="16"/>
      <c r="AE379" s="1">
        <v>1</v>
      </c>
    </row>
    <row r="380" spans="1:31" x14ac:dyDescent="0.2">
      <c r="A380" s="1">
        <v>379</v>
      </c>
      <c r="B380" s="1">
        <v>2008</v>
      </c>
      <c r="C380" s="8" t="s">
        <v>88</v>
      </c>
      <c r="D380" s="1" t="s">
        <v>916</v>
      </c>
      <c r="E380" s="8">
        <v>9161</v>
      </c>
      <c r="F380" s="8" t="s">
        <v>83</v>
      </c>
      <c r="G380" s="8"/>
      <c r="H380" s="8" t="s">
        <v>34</v>
      </c>
      <c r="I380" s="12">
        <v>5.49</v>
      </c>
      <c r="J380" s="7">
        <v>15.7</v>
      </c>
      <c r="K380" s="13"/>
      <c r="L380" s="14">
        <v>2903</v>
      </c>
      <c r="M380" s="14" t="s">
        <v>34</v>
      </c>
      <c r="N380" s="14">
        <v>15939</v>
      </c>
      <c r="O380" s="13">
        <v>30.9</v>
      </c>
      <c r="P380" s="13">
        <v>4.9000000000000004</v>
      </c>
      <c r="Q380" s="13">
        <v>49</v>
      </c>
      <c r="R380" s="13">
        <v>52.9</v>
      </c>
      <c r="S380" s="13"/>
      <c r="T380" s="13"/>
      <c r="U380" s="13">
        <v>31.5</v>
      </c>
      <c r="V380" s="15" t="s">
        <v>89</v>
      </c>
      <c r="X380" s="15"/>
      <c r="Y380" s="13">
        <v>66.7</v>
      </c>
      <c r="Z380" s="7">
        <v>1.41</v>
      </c>
      <c r="AB380" s="16"/>
      <c r="AD380" s="16"/>
      <c r="AE380" s="1">
        <v>1</v>
      </c>
    </row>
    <row r="381" spans="1:31" ht="17" x14ac:dyDescent="0.2">
      <c r="A381" s="1">
        <v>380</v>
      </c>
      <c r="B381" s="1">
        <v>2019</v>
      </c>
      <c r="C381" s="1" t="s">
        <v>88</v>
      </c>
      <c r="D381" s="1" t="s">
        <v>1023</v>
      </c>
      <c r="E381" s="8" t="s">
        <v>338</v>
      </c>
      <c r="F381" s="1" t="s">
        <v>32</v>
      </c>
      <c r="H381" s="1" t="s">
        <v>34</v>
      </c>
      <c r="I381" s="12">
        <v>8.1999999999999993</v>
      </c>
      <c r="J381" s="3">
        <v>23.5</v>
      </c>
      <c r="L381" s="5">
        <v>2903.75</v>
      </c>
      <c r="M381" s="6" t="s">
        <v>34</v>
      </c>
      <c r="N381" s="5">
        <v>23892.799999999999</v>
      </c>
      <c r="O381" s="6">
        <v>38.799999999999997</v>
      </c>
      <c r="P381" s="6">
        <v>5.8125</v>
      </c>
      <c r="Q381" s="6">
        <v>46.697499999999998</v>
      </c>
      <c r="R381" s="6">
        <v>30.684999999999999</v>
      </c>
      <c r="S381" s="3"/>
      <c r="T381" s="6">
        <v>33.712499999999999</v>
      </c>
      <c r="U381" s="6">
        <v>23.66</v>
      </c>
      <c r="V381" s="6">
        <v>9.1449999999999996</v>
      </c>
      <c r="W381" s="3">
        <v>0.66879999999999995</v>
      </c>
      <c r="X381" s="6"/>
      <c r="Y381" s="6">
        <v>56.317500000000003</v>
      </c>
      <c r="Z381" s="3">
        <v>1.1850000000000001</v>
      </c>
      <c r="AB381" s="16"/>
      <c r="AC381" s="6">
        <v>0</v>
      </c>
      <c r="AD381" s="16">
        <f>AC381*10</f>
        <v>0</v>
      </c>
      <c r="AE381" s="1">
        <v>1</v>
      </c>
    </row>
    <row r="382" spans="1:31" ht="17" x14ac:dyDescent="0.2">
      <c r="A382" s="1">
        <v>381</v>
      </c>
      <c r="B382" s="1">
        <v>2018</v>
      </c>
      <c r="C382" s="1" t="s">
        <v>31</v>
      </c>
      <c r="D382" s="1" t="s">
        <v>916</v>
      </c>
      <c r="E382" s="8" t="s">
        <v>654</v>
      </c>
      <c r="F382" s="1" t="s">
        <v>83</v>
      </c>
      <c r="G382" s="8">
        <v>116</v>
      </c>
      <c r="H382" s="1" t="s">
        <v>34</v>
      </c>
      <c r="I382" s="12">
        <v>6.5</v>
      </c>
      <c r="J382" s="3">
        <v>18.7</v>
      </c>
      <c r="L382" s="5">
        <v>2904.25</v>
      </c>
      <c r="M382" s="6" t="s">
        <v>34</v>
      </c>
      <c r="N382" s="5">
        <v>18803</v>
      </c>
      <c r="O382" s="6">
        <v>44.7</v>
      </c>
      <c r="P382" s="18">
        <v>8.3224999999999998</v>
      </c>
      <c r="Q382" s="6">
        <v>37.272500000000001</v>
      </c>
      <c r="R382" s="6">
        <v>51.96</v>
      </c>
      <c r="S382" s="3"/>
      <c r="T382" s="6">
        <v>23.524999999999999</v>
      </c>
      <c r="U382" s="6">
        <v>39</v>
      </c>
      <c r="V382" s="6">
        <v>7.1775000000000002</v>
      </c>
      <c r="W382" s="3">
        <v>0.74</v>
      </c>
      <c r="X382" s="6"/>
      <c r="Y382" s="6">
        <v>71.400000000000006</v>
      </c>
      <c r="Z382" s="3">
        <v>1.2640159500000001</v>
      </c>
      <c r="AB382" s="16"/>
      <c r="AD382" s="16"/>
      <c r="AE382" s="1">
        <v>1</v>
      </c>
    </row>
    <row r="383" spans="1:31" x14ac:dyDescent="0.2">
      <c r="A383" s="1">
        <v>382</v>
      </c>
      <c r="B383" s="1">
        <v>2013</v>
      </c>
      <c r="C383" s="1" t="s">
        <v>88</v>
      </c>
      <c r="D383" s="8" t="s">
        <v>1023</v>
      </c>
      <c r="E383" s="8" t="s">
        <v>338</v>
      </c>
      <c r="F383" s="1" t="s">
        <v>32</v>
      </c>
      <c r="I383" s="12">
        <v>8.15</v>
      </c>
      <c r="J383" s="7">
        <v>23.3</v>
      </c>
      <c r="K383" s="13"/>
      <c r="L383" s="14">
        <v>2908</v>
      </c>
      <c r="M383" s="14" t="s">
        <v>34</v>
      </c>
      <c r="N383" s="14">
        <v>23736</v>
      </c>
      <c r="O383" s="13">
        <v>32.6</v>
      </c>
      <c r="P383" s="13">
        <v>4.5</v>
      </c>
      <c r="Q383" s="13">
        <v>53</v>
      </c>
      <c r="R383" s="13">
        <v>49.4</v>
      </c>
      <c r="S383" s="13" t="s">
        <v>89</v>
      </c>
      <c r="T383" s="13"/>
      <c r="U383" s="13">
        <v>20.100000000000001</v>
      </c>
      <c r="V383" s="13">
        <v>0.6</v>
      </c>
      <c r="W383" s="7">
        <v>0.62</v>
      </c>
      <c r="X383" s="13">
        <v>73.099999999999994</v>
      </c>
      <c r="Y383" s="13">
        <v>60.1</v>
      </c>
      <c r="Z383" s="7">
        <v>2.13</v>
      </c>
      <c r="AA383" s="13">
        <v>2</v>
      </c>
      <c r="AB383" s="16">
        <f>AA383*10</f>
        <v>20</v>
      </c>
      <c r="AC383" s="13">
        <v>0</v>
      </c>
      <c r="AD383" s="16">
        <f>AC490*10</f>
        <v>0</v>
      </c>
      <c r="AE383" s="1">
        <v>1</v>
      </c>
    </row>
    <row r="384" spans="1:31" x14ac:dyDescent="0.2">
      <c r="A384" s="1">
        <v>383</v>
      </c>
      <c r="B384" s="1">
        <v>2012</v>
      </c>
      <c r="C384" s="1" t="s">
        <v>96</v>
      </c>
      <c r="D384" s="1" t="s">
        <v>916</v>
      </c>
      <c r="E384" s="8" t="s">
        <v>252</v>
      </c>
      <c r="F384" s="1" t="s">
        <v>83</v>
      </c>
      <c r="I384" s="12">
        <v>3.04</v>
      </c>
      <c r="J384" s="7">
        <v>8.6999999999999993</v>
      </c>
      <c r="K384" s="13" t="s">
        <v>34</v>
      </c>
      <c r="L384" s="14">
        <v>2909</v>
      </c>
      <c r="M384" s="14"/>
      <c r="N384" s="14">
        <v>8872</v>
      </c>
      <c r="O384" s="13">
        <v>35.1</v>
      </c>
      <c r="P384" s="13">
        <v>10.45</v>
      </c>
      <c r="Q384" s="13">
        <v>55.6</v>
      </c>
      <c r="R384" s="13">
        <v>49.5</v>
      </c>
      <c r="S384" s="13"/>
      <c r="T384" s="13"/>
      <c r="U384" s="15"/>
      <c r="V384" s="13">
        <v>2.4</v>
      </c>
      <c r="W384" s="7">
        <v>0.62</v>
      </c>
      <c r="X384" s="13">
        <v>71.900000000000006</v>
      </c>
      <c r="Y384" s="15"/>
      <c r="Z384" s="7">
        <v>0.84</v>
      </c>
      <c r="AA384" s="7">
        <v>6</v>
      </c>
      <c r="AB384" s="16">
        <f>AA384*10</f>
        <v>60</v>
      </c>
      <c r="AC384" s="7">
        <v>0</v>
      </c>
      <c r="AD384" s="16">
        <f>AC384*10</f>
        <v>0</v>
      </c>
      <c r="AE384" s="1">
        <v>0</v>
      </c>
    </row>
    <row r="385" spans="1:31" x14ac:dyDescent="0.2">
      <c r="A385" s="1">
        <v>384</v>
      </c>
      <c r="B385" s="1">
        <v>2017</v>
      </c>
      <c r="C385" s="1" t="s">
        <v>88</v>
      </c>
      <c r="D385" s="28" t="s">
        <v>914</v>
      </c>
      <c r="E385" s="1" t="s">
        <v>639</v>
      </c>
      <c r="F385" s="1" t="s">
        <v>32</v>
      </c>
      <c r="H385" s="1" t="s">
        <v>34</v>
      </c>
      <c r="I385" s="12">
        <v>6.39</v>
      </c>
      <c r="J385" s="3">
        <v>18.3</v>
      </c>
      <c r="L385" s="5">
        <v>2909.75</v>
      </c>
      <c r="M385" s="1" t="s">
        <v>34</v>
      </c>
      <c r="N385" s="5">
        <v>18523</v>
      </c>
      <c r="O385" s="6">
        <v>28.988151999999999</v>
      </c>
      <c r="P385" s="6">
        <v>5.0750000000000002</v>
      </c>
      <c r="Q385" s="6">
        <v>59.465000000000003</v>
      </c>
      <c r="R385" s="15">
        <v>53.22</v>
      </c>
      <c r="S385" s="15">
        <v>17.399999999999999</v>
      </c>
      <c r="U385" s="6">
        <v>7.9074999999999998</v>
      </c>
      <c r="V385" s="6">
        <v>17.100000000000001</v>
      </c>
      <c r="W385" s="3">
        <v>0.61509999999999998</v>
      </c>
      <c r="X385" s="6"/>
      <c r="Y385" s="15">
        <v>59.274999999999999</v>
      </c>
      <c r="Z385" s="3">
        <v>2.01722578</v>
      </c>
      <c r="AB385" s="16"/>
      <c r="AD385" s="16"/>
      <c r="AE385" s="1">
        <v>1</v>
      </c>
    </row>
    <row r="386" spans="1:31" x14ac:dyDescent="0.2">
      <c r="A386" s="1">
        <v>385</v>
      </c>
      <c r="B386" s="1">
        <v>2021</v>
      </c>
      <c r="C386" s="1" t="s">
        <v>88</v>
      </c>
      <c r="D386" s="1" t="s">
        <v>246</v>
      </c>
      <c r="E386" s="1" t="s">
        <v>593</v>
      </c>
      <c r="F386" s="1" t="s">
        <v>83</v>
      </c>
      <c r="H386" s="1" t="s">
        <v>34</v>
      </c>
      <c r="I386" s="12">
        <v>7.1516335188290006</v>
      </c>
      <c r="J386" s="12">
        <v>20.433238625000001</v>
      </c>
      <c r="K386" s="1" t="s">
        <v>89</v>
      </c>
      <c r="L386" s="16">
        <v>2912</v>
      </c>
      <c r="N386" s="16">
        <v>20845.418404077998</v>
      </c>
      <c r="O386" s="15">
        <v>27.078985599999999</v>
      </c>
      <c r="P386" s="15">
        <v>6.415</v>
      </c>
      <c r="Q386" s="15">
        <v>56.947499999999998</v>
      </c>
      <c r="R386" s="15">
        <v>53.24</v>
      </c>
      <c r="U386" s="15">
        <v>6.4874999999999998</v>
      </c>
      <c r="V386" s="15">
        <v>14.785</v>
      </c>
      <c r="W386" s="12">
        <v>0.64732500000000004</v>
      </c>
      <c r="X386" s="15"/>
      <c r="Y386" s="15">
        <v>59.3675</v>
      </c>
      <c r="Z386" s="12"/>
      <c r="AA386" s="15">
        <v>1.625</v>
      </c>
      <c r="AB386" s="16">
        <f>AA386*33.334</f>
        <v>54.167750000000005</v>
      </c>
      <c r="AC386" s="1">
        <v>1.25</v>
      </c>
      <c r="AD386" s="16">
        <f>AC386*33.334</f>
        <v>41.667500000000004</v>
      </c>
      <c r="AE386" s="1">
        <v>1</v>
      </c>
    </row>
    <row r="387" spans="1:31" x14ac:dyDescent="0.2">
      <c r="A387" s="1">
        <v>386</v>
      </c>
      <c r="B387" s="1">
        <v>2021</v>
      </c>
      <c r="C387" s="1" t="s">
        <v>96</v>
      </c>
      <c r="D387" s="28" t="s">
        <v>914</v>
      </c>
      <c r="E387" s="1" t="s">
        <v>851</v>
      </c>
      <c r="F387" s="1" t="s">
        <v>83</v>
      </c>
      <c r="H387" s="1" t="s">
        <v>89</v>
      </c>
      <c r="I387" s="12">
        <v>5.001245599193</v>
      </c>
      <c r="J387" s="12">
        <v>14.289273141000001</v>
      </c>
      <c r="K387" s="1" t="s">
        <v>34</v>
      </c>
      <c r="L387" s="16">
        <v>2912.5</v>
      </c>
      <c r="N387" s="16">
        <v>14573.604936461001</v>
      </c>
      <c r="O387" s="15">
        <v>31.217662099999998</v>
      </c>
      <c r="P387" s="15">
        <v>8.5475316170000006</v>
      </c>
      <c r="Q387" s="15">
        <v>63.217500000000001</v>
      </c>
      <c r="R387" s="15">
        <v>59.205134450000003</v>
      </c>
      <c r="U387" s="15">
        <v>6.04</v>
      </c>
      <c r="V387" s="15">
        <v>7.9524999999999997</v>
      </c>
      <c r="W387" s="12">
        <v>0.63907499999999995</v>
      </c>
      <c r="X387" s="15"/>
      <c r="Y387" s="15">
        <v>60.755000000000003</v>
      </c>
      <c r="Z387" s="12"/>
      <c r="AA387" s="1">
        <v>0</v>
      </c>
      <c r="AB387" s="16">
        <f>AA387*33.334</f>
        <v>0</v>
      </c>
      <c r="AD387" s="16"/>
      <c r="AE387" s="1">
        <v>0</v>
      </c>
    </row>
    <row r="388" spans="1:31" x14ac:dyDescent="0.2">
      <c r="A388" s="1">
        <v>387</v>
      </c>
      <c r="B388" s="1">
        <v>2012</v>
      </c>
      <c r="C388" s="1" t="s">
        <v>88</v>
      </c>
      <c r="D388" s="8" t="s">
        <v>1023</v>
      </c>
      <c r="E388" s="8">
        <v>7401</v>
      </c>
      <c r="F388" s="1" t="s">
        <v>32</v>
      </c>
      <c r="I388" s="12">
        <v>7.85</v>
      </c>
      <c r="J388" s="7">
        <v>22.428571428571399</v>
      </c>
      <c r="K388" s="13"/>
      <c r="L388" s="14">
        <v>2914</v>
      </c>
      <c r="M388" s="14" t="s">
        <v>34</v>
      </c>
      <c r="N388" s="14">
        <v>23199</v>
      </c>
      <c r="O388" s="13">
        <v>29.2</v>
      </c>
      <c r="P388" s="13">
        <v>6.7</v>
      </c>
      <c r="Q388" s="13">
        <v>52.7</v>
      </c>
      <c r="R388" s="13">
        <v>55.2</v>
      </c>
      <c r="S388" s="13"/>
      <c r="T388" s="13"/>
      <c r="U388" s="13">
        <v>21.7</v>
      </c>
      <c r="V388" s="13">
        <v>2.6</v>
      </c>
      <c r="W388" s="7">
        <v>0.65</v>
      </c>
      <c r="X388" s="15"/>
      <c r="Y388" s="15"/>
      <c r="Z388" s="7">
        <v>2.25</v>
      </c>
      <c r="AA388" s="7">
        <v>2</v>
      </c>
      <c r="AB388" s="16">
        <f>AA388*10</f>
        <v>20</v>
      </c>
      <c r="AC388" s="7">
        <v>0</v>
      </c>
      <c r="AD388" s="16">
        <f>AC388*10</f>
        <v>0</v>
      </c>
      <c r="AE388" s="1">
        <v>1</v>
      </c>
    </row>
    <row r="389" spans="1:31" ht="17" x14ac:dyDescent="0.2">
      <c r="A389" s="1">
        <v>388</v>
      </c>
      <c r="B389" s="1">
        <v>2018</v>
      </c>
      <c r="C389" s="1" t="s">
        <v>31</v>
      </c>
      <c r="D389" s="8" t="s">
        <v>391</v>
      </c>
      <c r="E389" s="8" t="s">
        <v>495</v>
      </c>
      <c r="F389" s="1" t="s">
        <v>83</v>
      </c>
      <c r="G389" s="8">
        <v>115</v>
      </c>
      <c r="H389" s="1" t="s">
        <v>34</v>
      </c>
      <c r="I389" s="12">
        <v>6.6</v>
      </c>
      <c r="J389" s="3">
        <v>19</v>
      </c>
      <c r="L389" s="5">
        <v>2915</v>
      </c>
      <c r="M389" s="6" t="s">
        <v>34</v>
      </c>
      <c r="N389" s="5">
        <v>19367</v>
      </c>
      <c r="O389" s="6">
        <v>38.172499999999999</v>
      </c>
      <c r="P389" s="18">
        <v>10.1</v>
      </c>
      <c r="Q389" s="6">
        <v>40.112499999999997</v>
      </c>
      <c r="R389" s="6">
        <v>49.805</v>
      </c>
      <c r="S389" s="3"/>
      <c r="T389" s="6">
        <v>25.297499999999999</v>
      </c>
      <c r="U389" s="6">
        <v>31.747499999999999</v>
      </c>
      <c r="V389" s="6">
        <v>7.9</v>
      </c>
      <c r="W389" s="3">
        <v>0.70499999999999996</v>
      </c>
      <c r="X389" s="6"/>
      <c r="Y389" s="6">
        <v>68.202500000000001</v>
      </c>
      <c r="Z389" s="3">
        <v>1.33</v>
      </c>
      <c r="AB389" s="16"/>
      <c r="AD389" s="16"/>
      <c r="AE389" s="1">
        <v>1</v>
      </c>
    </row>
    <row r="390" spans="1:31" x14ac:dyDescent="0.2">
      <c r="A390" s="1">
        <v>389</v>
      </c>
      <c r="B390" s="1">
        <v>2011</v>
      </c>
      <c r="C390" s="1" t="s">
        <v>88</v>
      </c>
      <c r="D390" s="8" t="s">
        <v>90</v>
      </c>
      <c r="E390" s="8" t="s">
        <v>189</v>
      </c>
      <c r="F390" s="1" t="s">
        <v>32</v>
      </c>
      <c r="I390" s="12">
        <v>7.01</v>
      </c>
      <c r="J390" s="12">
        <v>27.1428571428571</v>
      </c>
      <c r="K390" s="13" t="s">
        <v>34</v>
      </c>
      <c r="L390" s="14">
        <v>2918</v>
      </c>
      <c r="M390" s="14"/>
      <c r="N390" s="14">
        <v>20337</v>
      </c>
      <c r="O390" s="13">
        <v>29.6</v>
      </c>
      <c r="P390" s="13">
        <v>8.1</v>
      </c>
      <c r="Q390" s="13">
        <v>54.2</v>
      </c>
      <c r="R390" s="13">
        <v>60.5</v>
      </c>
      <c r="T390" s="15"/>
      <c r="U390" s="15" t="s">
        <v>89</v>
      </c>
      <c r="V390" s="13">
        <v>1.7</v>
      </c>
      <c r="W390" s="12" t="s">
        <v>89</v>
      </c>
      <c r="X390" s="15" t="s">
        <v>89</v>
      </c>
      <c r="Y390" s="13">
        <v>65.599999999999994</v>
      </c>
      <c r="Z390" s="7">
        <v>2.2999999999999998</v>
      </c>
      <c r="AA390" s="1">
        <v>1</v>
      </c>
      <c r="AB390" s="16">
        <f>AA390*10</f>
        <v>10</v>
      </c>
      <c r="AC390" s="1">
        <v>4.5</v>
      </c>
      <c r="AD390" s="16">
        <f>AC390*10</f>
        <v>45</v>
      </c>
      <c r="AE390" s="1">
        <v>1</v>
      </c>
    </row>
    <row r="391" spans="1:31" x14ac:dyDescent="0.2">
      <c r="A391" s="1">
        <v>390</v>
      </c>
      <c r="B391" s="1">
        <v>2020</v>
      </c>
      <c r="C391" s="1" t="s">
        <v>88</v>
      </c>
      <c r="D391" s="28" t="s">
        <v>914</v>
      </c>
      <c r="E391" s="1" t="s">
        <v>693</v>
      </c>
      <c r="F391" s="1" t="s">
        <v>83</v>
      </c>
      <c r="I391" s="12">
        <v>5.6283021666625004</v>
      </c>
      <c r="J391" s="12">
        <v>16.080863333</v>
      </c>
      <c r="K391" s="1" t="s">
        <v>34</v>
      </c>
      <c r="L391" s="16">
        <v>2918.6186871750001</v>
      </c>
      <c r="N391" s="16">
        <v>16719.607886577</v>
      </c>
      <c r="O391" s="10">
        <v>26.030119499999998</v>
      </c>
      <c r="P391" s="15">
        <v>9.6274999999999995</v>
      </c>
      <c r="Q391" s="15">
        <v>63.907499999999999</v>
      </c>
      <c r="R391" s="15">
        <v>27.372499999999999</v>
      </c>
      <c r="S391" s="15"/>
      <c r="T391" s="15">
        <v>34.94</v>
      </c>
      <c r="U391" s="15">
        <v>10.195</v>
      </c>
      <c r="V391" s="15">
        <v>6.0774999999999997</v>
      </c>
      <c r="W391" s="12">
        <v>0.63228224899999996</v>
      </c>
      <c r="X391" s="15"/>
      <c r="Y391" s="15">
        <v>69.297859298999995</v>
      </c>
      <c r="Z391" s="12"/>
      <c r="AA391" s="15">
        <v>2.75</v>
      </c>
      <c r="AB391" s="16">
        <f>AA391*33.334</f>
        <v>91.668500000000009</v>
      </c>
      <c r="AC391" s="1">
        <v>0</v>
      </c>
      <c r="AD391" s="16">
        <f>AC391*33.334</f>
        <v>0</v>
      </c>
      <c r="AE391" s="1">
        <v>1</v>
      </c>
    </row>
    <row r="392" spans="1:31" x14ac:dyDescent="0.2">
      <c r="A392" s="1">
        <v>391</v>
      </c>
      <c r="B392" s="1">
        <v>2018</v>
      </c>
      <c r="C392" s="1" t="s">
        <v>88</v>
      </c>
      <c r="D392" s="28" t="s">
        <v>914</v>
      </c>
      <c r="E392" s="1" t="s">
        <v>686</v>
      </c>
      <c r="F392" s="1" t="s">
        <v>32</v>
      </c>
      <c r="H392" s="1" t="s">
        <v>34</v>
      </c>
      <c r="I392" s="12">
        <v>8.77</v>
      </c>
      <c r="J392" s="7">
        <v>25.06</v>
      </c>
      <c r="L392" s="16">
        <v>2919.5</v>
      </c>
      <c r="M392" s="1" t="s">
        <v>34</v>
      </c>
      <c r="N392" s="14">
        <v>25667.8</v>
      </c>
      <c r="O392" s="15">
        <v>38.512831554381997</v>
      </c>
      <c r="P392" s="15">
        <v>6.2750000000000004</v>
      </c>
      <c r="Q392" s="15">
        <v>49.534999999999997</v>
      </c>
      <c r="R392" s="15">
        <v>36.72</v>
      </c>
      <c r="S392" s="12">
        <v>19.227499999999999</v>
      </c>
      <c r="U392" s="15">
        <v>18.88</v>
      </c>
      <c r="V392" s="15">
        <v>11.727499999999999</v>
      </c>
      <c r="W392" s="12">
        <v>0.64364999999999994</v>
      </c>
      <c r="X392" s="15"/>
      <c r="Y392" s="15">
        <v>56.93</v>
      </c>
      <c r="Z392" s="12">
        <v>0.72475572679671696</v>
      </c>
      <c r="AA392" s="16">
        <v>3</v>
      </c>
      <c r="AB392" s="16">
        <f>AA392*33.334</f>
        <v>100.00200000000001</v>
      </c>
      <c r="AC392" s="16">
        <v>2.25</v>
      </c>
      <c r="AD392" s="16">
        <f>AC392*33.334</f>
        <v>75.001500000000007</v>
      </c>
      <c r="AE392" s="1">
        <v>1</v>
      </c>
    </row>
    <row r="393" spans="1:31" x14ac:dyDescent="0.2">
      <c r="A393" s="1">
        <v>392</v>
      </c>
      <c r="B393" s="1">
        <v>2018</v>
      </c>
      <c r="C393" s="1" t="s">
        <v>31</v>
      </c>
      <c r="D393" s="8" t="s">
        <v>71</v>
      </c>
      <c r="E393" s="8" t="s">
        <v>626</v>
      </c>
      <c r="F393" s="1" t="s">
        <v>83</v>
      </c>
      <c r="G393" s="8">
        <v>114</v>
      </c>
      <c r="I393" s="12">
        <v>4.6435022300000002</v>
      </c>
      <c r="J393" s="3">
        <v>13.2671492</v>
      </c>
      <c r="L393" s="5">
        <v>2920</v>
      </c>
      <c r="N393" s="5">
        <v>13597</v>
      </c>
      <c r="O393" s="6">
        <v>28.2925</v>
      </c>
      <c r="P393" s="18">
        <v>9.6475000000000009</v>
      </c>
      <c r="Q393" s="6">
        <v>47.7</v>
      </c>
      <c r="R393" s="6">
        <v>51.572499999999998</v>
      </c>
      <c r="S393" s="3"/>
      <c r="T393" s="6">
        <v>29.7</v>
      </c>
      <c r="U393" s="6">
        <v>22.732500000000002</v>
      </c>
      <c r="V393" s="6">
        <v>9.0399999999999991</v>
      </c>
      <c r="W393" s="3">
        <v>0.66617500000000007</v>
      </c>
      <c r="X393" s="6"/>
      <c r="Y393" s="6">
        <v>64.72</v>
      </c>
      <c r="Z393" s="3">
        <v>1.1411275299999999</v>
      </c>
      <c r="AB393" s="16"/>
      <c r="AD393" s="16"/>
      <c r="AE393" s="1">
        <v>1</v>
      </c>
    </row>
    <row r="394" spans="1:31" x14ac:dyDescent="0.2">
      <c r="A394" s="1">
        <v>393</v>
      </c>
      <c r="B394" s="1">
        <v>2011</v>
      </c>
      <c r="C394" s="1" t="s">
        <v>88</v>
      </c>
      <c r="D394" s="8" t="s">
        <v>246</v>
      </c>
      <c r="E394" s="8" t="s">
        <v>250</v>
      </c>
      <c r="F394" s="1" t="s">
        <v>83</v>
      </c>
      <c r="I394" s="12">
        <v>4.8499999999999996</v>
      </c>
      <c r="J394" s="12">
        <v>17.188733072000002</v>
      </c>
      <c r="K394" s="13" t="s">
        <v>34</v>
      </c>
      <c r="L394" s="14">
        <v>2922</v>
      </c>
      <c r="M394" s="14"/>
      <c r="N394" s="14">
        <v>14239</v>
      </c>
      <c r="O394" s="13">
        <v>26.8</v>
      </c>
      <c r="P394" s="13">
        <v>8.1</v>
      </c>
      <c r="Q394" s="13">
        <v>47.2</v>
      </c>
      <c r="R394" s="13">
        <v>53.3</v>
      </c>
      <c r="T394" s="15"/>
      <c r="U394" s="13">
        <v>20.2</v>
      </c>
      <c r="V394" s="13">
        <v>3</v>
      </c>
      <c r="W394" s="12" t="s">
        <v>89</v>
      </c>
      <c r="X394" s="15" t="s">
        <v>89</v>
      </c>
      <c r="Y394" s="13">
        <v>66.099999999999994</v>
      </c>
      <c r="Z394" s="7">
        <v>1.22</v>
      </c>
      <c r="AA394" s="1">
        <v>1</v>
      </c>
      <c r="AB394" s="16">
        <f>AA394*10</f>
        <v>10</v>
      </c>
      <c r="AC394" s="1">
        <v>2.75</v>
      </c>
      <c r="AD394" s="16">
        <f>AC394*10</f>
        <v>27.5</v>
      </c>
      <c r="AE394" s="1">
        <v>1</v>
      </c>
    </row>
    <row r="395" spans="1:31" x14ac:dyDescent="0.2">
      <c r="A395" s="1">
        <v>394</v>
      </c>
      <c r="B395" s="1">
        <v>2016</v>
      </c>
      <c r="C395" s="1" t="s">
        <v>88</v>
      </c>
      <c r="D395" s="1" t="s">
        <v>246</v>
      </c>
      <c r="E395" s="1" t="s">
        <v>581</v>
      </c>
      <c r="F395" s="1" t="s">
        <v>83</v>
      </c>
      <c r="I395" s="12">
        <v>6.4481485300000001</v>
      </c>
      <c r="J395" s="3">
        <v>18.423281500000002</v>
      </c>
      <c r="L395" s="5">
        <v>2922.75</v>
      </c>
      <c r="N395" s="5">
        <v>18848.984100000001</v>
      </c>
      <c r="O395" s="6">
        <v>29.958114699999999</v>
      </c>
      <c r="P395" s="6">
        <v>8.5</v>
      </c>
      <c r="Q395" s="6">
        <v>59.092500000000001</v>
      </c>
      <c r="R395" s="15">
        <v>56.1</v>
      </c>
      <c r="S395" s="6">
        <v>17.899999999999999</v>
      </c>
      <c r="T395" s="6"/>
      <c r="U395" s="6">
        <v>5.5374999999999996</v>
      </c>
      <c r="V395" s="6">
        <v>13.092499999999999</v>
      </c>
      <c r="W395" s="3">
        <v>0.60657499999999998</v>
      </c>
      <c r="X395" s="6"/>
      <c r="Y395" s="15">
        <v>60.104999999999997</v>
      </c>
      <c r="Z395" s="3">
        <v>2.1</v>
      </c>
      <c r="AA395" s="6">
        <v>2</v>
      </c>
      <c r="AB395" s="16">
        <f>AA395*10</f>
        <v>20</v>
      </c>
      <c r="AC395" s="6">
        <v>1</v>
      </c>
      <c r="AD395" s="16">
        <f>AC395*10</f>
        <v>10</v>
      </c>
      <c r="AE395" s="1">
        <v>1</v>
      </c>
    </row>
    <row r="396" spans="1:31" x14ac:dyDescent="0.2">
      <c r="A396" s="1">
        <v>395</v>
      </c>
      <c r="B396" s="1">
        <v>2019</v>
      </c>
      <c r="C396" s="1" t="s">
        <v>88</v>
      </c>
      <c r="D396" s="8" t="s">
        <v>731</v>
      </c>
      <c r="E396" s="8">
        <v>19179</v>
      </c>
      <c r="F396" s="1" t="s">
        <v>32</v>
      </c>
      <c r="I396" s="12">
        <v>6.415</v>
      </c>
      <c r="J396" s="3">
        <v>18.324999999999999</v>
      </c>
      <c r="L396" s="5">
        <v>2923</v>
      </c>
      <c r="N396" s="5">
        <v>18716.25</v>
      </c>
      <c r="O396" s="6">
        <v>33.844999999999999</v>
      </c>
      <c r="P396" s="6">
        <v>5.8574999999999999</v>
      </c>
      <c r="Q396" s="6">
        <v>48.4925</v>
      </c>
      <c r="R396" s="6">
        <v>34.922499999999999</v>
      </c>
      <c r="S396" s="3"/>
      <c r="T396" s="6">
        <v>34.325000000000003</v>
      </c>
      <c r="U396" s="6">
        <v>18.322500000000002</v>
      </c>
      <c r="V396" s="6">
        <v>11.9625</v>
      </c>
      <c r="W396" s="3">
        <v>0.67920000000000003</v>
      </c>
      <c r="X396" s="6"/>
      <c r="Y396" s="6">
        <v>56.72</v>
      </c>
      <c r="Z396" s="3">
        <v>1.0925</v>
      </c>
      <c r="AB396" s="16"/>
      <c r="AC396" s="6">
        <v>0</v>
      </c>
      <c r="AD396" s="16">
        <f>AC396*10</f>
        <v>0</v>
      </c>
      <c r="AE396" s="1">
        <v>1</v>
      </c>
    </row>
    <row r="397" spans="1:31" x14ac:dyDescent="0.2">
      <c r="A397" s="1">
        <v>396</v>
      </c>
      <c r="B397" s="1">
        <v>2021</v>
      </c>
      <c r="C397" s="1" t="s">
        <v>96</v>
      </c>
      <c r="D397" s="28" t="s">
        <v>914</v>
      </c>
      <c r="E397" s="1" t="s">
        <v>850</v>
      </c>
      <c r="F397" s="1" t="s">
        <v>83</v>
      </c>
      <c r="H397" s="1" t="s">
        <v>89</v>
      </c>
      <c r="I397" s="12">
        <v>4.5887128128540002</v>
      </c>
      <c r="J397" s="12">
        <v>13.110608037</v>
      </c>
      <c r="K397" s="1" t="s">
        <v>34</v>
      </c>
      <c r="L397" s="16">
        <v>2923.75</v>
      </c>
      <c r="N397" s="16">
        <v>13537.239464568</v>
      </c>
      <c r="O397" s="15">
        <v>31.624602899999999</v>
      </c>
      <c r="P397" s="15">
        <v>7.6775316169999996</v>
      </c>
      <c r="Q397" s="15">
        <v>66.577500000000001</v>
      </c>
      <c r="R397" s="15">
        <v>63.62263445</v>
      </c>
      <c r="U397" s="15">
        <v>3.4424999999999999</v>
      </c>
      <c r="V397" s="15">
        <v>8.4725000000000001</v>
      </c>
      <c r="W397" s="12">
        <v>0.6351</v>
      </c>
      <c r="X397" s="15"/>
      <c r="Y397" s="15">
        <v>62.195</v>
      </c>
      <c r="Z397" s="12"/>
      <c r="AA397" s="1">
        <v>0</v>
      </c>
      <c r="AB397" s="16">
        <f>AA397*33.334</f>
        <v>0</v>
      </c>
      <c r="AD397" s="16"/>
      <c r="AE397" s="1">
        <v>0</v>
      </c>
    </row>
    <row r="398" spans="1:31" x14ac:dyDescent="0.2">
      <c r="A398" s="1">
        <v>397</v>
      </c>
      <c r="B398" s="1">
        <v>2014</v>
      </c>
      <c r="C398" s="1" t="s">
        <v>96</v>
      </c>
      <c r="D398" s="8" t="s">
        <v>1023</v>
      </c>
      <c r="E398" s="8" t="s">
        <v>395</v>
      </c>
      <c r="F398" s="8" t="s">
        <v>32</v>
      </c>
      <c r="I398" s="12">
        <v>7.25</v>
      </c>
      <c r="J398" s="7">
        <v>20.714285714285701</v>
      </c>
      <c r="K398" s="13"/>
      <c r="L398" s="14">
        <v>2924</v>
      </c>
      <c r="M398" s="14" t="s">
        <v>34</v>
      </c>
      <c r="N398" s="14">
        <v>21142</v>
      </c>
      <c r="O398" s="13">
        <v>30.6</v>
      </c>
      <c r="P398" s="13">
        <v>9.6</v>
      </c>
      <c r="Q398" s="13">
        <v>54.2</v>
      </c>
      <c r="R398" s="13">
        <v>53.2</v>
      </c>
      <c r="T398" s="15"/>
      <c r="U398" s="13">
        <v>17.600000000000001</v>
      </c>
      <c r="V398" s="13">
        <v>2.2000000000000002</v>
      </c>
      <c r="W398" s="7">
        <v>0.61399999999999999</v>
      </c>
      <c r="X398" s="15"/>
      <c r="Y398" s="13">
        <v>59.4</v>
      </c>
      <c r="Z398" s="7">
        <v>2.09</v>
      </c>
      <c r="AA398" s="13">
        <v>4.4000000000000004</v>
      </c>
      <c r="AB398" s="16">
        <f>AA398*10</f>
        <v>44</v>
      </c>
      <c r="AC398" s="13">
        <v>1</v>
      </c>
      <c r="AD398" s="16">
        <f>AC398*10</f>
        <v>10</v>
      </c>
      <c r="AE398" s="1">
        <v>0</v>
      </c>
    </row>
    <row r="399" spans="1:31" x14ac:dyDescent="0.2">
      <c r="A399" s="1">
        <v>398</v>
      </c>
      <c r="B399" s="1">
        <v>2010</v>
      </c>
      <c r="C399" s="1" t="s">
        <v>88</v>
      </c>
      <c r="D399" s="1" t="s">
        <v>916</v>
      </c>
      <c r="E399" s="8" t="s">
        <v>93</v>
      </c>
      <c r="F399" s="1" t="s">
        <v>32</v>
      </c>
      <c r="I399" s="12">
        <v>8.32</v>
      </c>
      <c r="J399" s="7">
        <v>23.78</v>
      </c>
      <c r="K399" s="1" t="s">
        <v>34</v>
      </c>
      <c r="L399" s="14">
        <v>2928</v>
      </c>
      <c r="M399" s="14" t="s">
        <v>34</v>
      </c>
      <c r="N399" s="14">
        <v>24383</v>
      </c>
      <c r="O399" s="13">
        <v>27.5</v>
      </c>
      <c r="P399" s="13">
        <v>7.9</v>
      </c>
      <c r="Q399" s="13">
        <v>52</v>
      </c>
      <c r="R399" s="13">
        <v>51.2</v>
      </c>
      <c r="S399" s="13"/>
      <c r="T399" s="13"/>
      <c r="U399" s="13">
        <v>34.700000000000003</v>
      </c>
      <c r="V399" s="13">
        <v>1.6</v>
      </c>
      <c r="W399" s="7"/>
      <c r="X399" s="13"/>
      <c r="Y399" s="13">
        <v>61.4</v>
      </c>
      <c r="Z399" s="7">
        <v>2.21</v>
      </c>
      <c r="AA399" s="13">
        <v>2.25</v>
      </c>
      <c r="AB399" s="16">
        <f>AA399*10</f>
        <v>22.5</v>
      </c>
      <c r="AC399" s="13">
        <v>3</v>
      </c>
      <c r="AD399" s="16">
        <f>AC399*10</f>
        <v>30</v>
      </c>
      <c r="AE399" s="1">
        <v>1</v>
      </c>
    </row>
    <row r="400" spans="1:31" x14ac:dyDescent="0.2">
      <c r="A400" s="1">
        <v>399</v>
      </c>
      <c r="B400" s="1">
        <v>2019</v>
      </c>
      <c r="C400" s="1" t="s">
        <v>88</v>
      </c>
      <c r="D400" s="28" t="s">
        <v>914</v>
      </c>
      <c r="E400" s="1" t="s">
        <v>680</v>
      </c>
      <c r="F400" s="1" t="s">
        <v>32</v>
      </c>
      <c r="I400" s="12">
        <v>5.9349999999999996</v>
      </c>
      <c r="J400" s="3">
        <v>16.962499999999999</v>
      </c>
      <c r="L400" s="5">
        <v>2928.75</v>
      </c>
      <c r="N400" s="5">
        <v>17401.75</v>
      </c>
      <c r="O400" s="6">
        <v>30.4175</v>
      </c>
      <c r="P400" s="6">
        <v>5.95</v>
      </c>
      <c r="Q400" s="6">
        <v>53.67</v>
      </c>
      <c r="R400" s="6">
        <v>46.7</v>
      </c>
      <c r="S400" s="3"/>
      <c r="T400" s="6">
        <v>37</v>
      </c>
      <c r="U400" s="6">
        <v>7.9924999999999997</v>
      </c>
      <c r="V400" s="6">
        <v>17.914999999999999</v>
      </c>
      <c r="W400" s="3">
        <v>0.67207499999999998</v>
      </c>
      <c r="X400" s="6"/>
      <c r="Y400" s="6">
        <v>58.292499999999997</v>
      </c>
      <c r="Z400" s="3">
        <v>1.4824999999999999</v>
      </c>
      <c r="AB400" s="16"/>
      <c r="AC400" s="18">
        <v>0</v>
      </c>
      <c r="AD400" s="16">
        <f>AC400*10</f>
        <v>0</v>
      </c>
      <c r="AE400" s="1">
        <v>1</v>
      </c>
    </row>
    <row r="401" spans="1:31" x14ac:dyDescent="0.2">
      <c r="A401" s="1">
        <v>400</v>
      </c>
      <c r="B401" s="1">
        <v>2011</v>
      </c>
      <c r="C401" s="1" t="s">
        <v>96</v>
      </c>
      <c r="D401" s="8" t="s">
        <v>1023</v>
      </c>
      <c r="E401" s="8" t="s">
        <v>259</v>
      </c>
      <c r="F401" s="1" t="s">
        <v>83</v>
      </c>
      <c r="H401" s="1" t="s">
        <v>34</v>
      </c>
      <c r="I401" s="12">
        <v>6.55</v>
      </c>
      <c r="J401" s="12">
        <v>27.571428571428601</v>
      </c>
      <c r="K401" s="8"/>
      <c r="L401" s="14">
        <v>2932</v>
      </c>
      <c r="M401" s="8" t="s">
        <v>34</v>
      </c>
      <c r="N401" s="14">
        <v>19190</v>
      </c>
      <c r="O401" s="13">
        <v>27.9</v>
      </c>
      <c r="P401" s="13">
        <v>6.6</v>
      </c>
      <c r="Q401" s="13">
        <v>59.3</v>
      </c>
      <c r="R401" s="13">
        <v>48.3</v>
      </c>
      <c r="S401" s="13"/>
      <c r="T401" s="13"/>
      <c r="U401" s="13">
        <v>10.9</v>
      </c>
      <c r="V401" s="13">
        <v>1.4</v>
      </c>
      <c r="W401" s="7" t="s">
        <v>89</v>
      </c>
      <c r="X401" s="13" t="s">
        <v>89</v>
      </c>
      <c r="Y401" s="13">
        <v>60.3</v>
      </c>
      <c r="Z401" s="7">
        <v>1.87</v>
      </c>
      <c r="AA401" s="8">
        <v>3.5</v>
      </c>
      <c r="AB401" s="16">
        <f>AA401*10</f>
        <v>35</v>
      </c>
      <c r="AC401" s="13">
        <v>3</v>
      </c>
      <c r="AD401" s="16">
        <f>AC401*10</f>
        <v>30</v>
      </c>
      <c r="AE401" s="1">
        <v>0</v>
      </c>
    </row>
    <row r="402" spans="1:31" x14ac:dyDescent="0.2">
      <c r="A402" s="1">
        <v>401</v>
      </c>
      <c r="B402" s="1">
        <v>2014</v>
      </c>
      <c r="C402" s="1" t="s">
        <v>88</v>
      </c>
      <c r="D402" s="8" t="s">
        <v>187</v>
      </c>
      <c r="E402" s="8" t="s">
        <v>188</v>
      </c>
      <c r="F402" s="8" t="s">
        <v>83</v>
      </c>
      <c r="G402" s="8"/>
      <c r="H402" s="8"/>
      <c r="I402" s="12">
        <v>10.5</v>
      </c>
      <c r="J402" s="7">
        <v>30</v>
      </c>
      <c r="K402" s="13"/>
      <c r="L402" s="14">
        <v>2934</v>
      </c>
      <c r="M402" s="14"/>
      <c r="N402" s="14">
        <v>30769</v>
      </c>
      <c r="O402" s="13">
        <v>28.8</v>
      </c>
      <c r="P402" s="13">
        <v>6.5</v>
      </c>
      <c r="Q402" s="13">
        <v>54.1</v>
      </c>
      <c r="R402" s="13">
        <v>49.7</v>
      </c>
      <c r="S402" s="13"/>
      <c r="T402" s="13"/>
      <c r="U402" s="13">
        <v>17.399999999999999</v>
      </c>
      <c r="V402" s="13">
        <v>1.5</v>
      </c>
      <c r="W402" s="7">
        <v>0.61</v>
      </c>
      <c r="X402" s="15"/>
      <c r="Y402" s="13">
        <v>59.7</v>
      </c>
      <c r="Z402" s="7">
        <v>2.82</v>
      </c>
      <c r="AA402" s="13">
        <v>5</v>
      </c>
      <c r="AB402" s="16">
        <f>AA402*10</f>
        <v>50</v>
      </c>
      <c r="AC402" s="8">
        <v>1</v>
      </c>
      <c r="AD402" s="16">
        <f>AC402*10</f>
        <v>10</v>
      </c>
      <c r="AE402" s="1">
        <v>1</v>
      </c>
    </row>
    <row r="403" spans="1:31" x14ac:dyDescent="0.2">
      <c r="A403" s="1">
        <v>402</v>
      </c>
      <c r="B403" s="1">
        <v>2013</v>
      </c>
      <c r="C403" s="1" t="s">
        <v>88</v>
      </c>
      <c r="D403" s="8" t="s">
        <v>1023</v>
      </c>
      <c r="E403" s="8" t="s">
        <v>238</v>
      </c>
      <c r="F403" s="1" t="s">
        <v>32</v>
      </c>
      <c r="I403" s="12">
        <v>4.92</v>
      </c>
      <c r="J403" s="7">
        <v>14.1</v>
      </c>
      <c r="K403" s="13"/>
      <c r="L403" s="14">
        <v>2936</v>
      </c>
      <c r="M403" s="14"/>
      <c r="N403" s="14">
        <v>14460</v>
      </c>
      <c r="O403" s="13">
        <v>30.2</v>
      </c>
      <c r="P403" s="13">
        <v>5.2</v>
      </c>
      <c r="Q403" s="13">
        <v>57.6</v>
      </c>
      <c r="R403" s="13">
        <v>57.5</v>
      </c>
      <c r="S403" s="13" t="s">
        <v>89</v>
      </c>
      <c r="T403" s="13"/>
      <c r="U403" s="13">
        <v>9.8000000000000007</v>
      </c>
      <c r="V403" s="13">
        <v>2.1</v>
      </c>
      <c r="W403" s="7">
        <v>0.62</v>
      </c>
      <c r="X403" s="13">
        <v>75.599999999999994</v>
      </c>
      <c r="Y403" s="13">
        <v>60.4</v>
      </c>
      <c r="Z403" s="7">
        <v>1.63</v>
      </c>
      <c r="AA403" s="13">
        <v>0.9</v>
      </c>
      <c r="AB403" s="16">
        <f>AA403*10</f>
        <v>9</v>
      </c>
      <c r="AC403" s="13">
        <v>0.8</v>
      </c>
      <c r="AD403" s="16">
        <f>AC510*10</f>
        <v>0</v>
      </c>
      <c r="AE403" s="1">
        <v>1</v>
      </c>
    </row>
    <row r="404" spans="1:31" x14ac:dyDescent="0.2">
      <c r="A404" s="1">
        <v>403</v>
      </c>
      <c r="B404" s="1">
        <v>2018</v>
      </c>
      <c r="C404" s="1" t="s">
        <v>88</v>
      </c>
      <c r="D404" s="8" t="s">
        <v>246</v>
      </c>
      <c r="E404" s="8" t="s">
        <v>593</v>
      </c>
      <c r="F404" s="1" t="s">
        <v>83</v>
      </c>
      <c r="H404" s="1" t="s">
        <v>34</v>
      </c>
      <c r="I404" s="12">
        <v>5.8</v>
      </c>
      <c r="J404" s="3">
        <v>16.64</v>
      </c>
      <c r="K404" s="1" t="s">
        <v>34</v>
      </c>
      <c r="L404" s="5">
        <v>2937.8</v>
      </c>
      <c r="M404" s="1" t="s">
        <v>34</v>
      </c>
      <c r="N404" s="5">
        <v>17083.8</v>
      </c>
      <c r="O404" s="6">
        <v>28.524999999999999</v>
      </c>
      <c r="P404" s="18">
        <v>9.1775000000000002</v>
      </c>
      <c r="Q404" s="6">
        <v>50.027500000000003</v>
      </c>
      <c r="R404" s="6">
        <v>41.052500000000002</v>
      </c>
      <c r="S404" s="3">
        <v>17.989999999999998</v>
      </c>
      <c r="U404" s="6">
        <v>15.025</v>
      </c>
      <c r="V404" s="6">
        <v>11.53</v>
      </c>
      <c r="W404" s="3">
        <v>0.66180000000000005</v>
      </c>
      <c r="X404" s="6"/>
      <c r="Y404" s="6">
        <v>57.887500000000003</v>
      </c>
      <c r="Z404" s="3">
        <v>1.21915581</v>
      </c>
      <c r="AA404" s="5">
        <v>0</v>
      </c>
      <c r="AB404" s="16">
        <f>AA404*33.334</f>
        <v>0</v>
      </c>
      <c r="AD404" s="16"/>
      <c r="AE404" s="1">
        <v>1</v>
      </c>
    </row>
    <row r="405" spans="1:31" x14ac:dyDescent="0.2">
      <c r="A405" s="1">
        <v>404</v>
      </c>
      <c r="B405" s="1">
        <v>2018</v>
      </c>
      <c r="C405" s="1" t="s">
        <v>31</v>
      </c>
      <c r="D405" s="8" t="s">
        <v>37</v>
      </c>
      <c r="E405" s="8" t="s">
        <v>668</v>
      </c>
      <c r="F405" s="1" t="s">
        <v>83</v>
      </c>
      <c r="G405" s="8">
        <v>118</v>
      </c>
      <c r="I405" s="12">
        <v>5.7726135999999997</v>
      </c>
      <c r="J405" s="3">
        <v>16.493181700000001</v>
      </c>
      <c r="L405" s="5">
        <v>2941</v>
      </c>
      <c r="N405" s="5">
        <v>16956</v>
      </c>
      <c r="O405" s="6">
        <v>38.395000000000003</v>
      </c>
      <c r="P405" s="18">
        <v>8.9075000000000006</v>
      </c>
      <c r="Q405" s="6">
        <v>41.905000000000001</v>
      </c>
      <c r="R405" s="6">
        <v>51.284999999999997</v>
      </c>
      <c r="S405" s="3"/>
      <c r="T405" s="6">
        <v>26.537500000000001</v>
      </c>
      <c r="U405" s="6">
        <v>32.6</v>
      </c>
      <c r="V405" s="6">
        <v>8</v>
      </c>
      <c r="W405" s="3">
        <v>0.71097499999999991</v>
      </c>
      <c r="X405" s="6"/>
      <c r="Y405" s="6">
        <v>68.739999999999995</v>
      </c>
      <c r="Z405" s="3">
        <v>1.2339241400000001</v>
      </c>
      <c r="AB405" s="16"/>
      <c r="AD405" s="16"/>
      <c r="AE405" s="1">
        <v>1</v>
      </c>
    </row>
    <row r="406" spans="1:31" x14ac:dyDescent="0.2">
      <c r="A406" s="1">
        <v>405</v>
      </c>
      <c r="B406" s="1">
        <v>2013</v>
      </c>
      <c r="C406" s="1" t="s">
        <v>88</v>
      </c>
      <c r="D406" s="1" t="s">
        <v>916</v>
      </c>
      <c r="E406" s="8" t="s">
        <v>235</v>
      </c>
      <c r="F406" s="1" t="s">
        <v>83</v>
      </c>
      <c r="I406" s="12">
        <v>4.68</v>
      </c>
      <c r="J406" s="7">
        <v>13.3714285714286</v>
      </c>
      <c r="K406" s="13" t="s">
        <v>34</v>
      </c>
      <c r="L406" s="14">
        <v>2945</v>
      </c>
      <c r="M406" s="14"/>
      <c r="N406" s="14">
        <v>13824</v>
      </c>
      <c r="O406" s="13">
        <v>30.1</v>
      </c>
      <c r="P406" s="13">
        <v>8.1</v>
      </c>
      <c r="Q406" s="13">
        <v>54.7</v>
      </c>
      <c r="R406" s="13">
        <v>51.2</v>
      </c>
      <c r="S406" s="13"/>
      <c r="T406" s="13"/>
      <c r="U406" s="13">
        <v>20.7</v>
      </c>
      <c r="V406" s="13">
        <v>1.8</v>
      </c>
      <c r="W406" s="7">
        <v>0.59</v>
      </c>
      <c r="X406" s="13">
        <v>73.3</v>
      </c>
      <c r="Y406" s="13">
        <v>58.1</v>
      </c>
      <c r="Z406" s="7">
        <v>1.31</v>
      </c>
      <c r="AA406" s="13">
        <v>5.3</v>
      </c>
      <c r="AB406" s="16">
        <f>AA406*10</f>
        <v>53</v>
      </c>
      <c r="AC406" s="13">
        <v>2.8</v>
      </c>
      <c r="AD406" s="16">
        <f>AC406*10</f>
        <v>28</v>
      </c>
      <c r="AE406" s="1">
        <v>1</v>
      </c>
    </row>
    <row r="407" spans="1:31" x14ac:dyDescent="0.2">
      <c r="A407" s="1">
        <v>406</v>
      </c>
      <c r="B407" s="1">
        <v>2008</v>
      </c>
      <c r="C407" s="1" t="s">
        <v>31</v>
      </c>
      <c r="D407" s="8" t="s">
        <v>67</v>
      </c>
      <c r="E407" s="8" t="s">
        <v>68</v>
      </c>
      <c r="F407" s="8" t="s">
        <v>32</v>
      </c>
      <c r="G407" s="8"/>
      <c r="H407" s="8"/>
      <c r="I407" s="12">
        <v>7.75</v>
      </c>
      <c r="J407" s="7">
        <v>22.142857142857146</v>
      </c>
      <c r="K407" s="13"/>
      <c r="L407" s="14">
        <v>2945</v>
      </c>
      <c r="M407" s="14"/>
      <c r="N407" s="14">
        <v>22753</v>
      </c>
      <c r="O407" s="13">
        <v>29.8</v>
      </c>
      <c r="P407" s="13">
        <v>7.6</v>
      </c>
      <c r="Q407" s="13">
        <v>55.1</v>
      </c>
      <c r="R407" s="13">
        <v>63.9</v>
      </c>
      <c r="S407" s="13"/>
      <c r="T407" s="13"/>
      <c r="U407" s="13">
        <v>16.100000000000001</v>
      </c>
      <c r="V407" s="13"/>
      <c r="W407" s="13"/>
      <c r="X407" s="15"/>
      <c r="Y407" s="13">
        <v>67.8</v>
      </c>
      <c r="Z407" s="7">
        <v>2.72</v>
      </c>
      <c r="AB407" s="16"/>
      <c r="AD407" s="16"/>
      <c r="AE407" s="1">
        <v>1</v>
      </c>
    </row>
    <row r="408" spans="1:31" ht="17" x14ac:dyDescent="0.2">
      <c r="A408" s="1">
        <v>407</v>
      </c>
      <c r="B408" s="1">
        <v>2018</v>
      </c>
      <c r="C408" s="1" t="s">
        <v>31</v>
      </c>
      <c r="D408" s="8" t="s">
        <v>391</v>
      </c>
      <c r="E408" s="8" t="s">
        <v>670</v>
      </c>
      <c r="F408" s="1" t="s">
        <v>83</v>
      </c>
      <c r="G408" s="8">
        <v>115</v>
      </c>
      <c r="H408" s="1" t="s">
        <v>34</v>
      </c>
      <c r="I408" s="12">
        <v>6.2</v>
      </c>
      <c r="J408" s="3">
        <v>17.8</v>
      </c>
      <c r="L408" s="5">
        <v>2946</v>
      </c>
      <c r="M408" s="6" t="s">
        <v>34</v>
      </c>
      <c r="N408" s="5">
        <v>18397</v>
      </c>
      <c r="O408" s="6">
        <v>34.627499999999998</v>
      </c>
      <c r="P408" s="18">
        <v>10.4</v>
      </c>
      <c r="Q408" s="6">
        <v>43.4</v>
      </c>
      <c r="R408" s="6">
        <v>51.28</v>
      </c>
      <c r="S408" s="3"/>
      <c r="T408" s="6">
        <v>27.1</v>
      </c>
      <c r="U408" s="6">
        <v>26.74</v>
      </c>
      <c r="V408" s="6">
        <v>8.1999999999999993</v>
      </c>
      <c r="W408" s="3">
        <v>0.689025</v>
      </c>
      <c r="X408" s="6"/>
      <c r="Y408" s="6">
        <v>66.77</v>
      </c>
      <c r="Z408" s="3">
        <v>1.39</v>
      </c>
      <c r="AB408" s="16"/>
      <c r="AD408" s="16"/>
      <c r="AE408" s="1">
        <v>1</v>
      </c>
    </row>
    <row r="409" spans="1:31" x14ac:dyDescent="0.2">
      <c r="A409" s="1">
        <v>408</v>
      </c>
      <c r="B409" s="1">
        <v>2012</v>
      </c>
      <c r="C409" s="1" t="s">
        <v>31</v>
      </c>
      <c r="D409" s="1" t="s">
        <v>67</v>
      </c>
      <c r="E409" s="1" t="s">
        <v>327</v>
      </c>
      <c r="F409" s="1" t="s">
        <v>83</v>
      </c>
      <c r="I409" s="12">
        <v>6.06</v>
      </c>
      <c r="J409" s="12">
        <v>17.3</v>
      </c>
      <c r="L409" s="16">
        <v>2948</v>
      </c>
      <c r="N409" s="16">
        <v>17904</v>
      </c>
      <c r="O409" s="15">
        <v>32.799999999999997</v>
      </c>
      <c r="P409" s="15">
        <v>7.01</v>
      </c>
      <c r="Q409" s="15">
        <v>54.4</v>
      </c>
      <c r="R409" s="15">
        <v>53.1</v>
      </c>
      <c r="T409" s="15"/>
      <c r="U409" s="15">
        <v>25.3</v>
      </c>
      <c r="V409" s="15">
        <v>4</v>
      </c>
      <c r="W409" s="12">
        <v>0.68</v>
      </c>
      <c r="X409" s="15"/>
      <c r="Y409" s="15"/>
      <c r="Z409" s="12">
        <v>1.75</v>
      </c>
      <c r="AB409" s="16"/>
      <c r="AD409" s="16"/>
      <c r="AE409" s="1">
        <v>1</v>
      </c>
    </row>
    <row r="410" spans="1:31" x14ac:dyDescent="0.2">
      <c r="A410" s="1">
        <v>409</v>
      </c>
      <c r="B410" s="1">
        <v>2015</v>
      </c>
      <c r="C410" s="8" t="s">
        <v>96</v>
      </c>
      <c r="D410" s="8" t="s">
        <v>187</v>
      </c>
      <c r="E410" s="8" t="s">
        <v>520</v>
      </c>
      <c r="F410" s="1" t="s">
        <v>83</v>
      </c>
      <c r="I410" s="12">
        <v>6.3</v>
      </c>
      <c r="J410" s="7">
        <v>18</v>
      </c>
      <c r="K410" s="1" t="s">
        <v>34</v>
      </c>
      <c r="L410" s="14">
        <v>2948</v>
      </c>
      <c r="N410" s="14">
        <v>18688</v>
      </c>
      <c r="O410" s="13">
        <v>29.7</v>
      </c>
      <c r="P410" s="13">
        <v>8.4</v>
      </c>
      <c r="Q410" s="13">
        <v>54.7</v>
      </c>
      <c r="R410" s="13">
        <v>45.1</v>
      </c>
      <c r="S410" s="8"/>
      <c r="T410" s="15" t="s">
        <v>89</v>
      </c>
      <c r="U410" s="13">
        <v>13.3</v>
      </c>
      <c r="V410" s="13">
        <v>10.5</v>
      </c>
      <c r="W410" s="7">
        <v>0.67</v>
      </c>
      <c r="X410" s="13"/>
      <c r="Y410" s="13">
        <v>58.2</v>
      </c>
      <c r="Z410" s="7">
        <v>1.56</v>
      </c>
      <c r="AA410" s="13">
        <v>1</v>
      </c>
      <c r="AB410" s="16">
        <f>AA410*10</f>
        <v>10</v>
      </c>
      <c r="AC410" s="13">
        <v>1</v>
      </c>
      <c r="AD410" s="16">
        <f>AC410*10</f>
        <v>10</v>
      </c>
      <c r="AE410" s="1">
        <v>0</v>
      </c>
    </row>
    <row r="411" spans="1:31" x14ac:dyDescent="0.2">
      <c r="A411" s="1">
        <v>410</v>
      </c>
      <c r="B411" s="1">
        <v>2016</v>
      </c>
      <c r="C411" s="1" t="s">
        <v>88</v>
      </c>
      <c r="D411" s="1" t="s">
        <v>246</v>
      </c>
      <c r="E411" s="1" t="s">
        <v>513</v>
      </c>
      <c r="F411" s="1" t="s">
        <v>83</v>
      </c>
      <c r="I411" s="12">
        <v>6.1805825099999998</v>
      </c>
      <c r="J411" s="3">
        <v>17.658807199999998</v>
      </c>
      <c r="L411" s="5">
        <v>2948.75</v>
      </c>
      <c r="N411" s="5">
        <v>18229.500599999999</v>
      </c>
      <c r="O411" s="6">
        <v>32.299999999999997</v>
      </c>
      <c r="P411" s="6">
        <v>9</v>
      </c>
      <c r="Q411" s="6">
        <v>50.732500000000002</v>
      </c>
      <c r="R411" s="15">
        <v>36.047499999999999</v>
      </c>
      <c r="S411" s="6">
        <v>24.952500000000001</v>
      </c>
      <c r="T411" s="6"/>
      <c r="U411" s="6">
        <v>20.6</v>
      </c>
      <c r="V411" s="6">
        <v>6.77</v>
      </c>
      <c r="W411" s="3">
        <v>0.63649999999999995</v>
      </c>
      <c r="X411" s="6"/>
      <c r="Y411" s="15">
        <v>57.05</v>
      </c>
      <c r="Z411" s="3">
        <v>1.08703236</v>
      </c>
      <c r="AA411" s="6">
        <v>6</v>
      </c>
      <c r="AB411" s="16">
        <f>AA411*10</f>
        <v>60</v>
      </c>
      <c r="AC411" s="6">
        <v>8.75</v>
      </c>
      <c r="AD411" s="16">
        <f>AC411*10</f>
        <v>87.5</v>
      </c>
      <c r="AE411" s="1">
        <v>1</v>
      </c>
    </row>
    <row r="412" spans="1:31" x14ac:dyDescent="0.2">
      <c r="A412" s="1">
        <v>411</v>
      </c>
      <c r="B412" s="1">
        <v>2016</v>
      </c>
      <c r="C412" s="1" t="s">
        <v>96</v>
      </c>
      <c r="D412" s="1" t="s">
        <v>1023</v>
      </c>
      <c r="E412" s="1" t="s">
        <v>591</v>
      </c>
      <c r="F412" s="1" t="s">
        <v>83</v>
      </c>
      <c r="I412" s="12">
        <v>4.1497281499999996</v>
      </c>
      <c r="J412" s="3">
        <v>11.856366100000001</v>
      </c>
      <c r="L412" s="5">
        <v>2949.5</v>
      </c>
      <c r="N412" s="5">
        <v>12241.515799999999</v>
      </c>
      <c r="O412" s="6">
        <v>30.753226600000001</v>
      </c>
      <c r="P412" s="6">
        <v>8.6</v>
      </c>
      <c r="Q412" s="6">
        <v>57.884999999999998</v>
      </c>
      <c r="R412" s="6">
        <v>56.5</v>
      </c>
      <c r="S412" s="6">
        <v>16.5</v>
      </c>
      <c r="T412" s="6"/>
      <c r="U412" s="15">
        <v>5.96</v>
      </c>
      <c r="V412" s="15">
        <v>14.33</v>
      </c>
      <c r="W412" s="3">
        <v>0.61382499999999995</v>
      </c>
      <c r="X412" s="6"/>
      <c r="Y412" s="6">
        <v>60.594999999999999</v>
      </c>
      <c r="Z412" s="3">
        <v>1.31649946</v>
      </c>
      <c r="AA412" s="6">
        <v>3</v>
      </c>
      <c r="AB412" s="16">
        <f>AA412*10</f>
        <v>30</v>
      </c>
      <c r="AC412" s="6">
        <v>1.3</v>
      </c>
      <c r="AD412" s="16">
        <f>AC412*10</f>
        <v>13</v>
      </c>
      <c r="AE412" s="1">
        <v>0</v>
      </c>
    </row>
    <row r="413" spans="1:31" x14ac:dyDescent="0.2">
      <c r="A413" s="1">
        <v>412</v>
      </c>
      <c r="B413" s="1">
        <v>2015</v>
      </c>
      <c r="C413" s="8" t="s">
        <v>88</v>
      </c>
      <c r="D413" s="8" t="s">
        <v>874</v>
      </c>
      <c r="E413" s="8" t="s">
        <v>509</v>
      </c>
      <c r="F413" s="1" t="s">
        <v>83</v>
      </c>
      <c r="I413" s="12">
        <v>4.67</v>
      </c>
      <c r="J413" s="7">
        <v>13.342857142857143</v>
      </c>
      <c r="L413" s="14">
        <v>2953</v>
      </c>
      <c r="N413" s="14">
        <v>13853</v>
      </c>
      <c r="O413" s="13">
        <v>27.6</v>
      </c>
      <c r="P413" s="13">
        <v>7.8</v>
      </c>
      <c r="Q413" s="13">
        <v>58.2</v>
      </c>
      <c r="R413" s="13">
        <v>51.7</v>
      </c>
      <c r="S413" s="8"/>
      <c r="T413" s="13" t="s">
        <v>89</v>
      </c>
      <c r="U413" s="13">
        <v>5.9</v>
      </c>
      <c r="V413" s="13">
        <v>13.9</v>
      </c>
      <c r="W413" s="7">
        <v>0.66</v>
      </c>
      <c r="X413" s="13"/>
      <c r="Y413" s="13">
        <v>59.5</v>
      </c>
      <c r="Z413" s="7">
        <v>1.41</v>
      </c>
      <c r="AA413" s="13">
        <v>4.5</v>
      </c>
      <c r="AB413" s="16">
        <f>AA413*10</f>
        <v>45</v>
      </c>
      <c r="AC413" s="13">
        <v>1</v>
      </c>
      <c r="AD413" s="16">
        <f>AC413*10</f>
        <v>10</v>
      </c>
      <c r="AE413" s="1">
        <v>1</v>
      </c>
    </row>
    <row r="414" spans="1:31" ht="17" x14ac:dyDescent="0.2">
      <c r="A414" s="1">
        <v>413</v>
      </c>
      <c r="B414" s="1">
        <v>2019</v>
      </c>
      <c r="C414" s="1" t="s">
        <v>88</v>
      </c>
      <c r="D414" s="8" t="s">
        <v>187</v>
      </c>
      <c r="E414" s="8">
        <v>19040</v>
      </c>
      <c r="F414" s="1" t="s">
        <v>32</v>
      </c>
      <c r="I414" s="12">
        <v>8.1925000000000008</v>
      </c>
      <c r="J414" s="3">
        <v>23.4</v>
      </c>
      <c r="L414" s="5">
        <v>2953</v>
      </c>
      <c r="M414" s="6" t="s">
        <v>34</v>
      </c>
      <c r="N414" s="5">
        <v>24189.5</v>
      </c>
      <c r="O414" s="6">
        <v>34.744999999999997</v>
      </c>
      <c r="P414" s="6">
        <v>5.2549999999999999</v>
      </c>
      <c r="Q414" s="6">
        <v>50.634999999999998</v>
      </c>
      <c r="R414" s="6">
        <v>35.667499999999997</v>
      </c>
      <c r="S414" s="3"/>
      <c r="T414" s="6">
        <v>35.502499999999998</v>
      </c>
      <c r="U414" s="6">
        <v>14.83</v>
      </c>
      <c r="V414" s="6">
        <v>13.7325</v>
      </c>
      <c r="W414" s="3">
        <v>0.69062500000000004</v>
      </c>
      <c r="X414" s="6"/>
      <c r="Y414" s="6">
        <v>56.807499999999997</v>
      </c>
      <c r="Z414" s="3">
        <v>1.48</v>
      </c>
      <c r="AB414" s="16"/>
      <c r="AC414" s="6">
        <v>0</v>
      </c>
      <c r="AD414" s="16">
        <f>AC414*10</f>
        <v>0</v>
      </c>
      <c r="AE414" s="1">
        <v>1</v>
      </c>
    </row>
    <row r="415" spans="1:31" x14ac:dyDescent="0.2">
      <c r="A415" s="1">
        <v>414</v>
      </c>
      <c r="B415" s="1">
        <v>2018</v>
      </c>
      <c r="C415" s="1" t="s">
        <v>88</v>
      </c>
      <c r="D415" s="28" t="s">
        <v>914</v>
      </c>
      <c r="E415" s="1" t="s">
        <v>681</v>
      </c>
      <c r="F415" s="1" t="s">
        <v>32</v>
      </c>
      <c r="I415" s="12">
        <v>3.8476734981373402</v>
      </c>
      <c r="J415" s="12">
        <v>10.993352851820999</v>
      </c>
      <c r="L415" s="16">
        <v>2954</v>
      </c>
      <c r="N415" s="16">
        <v>11421.772039076801</v>
      </c>
      <c r="O415" s="15">
        <v>42.95</v>
      </c>
      <c r="P415" s="15">
        <v>10.2875</v>
      </c>
      <c r="Q415" s="15">
        <v>49.26</v>
      </c>
      <c r="R415" s="15">
        <v>39.340000000000003</v>
      </c>
      <c r="S415" s="12">
        <v>19.482500000000002</v>
      </c>
      <c r="U415" s="15">
        <v>22.69</v>
      </c>
      <c r="V415" s="15">
        <v>5.08</v>
      </c>
      <c r="W415" s="12">
        <v>0.65644999999999998</v>
      </c>
      <c r="X415" s="15"/>
      <c r="Y415" s="15">
        <v>57.865000000000002</v>
      </c>
      <c r="Z415" s="12">
        <v>0.33786536933679201</v>
      </c>
      <c r="AA415" s="16">
        <v>2.75</v>
      </c>
      <c r="AB415" s="16">
        <f>AA415*33.334</f>
        <v>91.668500000000009</v>
      </c>
      <c r="AC415" s="16">
        <v>1.75</v>
      </c>
      <c r="AD415" s="16">
        <f>AC415*33.334</f>
        <v>58.334500000000006</v>
      </c>
      <c r="AE415" s="1">
        <v>1</v>
      </c>
    </row>
    <row r="416" spans="1:31" x14ac:dyDescent="0.2">
      <c r="A416" s="1">
        <v>415</v>
      </c>
      <c r="B416" s="1">
        <v>2015</v>
      </c>
      <c r="C416" s="8" t="s">
        <v>88</v>
      </c>
      <c r="D416" s="8" t="s">
        <v>459</v>
      </c>
      <c r="E416" s="8" t="s">
        <v>461</v>
      </c>
      <c r="F416" s="1" t="s">
        <v>83</v>
      </c>
      <c r="H416" s="1" t="s">
        <v>34</v>
      </c>
      <c r="I416" s="12">
        <v>8.35</v>
      </c>
      <c r="J416" s="7">
        <v>23.9</v>
      </c>
      <c r="L416" s="14">
        <v>2957</v>
      </c>
      <c r="M416" s="1" t="s">
        <v>34</v>
      </c>
      <c r="N416" s="14">
        <v>24614</v>
      </c>
      <c r="O416" s="13">
        <v>27.3</v>
      </c>
      <c r="P416" s="13">
        <v>5.3</v>
      </c>
      <c r="Q416" s="13">
        <v>56.5</v>
      </c>
      <c r="R416" s="13">
        <v>46.2</v>
      </c>
      <c r="S416" s="8"/>
      <c r="T416" s="13" t="s">
        <v>89</v>
      </c>
      <c r="U416" s="13">
        <v>8.5</v>
      </c>
      <c r="V416" s="13">
        <v>15.1</v>
      </c>
      <c r="W416" s="7">
        <v>0.67</v>
      </c>
      <c r="X416" s="13"/>
      <c r="Y416" s="13">
        <v>58.2</v>
      </c>
      <c r="Z416" s="7">
        <v>2.17</v>
      </c>
      <c r="AA416" s="13">
        <v>3</v>
      </c>
      <c r="AB416" s="16">
        <f>AA416*10</f>
        <v>30</v>
      </c>
      <c r="AC416" s="13">
        <v>1</v>
      </c>
      <c r="AD416" s="16">
        <f>AC416*10</f>
        <v>10</v>
      </c>
      <c r="AE416" s="1">
        <v>1</v>
      </c>
    </row>
    <row r="417" spans="1:31" x14ac:dyDescent="0.2">
      <c r="A417" s="1">
        <v>416</v>
      </c>
      <c r="B417" s="1">
        <v>2008</v>
      </c>
      <c r="C417" s="8" t="s">
        <v>88</v>
      </c>
      <c r="D417" s="8" t="s">
        <v>90</v>
      </c>
      <c r="E417" s="8" t="s">
        <v>95</v>
      </c>
      <c r="F417" s="8" t="s">
        <v>83</v>
      </c>
      <c r="G417" s="8"/>
      <c r="H417" s="8"/>
      <c r="I417" s="12">
        <v>2.95</v>
      </c>
      <c r="J417" s="7">
        <v>8.4</v>
      </c>
      <c r="K417" s="13" t="s">
        <v>34</v>
      </c>
      <c r="L417" s="14">
        <v>2958</v>
      </c>
      <c r="M417" s="14"/>
      <c r="N417" s="14">
        <v>8722</v>
      </c>
      <c r="O417" s="13">
        <v>28.8</v>
      </c>
      <c r="P417" s="13">
        <v>5.5</v>
      </c>
      <c r="Q417" s="13">
        <v>52.5</v>
      </c>
      <c r="R417" s="13">
        <v>61.1</v>
      </c>
      <c r="S417" s="13"/>
      <c r="T417" s="13"/>
      <c r="U417" s="13">
        <v>31.6</v>
      </c>
      <c r="V417" s="15" t="s">
        <v>89</v>
      </c>
      <c r="X417" s="15"/>
      <c r="Y417" s="13">
        <v>66.5</v>
      </c>
      <c r="Z417" s="7">
        <v>0.94</v>
      </c>
      <c r="AB417" s="16"/>
      <c r="AD417" s="16"/>
      <c r="AE417" s="1">
        <v>1</v>
      </c>
    </row>
    <row r="418" spans="1:31" ht="17" x14ac:dyDescent="0.2">
      <c r="A418" s="1">
        <v>417</v>
      </c>
      <c r="B418" s="1">
        <v>2019</v>
      </c>
      <c r="C418" s="1" t="s">
        <v>88</v>
      </c>
      <c r="D418" s="9" t="s">
        <v>719</v>
      </c>
      <c r="E418" s="9" t="s">
        <v>743</v>
      </c>
      <c r="F418" s="1" t="s">
        <v>83</v>
      </c>
      <c r="I418" s="12">
        <v>3.9750000000000001</v>
      </c>
      <c r="J418" s="3">
        <v>11.4</v>
      </c>
      <c r="L418" s="5">
        <v>2961.25</v>
      </c>
      <c r="N418" s="5">
        <v>11743.15</v>
      </c>
      <c r="O418" s="6">
        <v>24.737500000000001</v>
      </c>
      <c r="P418" s="6">
        <v>9.1999999999999993</v>
      </c>
      <c r="Q418" s="6">
        <v>51.604999999999997</v>
      </c>
      <c r="R418" s="6">
        <v>47.47</v>
      </c>
      <c r="S418" s="3"/>
      <c r="T418" s="6">
        <v>32.5</v>
      </c>
      <c r="U418" s="6">
        <v>8.5075000000000003</v>
      </c>
      <c r="V418" s="6">
        <v>11.98</v>
      </c>
      <c r="W418" s="3">
        <v>0.65745000000000009</v>
      </c>
      <c r="X418" s="6"/>
      <c r="Y418" s="6">
        <v>63.935000000000002</v>
      </c>
      <c r="Z418" s="3">
        <v>0.97499999999999998</v>
      </c>
      <c r="AB418" s="16"/>
      <c r="AC418" s="4">
        <v>0</v>
      </c>
      <c r="AD418" s="16">
        <f>AC418*10</f>
        <v>0</v>
      </c>
      <c r="AE418" s="1">
        <v>1</v>
      </c>
    </row>
    <row r="419" spans="1:31" x14ac:dyDescent="0.2">
      <c r="A419" s="1">
        <v>418</v>
      </c>
      <c r="B419" s="1">
        <v>2014</v>
      </c>
      <c r="C419" s="1" t="s">
        <v>31</v>
      </c>
      <c r="D419" s="1" t="s">
        <v>916</v>
      </c>
      <c r="E419" s="1" t="s">
        <v>456</v>
      </c>
      <c r="F419" s="1" t="s">
        <v>83</v>
      </c>
      <c r="G419" s="1">
        <v>120</v>
      </c>
      <c r="I419" s="12">
        <v>4.55</v>
      </c>
      <c r="J419" s="12">
        <v>13</v>
      </c>
      <c r="L419" s="16">
        <v>2962</v>
      </c>
      <c r="N419" s="16">
        <v>13683</v>
      </c>
      <c r="O419" s="15">
        <v>32.9</v>
      </c>
      <c r="P419" s="15">
        <v>6.67</v>
      </c>
      <c r="Q419" s="15">
        <v>50</v>
      </c>
      <c r="R419" s="15">
        <v>55.2</v>
      </c>
      <c r="T419" s="15"/>
      <c r="U419" s="15">
        <v>19.7</v>
      </c>
      <c r="V419" s="15">
        <v>8</v>
      </c>
      <c r="W419" s="12">
        <v>0.69</v>
      </c>
      <c r="X419" s="15"/>
      <c r="Y419" s="15">
        <v>67.099999999999994</v>
      </c>
      <c r="Z419" s="12">
        <v>1.24</v>
      </c>
      <c r="AA419" s="1">
        <v>5</v>
      </c>
      <c r="AB419" s="16">
        <f>AA419*10</f>
        <v>50</v>
      </c>
      <c r="AD419" s="16"/>
      <c r="AE419" s="1">
        <v>1</v>
      </c>
    </row>
    <row r="420" spans="1:31" x14ac:dyDescent="0.2">
      <c r="A420" s="1">
        <v>419</v>
      </c>
      <c r="B420" s="1">
        <v>2016</v>
      </c>
      <c r="C420" s="1" t="s">
        <v>31</v>
      </c>
      <c r="D420" s="1" t="s">
        <v>805</v>
      </c>
      <c r="E420" s="8" t="s">
        <v>544</v>
      </c>
      <c r="F420" s="1" t="s">
        <v>32</v>
      </c>
      <c r="G420" s="8">
        <v>120</v>
      </c>
      <c r="I420" s="12">
        <v>8.4</v>
      </c>
      <c r="J420" s="7">
        <v>24</v>
      </c>
      <c r="L420" s="14">
        <v>2962</v>
      </c>
      <c r="N420" s="14">
        <v>25281</v>
      </c>
      <c r="O420" s="13">
        <v>31.6</v>
      </c>
      <c r="P420" s="13">
        <v>8.9</v>
      </c>
      <c r="Q420" s="13">
        <v>45.9</v>
      </c>
      <c r="R420" s="13">
        <v>50.5</v>
      </c>
      <c r="S420" s="13"/>
      <c r="T420" s="13">
        <v>26.8</v>
      </c>
      <c r="U420" s="13">
        <v>23.2</v>
      </c>
      <c r="V420" s="13">
        <v>5.0999999999999996</v>
      </c>
      <c r="W420" s="7">
        <v>0.66</v>
      </c>
      <c r="X420" s="13"/>
      <c r="Y420" s="13">
        <v>67.8</v>
      </c>
      <c r="Z420" s="7">
        <v>1.91</v>
      </c>
      <c r="AA420" s="15" t="s">
        <v>89</v>
      </c>
      <c r="AB420" s="16"/>
      <c r="AD420" s="16"/>
      <c r="AE420" s="1">
        <v>1</v>
      </c>
    </row>
    <row r="421" spans="1:31" x14ac:dyDescent="0.2">
      <c r="A421" s="1">
        <v>420</v>
      </c>
      <c r="B421" s="1">
        <v>2015</v>
      </c>
      <c r="C421" s="8" t="s">
        <v>96</v>
      </c>
      <c r="D421" s="8" t="s">
        <v>187</v>
      </c>
      <c r="E421" s="8" t="s">
        <v>520</v>
      </c>
      <c r="F421" s="1" t="s">
        <v>32</v>
      </c>
      <c r="I421" s="12">
        <v>6.92</v>
      </c>
      <c r="J421" s="7">
        <v>19.771428571428572</v>
      </c>
      <c r="K421" s="1" t="s">
        <v>34</v>
      </c>
      <c r="L421" s="14">
        <v>2963</v>
      </c>
      <c r="N421" s="14">
        <v>20557</v>
      </c>
      <c r="O421" s="13">
        <v>30.3</v>
      </c>
      <c r="P421" s="13">
        <v>9.4</v>
      </c>
      <c r="Q421" s="13">
        <v>50.5</v>
      </c>
      <c r="R421" s="13">
        <v>36.5</v>
      </c>
      <c r="S421" s="8"/>
      <c r="T421" s="15" t="s">
        <v>89</v>
      </c>
      <c r="U421" s="13">
        <v>22.7</v>
      </c>
      <c r="V421" s="13">
        <v>5</v>
      </c>
      <c r="W421" s="7">
        <v>0.64</v>
      </c>
      <c r="X421" s="13"/>
      <c r="Y421" s="13">
        <v>57.5</v>
      </c>
      <c r="Z421" s="7">
        <v>1.27</v>
      </c>
      <c r="AA421" s="13">
        <v>1.4</v>
      </c>
      <c r="AB421" s="16">
        <f>AA421*10</f>
        <v>14</v>
      </c>
      <c r="AC421" s="13">
        <v>2.5</v>
      </c>
      <c r="AD421" s="16">
        <f>AC421*10</f>
        <v>25</v>
      </c>
      <c r="AE421" s="1">
        <v>0</v>
      </c>
    </row>
    <row r="422" spans="1:31" x14ac:dyDescent="0.2">
      <c r="A422" s="1">
        <v>421</v>
      </c>
      <c r="B422" s="1">
        <v>2014</v>
      </c>
      <c r="C422" s="1" t="s">
        <v>31</v>
      </c>
      <c r="D422" s="1" t="s">
        <v>916</v>
      </c>
      <c r="E422" s="1" t="s">
        <v>404</v>
      </c>
      <c r="F422" s="1" t="s">
        <v>32</v>
      </c>
      <c r="G422" s="1">
        <v>130</v>
      </c>
      <c r="H422" s="1" t="s">
        <v>34</v>
      </c>
      <c r="I422" s="12">
        <v>11.82</v>
      </c>
      <c r="J422" s="12">
        <v>33.799999999999997</v>
      </c>
      <c r="L422" s="16">
        <v>2963</v>
      </c>
      <c r="M422" s="1" t="s">
        <v>34</v>
      </c>
      <c r="N422" s="16">
        <v>34993</v>
      </c>
      <c r="O422" s="15">
        <v>31.8</v>
      </c>
      <c r="P422" s="15">
        <v>8.4</v>
      </c>
      <c r="Q422" s="15">
        <v>47.6</v>
      </c>
      <c r="R422" s="15">
        <v>48.2</v>
      </c>
      <c r="T422" s="15"/>
      <c r="U422" s="15">
        <v>24.7</v>
      </c>
      <c r="V422" s="15">
        <v>4.9000000000000004</v>
      </c>
      <c r="W422" s="12">
        <v>0.68</v>
      </c>
      <c r="X422" s="15"/>
      <c r="Y422" s="15">
        <v>65.599999999999994</v>
      </c>
      <c r="Z422" s="12">
        <v>2.71</v>
      </c>
      <c r="AB422" s="16"/>
      <c r="AD422" s="16"/>
      <c r="AE422" s="1">
        <v>1</v>
      </c>
    </row>
    <row r="423" spans="1:31" x14ac:dyDescent="0.2">
      <c r="A423" s="1">
        <v>422</v>
      </c>
      <c r="B423" s="1">
        <v>2018</v>
      </c>
      <c r="C423" s="1" t="s">
        <v>88</v>
      </c>
      <c r="D423" s="8" t="s">
        <v>246</v>
      </c>
      <c r="E423" s="8" t="s">
        <v>691</v>
      </c>
      <c r="F423" s="1" t="s">
        <v>83</v>
      </c>
      <c r="I423" s="12">
        <v>3.3120341899999999</v>
      </c>
      <c r="J423" s="3">
        <v>9.4629548000000003</v>
      </c>
      <c r="K423" s="1" t="s">
        <v>34</v>
      </c>
      <c r="L423" s="5">
        <v>2964</v>
      </c>
      <c r="N423" s="5">
        <v>9813.9653999999991</v>
      </c>
      <c r="O423" s="6">
        <v>26.3</v>
      </c>
      <c r="P423" s="18">
        <v>11.49</v>
      </c>
      <c r="Q423" s="6">
        <v>51.435000000000002</v>
      </c>
      <c r="R423" s="6">
        <v>48.01</v>
      </c>
      <c r="S423" s="3">
        <v>16.087499999999999</v>
      </c>
      <c r="U423" s="6">
        <v>10.76</v>
      </c>
      <c r="V423" s="6">
        <v>10.48</v>
      </c>
      <c r="W423" s="3">
        <v>0.64890000000000003</v>
      </c>
      <c r="X423" s="6"/>
      <c r="Y423" s="6">
        <v>59.52</v>
      </c>
      <c r="Z423" s="3">
        <v>0.83768670999999995</v>
      </c>
      <c r="AA423" s="5">
        <v>1.25</v>
      </c>
      <c r="AB423" s="16">
        <f>AA423*33.334</f>
        <v>41.667500000000004</v>
      </c>
      <c r="AD423" s="16"/>
      <c r="AE423" s="1">
        <v>1</v>
      </c>
    </row>
    <row r="424" spans="1:31" x14ac:dyDescent="0.2">
      <c r="A424" s="1">
        <v>423</v>
      </c>
      <c r="B424" s="1">
        <v>2021</v>
      </c>
      <c r="C424" s="1" t="s">
        <v>88</v>
      </c>
      <c r="D424" s="1" t="s">
        <v>246</v>
      </c>
      <c r="E424" s="1" t="s">
        <v>844</v>
      </c>
      <c r="F424" s="1" t="s">
        <v>83</v>
      </c>
      <c r="H424" s="1" t="s">
        <v>89</v>
      </c>
      <c r="I424" s="12">
        <v>6.5263796096639997</v>
      </c>
      <c r="J424" s="12">
        <v>18.646798884999999</v>
      </c>
      <c r="K424" s="1" t="s">
        <v>89</v>
      </c>
      <c r="L424" s="16">
        <v>2964.25</v>
      </c>
      <c r="N424" s="16">
        <v>19347.860679769001</v>
      </c>
      <c r="O424" s="15">
        <v>28.736557000000001</v>
      </c>
      <c r="P424" s="15">
        <v>7.7850000000000001</v>
      </c>
      <c r="Q424" s="15">
        <v>59.477499999999999</v>
      </c>
      <c r="R424" s="15">
        <v>61.564999999999998</v>
      </c>
      <c r="U424" s="15">
        <v>10.4025</v>
      </c>
      <c r="V424" s="15">
        <v>7.2275</v>
      </c>
      <c r="W424" s="12">
        <v>0.64394999999999991</v>
      </c>
      <c r="X424" s="15"/>
      <c r="Y424" s="15">
        <v>62.034999999999997</v>
      </c>
      <c r="Z424" s="12"/>
      <c r="AA424" s="15">
        <v>1.375</v>
      </c>
      <c r="AB424" s="16">
        <f>AA424*33.334</f>
        <v>45.834250000000004</v>
      </c>
      <c r="AC424" s="1">
        <v>0.625</v>
      </c>
      <c r="AD424" s="16">
        <f>AC424*33.334</f>
        <v>20.833750000000002</v>
      </c>
      <c r="AE424" s="1">
        <v>1</v>
      </c>
    </row>
    <row r="425" spans="1:31" x14ac:dyDescent="0.2">
      <c r="A425" s="1">
        <v>424</v>
      </c>
      <c r="B425" s="1">
        <v>2019</v>
      </c>
      <c r="C425" s="1" t="s">
        <v>88</v>
      </c>
      <c r="D425" s="28" t="s">
        <v>914</v>
      </c>
      <c r="E425" s="8" t="s">
        <v>638</v>
      </c>
      <c r="F425" s="1" t="s">
        <v>32</v>
      </c>
      <c r="I425" s="12">
        <v>6.5250000000000004</v>
      </c>
      <c r="J425" s="3">
        <v>18.637499999999999</v>
      </c>
      <c r="L425" s="5">
        <v>2968</v>
      </c>
      <c r="N425" s="5">
        <v>19345</v>
      </c>
      <c r="O425" s="6">
        <v>34.732500000000002</v>
      </c>
      <c r="P425" s="6">
        <v>6.02</v>
      </c>
      <c r="Q425" s="6">
        <v>47.137500000000003</v>
      </c>
      <c r="R425" s="6">
        <v>31.762499999999999</v>
      </c>
      <c r="S425" s="3"/>
      <c r="T425" s="6">
        <v>32.892499999999998</v>
      </c>
      <c r="U425" s="6">
        <v>19.57</v>
      </c>
      <c r="V425" s="6">
        <v>10.352499999999999</v>
      </c>
      <c r="W425" s="3">
        <v>0.69042500000000007</v>
      </c>
      <c r="X425" s="6"/>
      <c r="Y425" s="6">
        <v>57.055</v>
      </c>
      <c r="Z425" s="3">
        <v>0.98250000000000004</v>
      </c>
      <c r="AB425" s="16"/>
      <c r="AC425" s="6">
        <v>4</v>
      </c>
      <c r="AD425" s="16">
        <f>AC425*10</f>
        <v>40</v>
      </c>
      <c r="AE425" s="1">
        <v>1</v>
      </c>
    </row>
    <row r="426" spans="1:31" x14ac:dyDescent="0.2">
      <c r="A426" s="1">
        <v>425</v>
      </c>
      <c r="B426" s="1">
        <v>2018</v>
      </c>
      <c r="C426" s="1" t="s">
        <v>88</v>
      </c>
      <c r="D426" s="1" t="s">
        <v>246</v>
      </c>
      <c r="E426" s="1" t="s">
        <v>689</v>
      </c>
      <c r="F426" s="1" t="s">
        <v>32</v>
      </c>
      <c r="I426" s="12">
        <v>6.74969612914943</v>
      </c>
      <c r="J426" s="3">
        <v>19.284846083284101</v>
      </c>
      <c r="L426" s="5">
        <v>2968</v>
      </c>
      <c r="N426" s="5">
        <v>20104.554893807301</v>
      </c>
      <c r="O426" s="6">
        <v>40.479999999999997</v>
      </c>
      <c r="P426" s="18">
        <v>9.59</v>
      </c>
      <c r="Q426" s="6">
        <v>48.552500000000002</v>
      </c>
      <c r="R426" s="6">
        <v>36.502499999999998</v>
      </c>
      <c r="S426" s="3">
        <v>19.332500000000003</v>
      </c>
      <c r="U426" s="6">
        <v>18.579999999999998</v>
      </c>
      <c r="V426" s="6">
        <v>7.5549999999999997</v>
      </c>
      <c r="W426" s="3">
        <v>0.64347500000000002</v>
      </c>
      <c r="X426" s="6"/>
      <c r="Y426" s="6">
        <v>57.76</v>
      </c>
      <c r="Z426" s="3">
        <v>0.53997279371471696</v>
      </c>
      <c r="AA426" s="5">
        <v>3.25</v>
      </c>
      <c r="AB426" s="16">
        <f>AA426*33.334</f>
        <v>108.33550000000001</v>
      </c>
      <c r="AC426" s="5">
        <v>1.25</v>
      </c>
      <c r="AD426" s="16">
        <f>AC426*33.334</f>
        <v>41.667500000000004</v>
      </c>
      <c r="AE426" s="1">
        <v>1</v>
      </c>
    </row>
    <row r="427" spans="1:31" x14ac:dyDescent="0.2">
      <c r="A427" s="1">
        <v>426</v>
      </c>
      <c r="B427" s="1">
        <v>2018</v>
      </c>
      <c r="C427" s="1" t="s">
        <v>88</v>
      </c>
      <c r="D427" s="28" t="s">
        <v>914</v>
      </c>
      <c r="E427" s="1" t="s">
        <v>634</v>
      </c>
      <c r="F427" s="1" t="s">
        <v>32</v>
      </c>
      <c r="I427" s="12">
        <v>4.8634544991399702</v>
      </c>
      <c r="J427" s="12">
        <v>13.895584283257</v>
      </c>
      <c r="L427" s="16">
        <v>2968.75</v>
      </c>
      <c r="N427" s="16">
        <v>14567.278305100201</v>
      </c>
      <c r="O427" s="15">
        <v>28.239273823241401</v>
      </c>
      <c r="P427" s="15">
        <v>10.404999999999999</v>
      </c>
      <c r="Q427" s="15">
        <v>50.16</v>
      </c>
      <c r="R427" s="15">
        <v>37.7425</v>
      </c>
      <c r="S427" s="12">
        <v>19.164999999999999</v>
      </c>
      <c r="U427" s="15">
        <v>16.86</v>
      </c>
      <c r="V427" s="15">
        <v>6.4949999999999992</v>
      </c>
      <c r="W427" s="12">
        <v>0.642675</v>
      </c>
      <c r="X427" s="15"/>
      <c r="Y427" s="15">
        <v>58.024999999999999</v>
      </c>
      <c r="Z427" s="12">
        <v>0.40215753099163398</v>
      </c>
      <c r="AA427" s="16">
        <v>2.75</v>
      </c>
      <c r="AB427" s="16">
        <f>AA427*33.334</f>
        <v>91.668500000000009</v>
      </c>
      <c r="AC427" s="16">
        <v>1.75</v>
      </c>
      <c r="AD427" s="16">
        <f>AC427*33.334</f>
        <v>58.334500000000006</v>
      </c>
      <c r="AE427" s="1">
        <v>1</v>
      </c>
    </row>
    <row r="428" spans="1:31" x14ac:dyDescent="0.2">
      <c r="A428" s="1">
        <v>427</v>
      </c>
      <c r="B428" s="1">
        <v>2018</v>
      </c>
      <c r="C428" s="1" t="s">
        <v>88</v>
      </c>
      <c r="D428" s="28" t="s">
        <v>914</v>
      </c>
      <c r="E428" s="8" t="s">
        <v>687</v>
      </c>
      <c r="F428" s="1" t="s">
        <v>83</v>
      </c>
      <c r="I428" s="12">
        <v>3.3130842899999999</v>
      </c>
      <c r="J428" s="7">
        <v>9.4659551000000004</v>
      </c>
      <c r="K428" s="1" t="s">
        <v>34</v>
      </c>
      <c r="L428" s="14">
        <v>2969.8</v>
      </c>
      <c r="N428" s="14">
        <v>9823.2065999999995</v>
      </c>
      <c r="O428" s="13">
        <v>27.3475</v>
      </c>
      <c r="P428" s="13">
        <v>11.38</v>
      </c>
      <c r="Q428" s="13">
        <v>49.994999999999997</v>
      </c>
      <c r="R428" s="13">
        <v>46.634999999999998</v>
      </c>
      <c r="S428" s="7">
        <v>16.672499999999999</v>
      </c>
      <c r="U428" s="13">
        <v>16.28</v>
      </c>
      <c r="V428" s="13">
        <v>7.6574999999999998</v>
      </c>
      <c r="W428" s="7">
        <v>0.65749999999999997</v>
      </c>
      <c r="X428" s="13"/>
      <c r="Y428" s="13">
        <v>59.18</v>
      </c>
      <c r="Z428" s="7">
        <v>0.77137745000000002</v>
      </c>
      <c r="AA428" s="14">
        <v>1.5</v>
      </c>
      <c r="AB428" s="16">
        <f>AA428*33.334</f>
        <v>50.001000000000005</v>
      </c>
      <c r="AD428" s="16"/>
      <c r="AE428" s="1">
        <v>1</v>
      </c>
    </row>
    <row r="429" spans="1:31" ht="17" x14ac:dyDescent="0.2">
      <c r="A429" s="1">
        <v>428</v>
      </c>
      <c r="B429" s="1">
        <v>2019</v>
      </c>
      <c r="C429" s="1" t="s">
        <v>88</v>
      </c>
      <c r="D429" s="9" t="s">
        <v>1023</v>
      </c>
      <c r="E429" s="9" t="s">
        <v>734</v>
      </c>
      <c r="F429" s="1" t="s">
        <v>83</v>
      </c>
      <c r="I429" s="12">
        <v>6.65</v>
      </c>
      <c r="J429" s="3">
        <v>19.05</v>
      </c>
      <c r="L429" s="5">
        <v>2970</v>
      </c>
      <c r="M429" s="1" t="s">
        <v>34</v>
      </c>
      <c r="N429" s="5">
        <v>19743.8</v>
      </c>
      <c r="O429" s="6">
        <v>26.1</v>
      </c>
      <c r="P429" s="6">
        <v>9.4499999999999993</v>
      </c>
      <c r="Q429" s="6">
        <v>49.012500000000003</v>
      </c>
      <c r="R429" s="6">
        <v>38.085000000000001</v>
      </c>
      <c r="S429" s="3"/>
      <c r="T429" s="6">
        <v>30.545000000000002</v>
      </c>
      <c r="U429" s="6">
        <v>18.97</v>
      </c>
      <c r="V429" s="6">
        <v>6.6849999999999996</v>
      </c>
      <c r="W429" s="3">
        <v>0.66430000000000011</v>
      </c>
      <c r="X429" s="6"/>
      <c r="Y429" s="6">
        <v>64.55</v>
      </c>
      <c r="Z429" s="3">
        <v>1.2424999999999999</v>
      </c>
      <c r="AB429" s="16"/>
      <c r="AC429" s="4">
        <v>2</v>
      </c>
      <c r="AD429" s="16">
        <f>AC429*10</f>
        <v>20</v>
      </c>
      <c r="AE429" s="1">
        <v>1</v>
      </c>
    </row>
    <row r="430" spans="1:31" x14ac:dyDescent="0.2">
      <c r="A430" s="1">
        <v>429</v>
      </c>
      <c r="B430" s="1">
        <v>2013</v>
      </c>
      <c r="C430" s="1" t="s">
        <v>96</v>
      </c>
      <c r="D430" s="8" t="s">
        <v>1023</v>
      </c>
      <c r="E430" s="8" t="s">
        <v>394</v>
      </c>
      <c r="F430" s="1" t="s">
        <v>32</v>
      </c>
      <c r="I430" s="12">
        <v>6</v>
      </c>
      <c r="J430" s="7">
        <v>17.1428571428571</v>
      </c>
      <c r="K430" s="13" t="s">
        <v>34</v>
      </c>
      <c r="L430" s="14">
        <v>2971</v>
      </c>
      <c r="M430" s="14" t="s">
        <v>34</v>
      </c>
      <c r="N430" s="14">
        <v>17804</v>
      </c>
      <c r="O430" s="13">
        <v>35.9</v>
      </c>
      <c r="P430" s="13">
        <v>6.4</v>
      </c>
      <c r="Q430" s="13">
        <v>51.6</v>
      </c>
      <c r="R430" s="13">
        <v>45.3</v>
      </c>
      <c r="S430" s="13" t="s">
        <v>89</v>
      </c>
      <c r="T430" s="13"/>
      <c r="U430" s="13">
        <v>20.399999999999999</v>
      </c>
      <c r="V430" s="13">
        <v>1.9</v>
      </c>
      <c r="W430" s="7">
        <v>0.62</v>
      </c>
      <c r="X430" s="13">
        <v>71.7</v>
      </c>
      <c r="Y430" s="13">
        <v>60.9</v>
      </c>
      <c r="Z430" s="7">
        <v>1.4</v>
      </c>
      <c r="AA430" s="13">
        <v>1.5</v>
      </c>
      <c r="AB430" s="16">
        <f>AA430*10</f>
        <v>15</v>
      </c>
      <c r="AC430" s="13">
        <v>1</v>
      </c>
      <c r="AD430" s="16">
        <f>AC430*10</f>
        <v>10</v>
      </c>
      <c r="AE430" s="1">
        <v>0</v>
      </c>
    </row>
    <row r="431" spans="1:31" ht="17" x14ac:dyDescent="0.2">
      <c r="A431" s="1">
        <v>430</v>
      </c>
      <c r="B431" s="1">
        <v>2019</v>
      </c>
      <c r="C431" s="1" t="s">
        <v>88</v>
      </c>
      <c r="D431" s="28" t="s">
        <v>914</v>
      </c>
      <c r="E431" s="9" t="s">
        <v>638</v>
      </c>
      <c r="F431" s="1" t="s">
        <v>83</v>
      </c>
      <c r="H431" s="1" t="s">
        <v>34</v>
      </c>
      <c r="I431" s="12">
        <v>8.25</v>
      </c>
      <c r="J431" s="3">
        <v>23.65</v>
      </c>
      <c r="L431" s="5">
        <v>2975</v>
      </c>
      <c r="M431" s="1" t="s">
        <v>34</v>
      </c>
      <c r="N431" s="5">
        <v>24933.200000000001</v>
      </c>
      <c r="O431" s="6">
        <v>33.11</v>
      </c>
      <c r="P431" s="6">
        <v>8.7774999999999999</v>
      </c>
      <c r="Q431" s="6">
        <v>46.914999999999999</v>
      </c>
      <c r="R431" s="6">
        <v>34.229999999999997</v>
      </c>
      <c r="S431" s="3"/>
      <c r="T431" s="6">
        <v>31.522500000000001</v>
      </c>
      <c r="U431" s="6">
        <v>17.245000000000001</v>
      </c>
      <c r="V431" s="6">
        <v>9.9975000000000005</v>
      </c>
      <c r="W431" s="3">
        <v>0.6764</v>
      </c>
      <c r="X431" s="6"/>
      <c r="Y431" s="6">
        <v>65.64</v>
      </c>
      <c r="Z431" s="3">
        <v>1.2775000000000001</v>
      </c>
      <c r="AB431" s="16"/>
      <c r="AC431" s="4">
        <v>3</v>
      </c>
      <c r="AD431" s="16">
        <f>AC431*10</f>
        <v>30</v>
      </c>
      <c r="AE431" s="1">
        <v>1</v>
      </c>
    </row>
    <row r="432" spans="1:31" x14ac:dyDescent="0.2">
      <c r="A432" s="1">
        <v>431</v>
      </c>
      <c r="B432" s="1">
        <v>2019</v>
      </c>
      <c r="C432" s="1" t="s">
        <v>96</v>
      </c>
      <c r="D432" s="28" t="s">
        <v>914</v>
      </c>
      <c r="E432" s="1" t="s">
        <v>753</v>
      </c>
      <c r="F432" s="1" t="s">
        <v>32</v>
      </c>
      <c r="I432" s="12">
        <v>6.85</v>
      </c>
      <c r="J432" s="3">
        <v>19.579999999999998</v>
      </c>
      <c r="K432" s="1" t="s">
        <v>34</v>
      </c>
      <c r="L432" s="5">
        <v>2975.2</v>
      </c>
      <c r="M432" s="1" t="s">
        <v>34</v>
      </c>
      <c r="N432" s="5">
        <v>20384.8</v>
      </c>
      <c r="O432" s="6">
        <v>34.202500000000001</v>
      </c>
      <c r="P432" s="6">
        <v>5.2249999999999996</v>
      </c>
      <c r="Q432" s="6">
        <v>47.005000000000003</v>
      </c>
      <c r="R432" s="6">
        <v>32.637500000000003</v>
      </c>
      <c r="S432" s="3"/>
      <c r="T432" s="6">
        <v>31.74</v>
      </c>
      <c r="U432" s="6">
        <v>16.7</v>
      </c>
      <c r="V432" s="6">
        <v>20.2</v>
      </c>
      <c r="W432" s="3">
        <v>0.71099999999999997</v>
      </c>
      <c r="X432" s="6"/>
      <c r="Y432" s="6">
        <v>57.3</v>
      </c>
      <c r="Z432" s="3">
        <v>1.0575000000000001</v>
      </c>
      <c r="AB432" s="16"/>
      <c r="AC432" s="6">
        <v>2</v>
      </c>
      <c r="AD432" s="16">
        <f>AC432*10</f>
        <v>20</v>
      </c>
      <c r="AE432" s="1">
        <v>0</v>
      </c>
    </row>
    <row r="433" spans="1:31" x14ac:dyDescent="0.2">
      <c r="A433" s="1">
        <v>432</v>
      </c>
      <c r="B433" s="1">
        <v>2018</v>
      </c>
      <c r="C433" s="1" t="s">
        <v>88</v>
      </c>
      <c r="D433" s="28" t="s">
        <v>914</v>
      </c>
      <c r="E433" s="1" t="s">
        <v>639</v>
      </c>
      <c r="F433" s="1" t="s">
        <v>32</v>
      </c>
      <c r="I433" s="12">
        <v>4.3971604558748698</v>
      </c>
      <c r="J433" s="12">
        <v>12.5633155882139</v>
      </c>
      <c r="L433" s="16">
        <v>2976.5</v>
      </c>
      <c r="N433" s="16">
        <v>13079.452138622</v>
      </c>
      <c r="O433" s="15">
        <v>31.582396088382399</v>
      </c>
      <c r="P433" s="15">
        <v>7.34</v>
      </c>
      <c r="Q433" s="15">
        <v>52.454999999999998</v>
      </c>
      <c r="R433" s="15">
        <v>51</v>
      </c>
      <c r="S433" s="12">
        <v>14.49</v>
      </c>
      <c r="U433" s="15">
        <v>10.16</v>
      </c>
      <c r="V433" s="15">
        <v>21.35</v>
      </c>
      <c r="W433" s="12">
        <v>0.64237499999999992</v>
      </c>
      <c r="X433" s="15"/>
      <c r="Y433" s="15">
        <v>59.905000000000001</v>
      </c>
      <c r="Z433" s="12">
        <v>0.53453722084270505</v>
      </c>
      <c r="AA433" s="16">
        <v>1.5</v>
      </c>
      <c r="AB433" s="16">
        <f>AA433*33.334</f>
        <v>50.001000000000005</v>
      </c>
      <c r="AC433" s="16">
        <v>0.75</v>
      </c>
      <c r="AD433" s="16">
        <f>AC433*33.334</f>
        <v>25.000500000000002</v>
      </c>
      <c r="AE433" s="1">
        <v>1</v>
      </c>
    </row>
    <row r="434" spans="1:31" x14ac:dyDescent="0.2">
      <c r="A434" s="1">
        <v>433</v>
      </c>
      <c r="B434" s="1">
        <v>2017</v>
      </c>
      <c r="C434" s="1" t="s">
        <v>31</v>
      </c>
      <c r="D434" s="8" t="s">
        <v>391</v>
      </c>
      <c r="E434" s="8" t="s">
        <v>495</v>
      </c>
      <c r="F434" s="1" t="s">
        <v>32</v>
      </c>
      <c r="G434" s="8">
        <v>115</v>
      </c>
      <c r="H434" s="1" t="s">
        <v>34</v>
      </c>
      <c r="I434" s="12">
        <v>9.32</v>
      </c>
      <c r="J434" s="3">
        <v>26.63</v>
      </c>
      <c r="L434" s="5">
        <v>2978</v>
      </c>
      <c r="N434" s="5">
        <v>27433.027999999998</v>
      </c>
      <c r="O434" s="6">
        <v>30.4754431</v>
      </c>
      <c r="P434" s="6">
        <v>8.8000000000000007</v>
      </c>
      <c r="Q434" s="6">
        <v>48.1</v>
      </c>
      <c r="R434" s="6">
        <v>52.912500000000001</v>
      </c>
      <c r="S434" s="3"/>
      <c r="T434" s="6">
        <v>30.5</v>
      </c>
      <c r="U434" s="6">
        <v>24.932500000000001</v>
      </c>
      <c r="V434" s="6">
        <v>3.6</v>
      </c>
      <c r="W434" s="3">
        <v>0.69544349999999999</v>
      </c>
      <c r="X434" s="6"/>
      <c r="Y434" s="6">
        <v>65.307500000000005</v>
      </c>
      <c r="Z434" s="3">
        <v>2.38</v>
      </c>
      <c r="AB434" s="16"/>
      <c r="AD434" s="16"/>
      <c r="AE434" s="1">
        <v>1</v>
      </c>
    </row>
    <row r="435" spans="1:31" x14ac:dyDescent="0.2">
      <c r="A435" s="1">
        <v>434</v>
      </c>
      <c r="B435" s="1">
        <v>2011</v>
      </c>
      <c r="C435" s="1" t="s">
        <v>88</v>
      </c>
      <c r="D435" s="8" t="s">
        <v>90</v>
      </c>
      <c r="E435" s="8" t="s">
        <v>242</v>
      </c>
      <c r="F435" s="1" t="s">
        <v>32</v>
      </c>
      <c r="I435" s="12">
        <v>7.84</v>
      </c>
      <c r="J435" s="12">
        <v>26.571428571428601</v>
      </c>
      <c r="K435" s="13" t="s">
        <v>34</v>
      </c>
      <c r="L435" s="14">
        <v>2979</v>
      </c>
      <c r="M435" s="14" t="s">
        <v>34</v>
      </c>
      <c r="N435" s="14">
        <v>23321</v>
      </c>
      <c r="O435" s="13">
        <v>27.4</v>
      </c>
      <c r="P435" s="13">
        <v>6.8</v>
      </c>
      <c r="Q435" s="13">
        <v>50.9</v>
      </c>
      <c r="R435" s="13">
        <v>59.5</v>
      </c>
      <c r="T435" s="15"/>
      <c r="U435" s="15" t="s">
        <v>89</v>
      </c>
      <c r="V435" s="13">
        <v>2.4</v>
      </c>
      <c r="W435" s="12" t="s">
        <v>89</v>
      </c>
      <c r="X435" s="15" t="s">
        <v>89</v>
      </c>
      <c r="Y435" s="13">
        <v>65.599999999999994</v>
      </c>
      <c r="Z435" s="7">
        <v>2.37</v>
      </c>
      <c r="AA435" s="1">
        <v>0</v>
      </c>
      <c r="AB435" s="16">
        <f>AA435*10</f>
        <v>0</v>
      </c>
      <c r="AC435" s="1">
        <v>0.8</v>
      </c>
      <c r="AD435" s="16">
        <f>AC435*10</f>
        <v>8</v>
      </c>
      <c r="AE435" s="1">
        <v>1</v>
      </c>
    </row>
    <row r="436" spans="1:31" x14ac:dyDescent="0.2">
      <c r="A436" s="1">
        <v>435</v>
      </c>
      <c r="B436" s="1">
        <v>2013</v>
      </c>
      <c r="C436" s="1" t="s">
        <v>88</v>
      </c>
      <c r="D436" s="8" t="s">
        <v>1023</v>
      </c>
      <c r="E436" s="8" t="s">
        <v>337</v>
      </c>
      <c r="F436" s="1" t="s">
        <v>32</v>
      </c>
      <c r="I436" s="12">
        <v>5.75</v>
      </c>
      <c r="J436" s="7">
        <v>16.428571428571399</v>
      </c>
      <c r="K436" s="13"/>
      <c r="L436" s="14">
        <v>2981</v>
      </c>
      <c r="M436" s="14"/>
      <c r="N436" s="14">
        <v>17158</v>
      </c>
      <c r="O436" s="13">
        <v>30.2</v>
      </c>
      <c r="P436" s="13">
        <v>5.3</v>
      </c>
      <c r="Q436" s="13">
        <v>51.1</v>
      </c>
      <c r="R436" s="13">
        <v>55.8</v>
      </c>
      <c r="S436" s="13" t="s">
        <v>89</v>
      </c>
      <c r="T436" s="13"/>
      <c r="U436" s="13">
        <v>17.399999999999999</v>
      </c>
      <c r="V436" s="13">
        <v>1.4</v>
      </c>
      <c r="W436" s="7">
        <v>0.62</v>
      </c>
      <c r="X436" s="13">
        <v>77.400000000000006</v>
      </c>
      <c r="Y436" s="13">
        <v>60.3</v>
      </c>
      <c r="Z436" s="7">
        <v>1.64</v>
      </c>
      <c r="AA436" s="13">
        <v>3.3</v>
      </c>
      <c r="AB436" s="16">
        <f>AA436*10</f>
        <v>33</v>
      </c>
      <c r="AC436" s="13">
        <v>0</v>
      </c>
      <c r="AD436" s="16">
        <f>AC543*10</f>
        <v>0</v>
      </c>
      <c r="AE436" s="1">
        <v>1</v>
      </c>
    </row>
    <row r="437" spans="1:31" x14ac:dyDescent="0.2">
      <c r="A437" s="1">
        <v>436</v>
      </c>
      <c r="B437" s="1">
        <v>2012</v>
      </c>
      <c r="C437" s="1" t="s">
        <v>31</v>
      </c>
      <c r="D437" s="1" t="s">
        <v>916</v>
      </c>
      <c r="E437" s="1" t="s">
        <v>283</v>
      </c>
      <c r="F437" s="1" t="s">
        <v>83</v>
      </c>
      <c r="I437" s="12">
        <v>5.26</v>
      </c>
      <c r="J437" s="12">
        <v>15</v>
      </c>
      <c r="L437" s="16">
        <v>2987</v>
      </c>
      <c r="N437" s="16">
        <v>15618</v>
      </c>
      <c r="O437" s="15">
        <v>34.1</v>
      </c>
      <c r="P437" s="15">
        <v>6.55</v>
      </c>
      <c r="Q437" s="15">
        <v>48.1</v>
      </c>
      <c r="R437" s="15">
        <v>54.7</v>
      </c>
      <c r="T437" s="15"/>
      <c r="U437" s="15">
        <v>33.9</v>
      </c>
      <c r="V437" s="15">
        <v>3.3</v>
      </c>
      <c r="W437" s="12">
        <v>0.69</v>
      </c>
      <c r="X437" s="15"/>
      <c r="Y437" s="15"/>
      <c r="Z437" s="12">
        <v>1.38</v>
      </c>
      <c r="AB437" s="16"/>
      <c r="AD437" s="16"/>
      <c r="AE437" s="1">
        <v>1</v>
      </c>
    </row>
    <row r="438" spans="1:31" x14ac:dyDescent="0.2">
      <c r="A438" s="1">
        <v>437</v>
      </c>
      <c r="B438" s="1">
        <v>2019</v>
      </c>
      <c r="C438" s="1" t="s">
        <v>88</v>
      </c>
      <c r="D438" s="1" t="s">
        <v>1023</v>
      </c>
      <c r="E438" s="8" t="s">
        <v>337</v>
      </c>
      <c r="F438" s="1" t="s">
        <v>32</v>
      </c>
      <c r="I438" s="12">
        <v>7.0975000000000001</v>
      </c>
      <c r="J438" s="3">
        <v>20.2775</v>
      </c>
      <c r="L438" s="5">
        <v>2988.25</v>
      </c>
      <c r="N438" s="5">
        <v>21226.5</v>
      </c>
      <c r="O438" s="6">
        <v>28.765000000000001</v>
      </c>
      <c r="P438" s="6">
        <v>6.9950000000000001</v>
      </c>
      <c r="Q438" s="6">
        <v>47.984999999999999</v>
      </c>
      <c r="R438" s="6">
        <v>43.164999999999999</v>
      </c>
      <c r="S438" s="3"/>
      <c r="T438" s="6">
        <v>33.975000000000001</v>
      </c>
      <c r="U438" s="6">
        <v>17.077500000000001</v>
      </c>
      <c r="V438" s="6">
        <v>11.275</v>
      </c>
      <c r="W438" s="3">
        <v>0.66700000000000004</v>
      </c>
      <c r="X438" s="6"/>
      <c r="Y438" s="6">
        <v>58.935000000000002</v>
      </c>
      <c r="Z438" s="3">
        <v>1.4675</v>
      </c>
      <c r="AB438" s="16"/>
      <c r="AC438" s="6">
        <v>0</v>
      </c>
      <c r="AD438" s="16">
        <f>AC438*10</f>
        <v>0</v>
      </c>
      <c r="AE438" s="1">
        <v>1</v>
      </c>
    </row>
    <row r="439" spans="1:31" x14ac:dyDescent="0.2">
      <c r="A439" s="1">
        <v>438</v>
      </c>
      <c r="B439" s="1">
        <v>2018</v>
      </c>
      <c r="C439" s="1" t="s">
        <v>88</v>
      </c>
      <c r="D439" s="1" t="s">
        <v>1023</v>
      </c>
      <c r="E439" s="1" t="s">
        <v>676</v>
      </c>
      <c r="F439" s="1" t="s">
        <v>32</v>
      </c>
      <c r="H439" s="1" t="s">
        <v>34</v>
      </c>
      <c r="I439" s="12">
        <v>8.94</v>
      </c>
      <c r="J439" s="7">
        <v>25.53</v>
      </c>
      <c r="L439" s="16">
        <v>2988.25</v>
      </c>
      <c r="M439" s="1" t="s">
        <v>34</v>
      </c>
      <c r="N439" s="14">
        <v>26733.4</v>
      </c>
      <c r="O439" s="15">
        <v>40.99</v>
      </c>
      <c r="P439" s="15">
        <v>7.7450000000000001</v>
      </c>
      <c r="Q439" s="15">
        <v>47.16</v>
      </c>
      <c r="R439" s="15">
        <v>34.822499999999998</v>
      </c>
      <c r="S439" s="12">
        <v>19.447500000000002</v>
      </c>
      <c r="U439" s="15">
        <v>20.73</v>
      </c>
      <c r="V439" s="15">
        <v>10.299999999999999</v>
      </c>
      <c r="W439" s="12">
        <v>0.65980000000000005</v>
      </c>
      <c r="X439" s="15"/>
      <c r="Y439" s="15">
        <v>58.022500000000001</v>
      </c>
      <c r="Z439" s="12">
        <v>0.67137188874505804</v>
      </c>
      <c r="AA439" s="16">
        <v>2.5</v>
      </c>
      <c r="AB439" s="16">
        <f>AA439*33.334</f>
        <v>83.335000000000008</v>
      </c>
      <c r="AC439" s="16">
        <v>1.25</v>
      </c>
      <c r="AD439" s="16">
        <f>AC439*33.334</f>
        <v>41.667500000000004</v>
      </c>
      <c r="AE439" s="1">
        <v>1</v>
      </c>
    </row>
    <row r="440" spans="1:31" x14ac:dyDescent="0.2">
      <c r="A440" s="1">
        <v>439</v>
      </c>
      <c r="B440" s="1">
        <v>2010</v>
      </c>
      <c r="C440" s="1" t="s">
        <v>88</v>
      </c>
      <c r="D440" s="1" t="s">
        <v>916</v>
      </c>
      <c r="E440" s="8" t="s">
        <v>92</v>
      </c>
      <c r="F440" s="1" t="s">
        <v>32</v>
      </c>
      <c r="I440" s="12">
        <v>7.5</v>
      </c>
      <c r="J440" s="7">
        <v>21.43</v>
      </c>
      <c r="K440" s="1" t="s">
        <v>34</v>
      </c>
      <c r="L440" s="14">
        <v>2990</v>
      </c>
      <c r="M440" s="14"/>
      <c r="N440" s="14">
        <v>22403</v>
      </c>
      <c r="O440" s="13">
        <v>25.5</v>
      </c>
      <c r="P440" s="13">
        <v>7.5</v>
      </c>
      <c r="Q440" s="13">
        <v>53</v>
      </c>
      <c r="R440" s="13">
        <v>53.5</v>
      </c>
      <c r="S440" s="13"/>
      <c r="T440" s="13"/>
      <c r="U440" s="13">
        <v>35.9</v>
      </c>
      <c r="V440" s="13">
        <v>2.1</v>
      </c>
      <c r="W440" s="7"/>
      <c r="X440" s="13"/>
      <c r="Y440" s="13">
        <v>60.6</v>
      </c>
      <c r="Z440" s="7">
        <v>2.13</v>
      </c>
      <c r="AA440" s="13">
        <v>1</v>
      </c>
      <c r="AB440" s="16">
        <f>AA440*10</f>
        <v>10</v>
      </c>
      <c r="AC440" s="13">
        <v>1</v>
      </c>
      <c r="AD440" s="16">
        <f>AC440*10</f>
        <v>10</v>
      </c>
      <c r="AE440" s="1">
        <v>1</v>
      </c>
    </row>
    <row r="441" spans="1:31" x14ac:dyDescent="0.2">
      <c r="A441" s="1">
        <v>440</v>
      </c>
      <c r="B441" s="1">
        <v>2014</v>
      </c>
      <c r="C441" s="1" t="s">
        <v>31</v>
      </c>
      <c r="D441" s="1" t="s">
        <v>805</v>
      </c>
      <c r="E441" s="1" t="s">
        <v>446</v>
      </c>
      <c r="F441" s="1" t="s">
        <v>83</v>
      </c>
      <c r="G441" s="1">
        <v>116</v>
      </c>
      <c r="H441" s="1" t="s">
        <v>34</v>
      </c>
      <c r="I441" s="12">
        <v>5.92</v>
      </c>
      <c r="J441" s="12">
        <v>16.899999999999999</v>
      </c>
      <c r="L441" s="16">
        <v>2992</v>
      </c>
      <c r="M441" s="1" t="s">
        <v>34</v>
      </c>
      <c r="N441" s="16">
        <v>17568</v>
      </c>
      <c r="O441" s="15">
        <v>33.799999999999997</v>
      </c>
      <c r="P441" s="15">
        <v>7.83</v>
      </c>
      <c r="Q441" s="15">
        <v>45.4</v>
      </c>
      <c r="R441" s="15">
        <v>51.8</v>
      </c>
      <c r="T441" s="15"/>
      <c r="U441" s="15">
        <v>26.6</v>
      </c>
      <c r="V441" s="15">
        <v>5.8</v>
      </c>
      <c r="W441" s="12">
        <v>0.7</v>
      </c>
      <c r="X441" s="15"/>
      <c r="Y441" s="15">
        <v>67.5</v>
      </c>
      <c r="Z441" s="12">
        <v>1.4</v>
      </c>
      <c r="AA441" s="1">
        <v>6</v>
      </c>
      <c r="AB441" s="16">
        <f>AA441*10</f>
        <v>60</v>
      </c>
      <c r="AD441" s="16"/>
      <c r="AE441" s="1">
        <v>1</v>
      </c>
    </row>
    <row r="442" spans="1:31" x14ac:dyDescent="0.2">
      <c r="A442" s="1">
        <v>441</v>
      </c>
      <c r="B442" s="1">
        <v>2018</v>
      </c>
      <c r="C442" s="1" t="s">
        <v>88</v>
      </c>
      <c r="D442" s="28" t="s">
        <v>914</v>
      </c>
      <c r="E442" s="1" t="s">
        <v>688</v>
      </c>
      <c r="F442" s="1" t="s">
        <v>32</v>
      </c>
      <c r="I442" s="12">
        <v>3.4743370102519799</v>
      </c>
      <c r="J442" s="12">
        <v>9.9266771721485192</v>
      </c>
      <c r="L442" s="16">
        <v>2994.5</v>
      </c>
      <c r="N442" s="16">
        <v>10388.4634535603</v>
      </c>
      <c r="O442" s="15">
        <v>25.295117896590199</v>
      </c>
      <c r="P442" s="15">
        <v>11.79</v>
      </c>
      <c r="Q442" s="15">
        <v>51.387500000000003</v>
      </c>
      <c r="R442" s="15">
        <v>45.07</v>
      </c>
      <c r="S442" s="12">
        <v>17.88</v>
      </c>
      <c r="U442" s="15">
        <v>16.940000000000001</v>
      </c>
      <c r="V442" s="15">
        <v>6.3925000000000001</v>
      </c>
      <c r="W442" s="12">
        <v>0.62932500000000002</v>
      </c>
      <c r="X442" s="15"/>
      <c r="Y442" s="15">
        <v>59.28</v>
      </c>
      <c r="Z442" s="12">
        <v>0.36671289998588602</v>
      </c>
      <c r="AA442" s="16">
        <v>3</v>
      </c>
      <c r="AB442" s="16">
        <f>AA442*33.334</f>
        <v>100.00200000000001</v>
      </c>
      <c r="AC442" s="16">
        <v>1.5</v>
      </c>
      <c r="AD442" s="16">
        <f>AC442*33.334</f>
        <v>50.001000000000005</v>
      </c>
      <c r="AE442" s="1">
        <v>1</v>
      </c>
    </row>
    <row r="443" spans="1:31" x14ac:dyDescent="0.2">
      <c r="A443" s="1">
        <v>442</v>
      </c>
      <c r="B443" s="1">
        <v>2012</v>
      </c>
      <c r="C443" s="1" t="s">
        <v>31</v>
      </c>
      <c r="D443" s="22" t="s">
        <v>917</v>
      </c>
      <c r="E443" s="1" t="s">
        <v>308</v>
      </c>
      <c r="F443" s="1" t="s">
        <v>83</v>
      </c>
      <c r="I443" s="12">
        <v>4.7</v>
      </c>
      <c r="J443" s="12">
        <v>13.4</v>
      </c>
      <c r="L443" s="16">
        <v>2995</v>
      </c>
      <c r="N443" s="16">
        <v>14079</v>
      </c>
      <c r="O443" s="15">
        <v>34.5</v>
      </c>
      <c r="P443" s="15">
        <v>7.19</v>
      </c>
      <c r="Q443" s="15">
        <v>48.7</v>
      </c>
      <c r="R443" s="15">
        <v>56.3</v>
      </c>
      <c r="T443" s="15"/>
      <c r="U443" s="15">
        <v>32.700000000000003</v>
      </c>
      <c r="V443" s="15">
        <v>3.4</v>
      </c>
      <c r="W443" s="12">
        <v>0.69</v>
      </c>
      <c r="X443" s="15"/>
      <c r="Y443" s="15"/>
      <c r="Z443" s="12">
        <v>1.29</v>
      </c>
      <c r="AB443" s="16"/>
      <c r="AD443" s="16"/>
      <c r="AE443" s="1">
        <v>1</v>
      </c>
    </row>
    <row r="444" spans="1:31" x14ac:dyDescent="0.2">
      <c r="A444" s="1">
        <v>443</v>
      </c>
      <c r="B444" s="1">
        <v>2017</v>
      </c>
      <c r="C444" s="1" t="s">
        <v>88</v>
      </c>
      <c r="D444" s="28" t="s">
        <v>914</v>
      </c>
      <c r="E444" s="1" t="s">
        <v>638</v>
      </c>
      <c r="F444" s="1" t="s">
        <v>32</v>
      </c>
      <c r="H444" s="1" t="s">
        <v>34</v>
      </c>
      <c r="I444" s="12">
        <v>6.39</v>
      </c>
      <c r="J444" s="3">
        <v>18.3</v>
      </c>
      <c r="L444" s="5">
        <v>2996</v>
      </c>
      <c r="M444" s="1" t="s">
        <v>34</v>
      </c>
      <c r="N444" s="5">
        <v>19140</v>
      </c>
      <c r="O444" s="6">
        <v>31.276375600000001</v>
      </c>
      <c r="P444" s="6">
        <v>4.8075000000000001</v>
      </c>
      <c r="Q444" s="6">
        <v>56.255000000000003</v>
      </c>
      <c r="R444" s="15">
        <v>47.327500000000001</v>
      </c>
      <c r="S444" s="15">
        <v>23.7</v>
      </c>
      <c r="U444" s="6">
        <v>11.6975</v>
      </c>
      <c r="V444" s="6">
        <v>18.2</v>
      </c>
      <c r="W444" s="3">
        <v>0.63137500000000002</v>
      </c>
      <c r="X444" s="6"/>
      <c r="Y444" s="15">
        <v>58.922499999999999</v>
      </c>
      <c r="Z444" s="3">
        <v>1.70185057</v>
      </c>
      <c r="AB444" s="16"/>
      <c r="AD444" s="16"/>
      <c r="AE444" s="1">
        <v>1</v>
      </c>
    </row>
    <row r="445" spans="1:31" x14ac:dyDescent="0.2">
      <c r="A445" s="1">
        <v>444</v>
      </c>
      <c r="B445" s="1">
        <v>2018</v>
      </c>
      <c r="C445" s="1" t="s">
        <v>96</v>
      </c>
      <c r="D445" s="1" t="s">
        <v>246</v>
      </c>
      <c r="E445" s="1" t="s">
        <v>699</v>
      </c>
      <c r="F445" s="1" t="s">
        <v>32</v>
      </c>
      <c r="I445" s="12">
        <v>4.4204044848197803</v>
      </c>
      <c r="J445" s="12">
        <v>12.6297270994851</v>
      </c>
      <c r="K445" s="1" t="s">
        <v>34</v>
      </c>
      <c r="L445" s="16">
        <v>2998.3</v>
      </c>
      <c r="N445" s="16">
        <v>13298.2455727451</v>
      </c>
      <c r="O445" s="15">
        <v>31.51</v>
      </c>
      <c r="P445" s="15">
        <v>11.08</v>
      </c>
      <c r="Q445" s="15">
        <v>45.012500000000003</v>
      </c>
      <c r="R445" s="15">
        <v>31.12</v>
      </c>
      <c r="S445" s="12">
        <v>19.399999999999999</v>
      </c>
      <c r="U445" s="15">
        <v>21.68</v>
      </c>
      <c r="V445" s="15">
        <v>4.6500000000000004</v>
      </c>
      <c r="W445" s="12">
        <v>0.65810000000000002</v>
      </c>
      <c r="X445" s="15"/>
      <c r="Y445" s="15">
        <v>58.02</v>
      </c>
      <c r="Z445" s="12">
        <v>0.27719192237323298</v>
      </c>
      <c r="AA445" s="16">
        <v>2.5</v>
      </c>
      <c r="AB445" s="16">
        <f>AA445*33.334</f>
        <v>83.335000000000008</v>
      </c>
      <c r="AC445" s="16">
        <v>1.25</v>
      </c>
      <c r="AD445" s="16">
        <f>AC445*33.334</f>
        <v>41.667500000000004</v>
      </c>
      <c r="AE445" s="1">
        <v>0</v>
      </c>
    </row>
    <row r="446" spans="1:31" ht="17" x14ac:dyDescent="0.2">
      <c r="A446" s="1">
        <v>445</v>
      </c>
      <c r="B446" s="1">
        <v>2019</v>
      </c>
      <c r="C446" s="1" t="s">
        <v>88</v>
      </c>
      <c r="D446" s="28" t="s">
        <v>914</v>
      </c>
      <c r="E446" s="9" t="s">
        <v>736</v>
      </c>
      <c r="F446" s="1" t="s">
        <v>83</v>
      </c>
      <c r="I446" s="12">
        <v>4.8499999999999996</v>
      </c>
      <c r="J446" s="3">
        <v>13.925000000000001</v>
      </c>
      <c r="L446" s="5">
        <v>2999.75</v>
      </c>
      <c r="N446" s="5">
        <v>14597.85</v>
      </c>
      <c r="O446" s="6">
        <v>21.965</v>
      </c>
      <c r="P446" s="6">
        <v>11.15</v>
      </c>
      <c r="Q446" s="6">
        <v>49.8675</v>
      </c>
      <c r="R446" s="6">
        <v>50.64</v>
      </c>
      <c r="S446" s="3"/>
      <c r="T446" s="6">
        <v>31.4175</v>
      </c>
      <c r="U446" s="6">
        <v>12.29</v>
      </c>
      <c r="V446" s="6">
        <v>7.1624999999999996</v>
      </c>
      <c r="W446" s="3">
        <v>0.65885000000000005</v>
      </c>
      <c r="X446" s="6"/>
      <c r="Y446" s="6">
        <v>64.06</v>
      </c>
      <c r="Z446" s="3">
        <v>1.2175</v>
      </c>
      <c r="AB446" s="16"/>
      <c r="AC446" s="4">
        <v>1</v>
      </c>
      <c r="AD446" s="16">
        <f>AC446*10</f>
        <v>10</v>
      </c>
      <c r="AE446" s="1">
        <v>1</v>
      </c>
    </row>
    <row r="447" spans="1:31" x14ac:dyDescent="0.2">
      <c r="A447" s="1">
        <v>446</v>
      </c>
      <c r="B447" s="1">
        <v>2017</v>
      </c>
      <c r="C447" s="1" t="s">
        <v>88</v>
      </c>
      <c r="D447" s="1" t="s">
        <v>246</v>
      </c>
      <c r="E447" s="1" t="s">
        <v>579</v>
      </c>
      <c r="F447" s="1" t="s">
        <v>32</v>
      </c>
      <c r="I447" s="12">
        <v>5.5242005599999997</v>
      </c>
      <c r="J447" s="3">
        <v>15.7834302</v>
      </c>
      <c r="L447" s="5">
        <v>3000.25</v>
      </c>
      <c r="N447" s="5">
        <v>16683.2016</v>
      </c>
      <c r="O447" s="6">
        <v>28.465534300000002</v>
      </c>
      <c r="P447" s="6">
        <v>4.9474999999999998</v>
      </c>
      <c r="Q447" s="6">
        <v>59.597499999999997</v>
      </c>
      <c r="R447" s="15">
        <v>52.737499999999997</v>
      </c>
      <c r="S447" s="15">
        <v>20.6</v>
      </c>
      <c r="U447" s="6">
        <v>10.84</v>
      </c>
      <c r="V447" s="6">
        <v>15.3</v>
      </c>
      <c r="W447" s="3">
        <v>0.62697499999999995</v>
      </c>
      <c r="X447" s="6"/>
      <c r="Y447" s="15">
        <v>60.115000000000002</v>
      </c>
      <c r="Z447" s="3">
        <v>1.7240118799999999</v>
      </c>
      <c r="AB447" s="16"/>
      <c r="AD447" s="16"/>
      <c r="AE447" s="1">
        <v>1</v>
      </c>
    </row>
    <row r="448" spans="1:31" x14ac:dyDescent="0.2">
      <c r="A448" s="1">
        <v>447</v>
      </c>
      <c r="B448" s="1">
        <v>2018</v>
      </c>
      <c r="C448" s="1" t="s">
        <v>88</v>
      </c>
      <c r="D448" s="28" t="s">
        <v>914</v>
      </c>
      <c r="E448" s="8" t="s">
        <v>684</v>
      </c>
      <c r="F448" s="1" t="s">
        <v>83</v>
      </c>
      <c r="I448" s="12">
        <v>3.6087117499999999</v>
      </c>
      <c r="J448" s="7">
        <v>10.310605000000001</v>
      </c>
      <c r="K448" s="1" t="s">
        <v>34</v>
      </c>
      <c r="L448" s="14">
        <v>3003.5</v>
      </c>
      <c r="N448" s="14">
        <v>10863.6317</v>
      </c>
      <c r="O448" s="13">
        <v>35.119999999999997</v>
      </c>
      <c r="P448" s="13">
        <v>9.2799999999999994</v>
      </c>
      <c r="Q448" s="13">
        <v>48.685000000000002</v>
      </c>
      <c r="R448" s="13">
        <v>38.58</v>
      </c>
      <c r="S448" s="7">
        <v>18.21</v>
      </c>
      <c r="U448" s="13">
        <v>17.899999999999999</v>
      </c>
      <c r="V448" s="13">
        <v>10.012499999999999</v>
      </c>
      <c r="W448" s="7">
        <v>0.6715000000000001</v>
      </c>
      <c r="X448" s="13"/>
      <c r="Y448" s="13">
        <v>58.34</v>
      </c>
      <c r="Z448" s="7">
        <v>0.67636101000000004</v>
      </c>
      <c r="AA448" s="14">
        <v>1.25</v>
      </c>
      <c r="AB448" s="16">
        <f>AA448*33.334</f>
        <v>41.667500000000004</v>
      </c>
      <c r="AD448" s="16"/>
      <c r="AE448" s="1">
        <v>1</v>
      </c>
    </row>
    <row r="449" spans="1:31" x14ac:dyDescent="0.2">
      <c r="A449" s="1">
        <v>448</v>
      </c>
      <c r="B449" s="1">
        <v>2015</v>
      </c>
      <c r="C449" s="8" t="s">
        <v>88</v>
      </c>
      <c r="D449" s="8" t="s">
        <v>187</v>
      </c>
      <c r="E449" s="8">
        <v>2120</v>
      </c>
      <c r="F449" s="1" t="s">
        <v>32</v>
      </c>
      <c r="I449" s="12">
        <v>8.07</v>
      </c>
      <c r="J449" s="7">
        <v>23.05714285714286</v>
      </c>
      <c r="L449" s="14">
        <v>3006</v>
      </c>
      <c r="N449" s="14">
        <v>24263</v>
      </c>
      <c r="O449" s="13">
        <v>30</v>
      </c>
      <c r="P449" s="13">
        <v>7.4</v>
      </c>
      <c r="Q449" s="13">
        <v>49.7</v>
      </c>
      <c r="R449" s="13">
        <v>41.7</v>
      </c>
      <c r="S449" s="8"/>
      <c r="T449" s="15" t="s">
        <v>89</v>
      </c>
      <c r="U449" s="13">
        <v>20.6</v>
      </c>
      <c r="V449" s="13">
        <v>11.5</v>
      </c>
      <c r="W449" s="7">
        <v>0.64</v>
      </c>
      <c r="X449" s="13"/>
      <c r="Y449" s="13">
        <v>58.5</v>
      </c>
      <c r="Z449" s="7">
        <v>1.67</v>
      </c>
      <c r="AA449" s="13">
        <v>1</v>
      </c>
      <c r="AB449" s="16">
        <f>AA449*10</f>
        <v>10</v>
      </c>
      <c r="AC449" s="13">
        <v>1</v>
      </c>
      <c r="AD449" s="16">
        <f>AC449*10</f>
        <v>10</v>
      </c>
      <c r="AE449" s="1">
        <v>1</v>
      </c>
    </row>
    <row r="450" spans="1:31" ht="17" x14ac:dyDescent="0.2">
      <c r="A450" s="1">
        <v>449</v>
      </c>
      <c r="B450" s="1">
        <v>2019</v>
      </c>
      <c r="C450" s="1" t="s">
        <v>88</v>
      </c>
      <c r="D450" s="9" t="s">
        <v>719</v>
      </c>
      <c r="E450" s="9" t="s">
        <v>744</v>
      </c>
      <c r="F450" s="1" t="s">
        <v>83</v>
      </c>
      <c r="I450" s="12">
        <v>3.6333333300000001</v>
      </c>
      <c r="J450" s="3">
        <v>10.4</v>
      </c>
      <c r="L450" s="5">
        <v>3012</v>
      </c>
      <c r="N450" s="5">
        <v>10997.5</v>
      </c>
      <c r="O450" s="6">
        <v>23.766666699999998</v>
      </c>
      <c r="P450" s="6">
        <v>7.9766667</v>
      </c>
      <c r="Q450" s="6">
        <v>50.396666699999997</v>
      </c>
      <c r="R450" s="6">
        <v>44.23</v>
      </c>
      <c r="S450" s="3"/>
      <c r="T450" s="6">
        <v>31.37</v>
      </c>
      <c r="U450" s="6">
        <v>7.3733332999999996</v>
      </c>
      <c r="V450" s="6">
        <v>14.36</v>
      </c>
      <c r="W450" s="3">
        <v>0.6855</v>
      </c>
      <c r="X450" s="6"/>
      <c r="Y450" s="6">
        <v>66.459999999999994</v>
      </c>
      <c r="Z450" s="3">
        <v>0.80333332999999996</v>
      </c>
      <c r="AB450" s="16"/>
      <c r="AC450" s="4">
        <v>5</v>
      </c>
      <c r="AD450" s="16">
        <f>AC450*10</f>
        <v>50</v>
      </c>
      <c r="AE450" s="1">
        <v>1</v>
      </c>
    </row>
    <row r="451" spans="1:31" x14ac:dyDescent="0.2">
      <c r="A451" s="1">
        <v>450</v>
      </c>
      <c r="B451" s="1">
        <v>2018</v>
      </c>
      <c r="C451" s="1" t="s">
        <v>88</v>
      </c>
      <c r="D451" s="1" t="s">
        <v>1023</v>
      </c>
      <c r="E451" s="1" t="s">
        <v>338</v>
      </c>
      <c r="F451" s="1" t="s">
        <v>32</v>
      </c>
      <c r="I451" s="12">
        <v>4.9330016798342804</v>
      </c>
      <c r="J451" s="12">
        <v>14.094290513812201</v>
      </c>
      <c r="L451" s="16">
        <v>3012</v>
      </c>
      <c r="N451" s="16">
        <v>14860.6511193816</v>
      </c>
      <c r="O451" s="15">
        <v>29.025399133981601</v>
      </c>
      <c r="P451" s="15">
        <v>9.6</v>
      </c>
      <c r="Q451" s="15">
        <v>50.375</v>
      </c>
      <c r="R451" s="15">
        <v>40.384999999999998</v>
      </c>
      <c r="S451" s="12">
        <v>18.984999999999999</v>
      </c>
      <c r="U451" s="15">
        <v>17.71</v>
      </c>
      <c r="V451" s="15">
        <v>6.835</v>
      </c>
      <c r="W451" s="12">
        <v>0.64817499999999995</v>
      </c>
      <c r="X451" s="15"/>
      <c r="Y451" s="15">
        <v>58.647500000000001</v>
      </c>
      <c r="Z451" s="12">
        <v>0.455718278447381</v>
      </c>
      <c r="AA451" s="16">
        <v>2.75</v>
      </c>
      <c r="AB451" s="16">
        <f>AA451*33.334</f>
        <v>91.668500000000009</v>
      </c>
      <c r="AC451" s="16">
        <v>0</v>
      </c>
      <c r="AD451" s="16">
        <f>AC451*33.334</f>
        <v>0</v>
      </c>
      <c r="AE451" s="1">
        <v>1</v>
      </c>
    </row>
    <row r="452" spans="1:31" x14ac:dyDescent="0.2">
      <c r="A452" s="1">
        <v>451</v>
      </c>
      <c r="B452" s="1">
        <v>2014</v>
      </c>
      <c r="C452" s="1" t="s">
        <v>31</v>
      </c>
      <c r="D452" s="1" t="s">
        <v>916</v>
      </c>
      <c r="E452" s="1" t="s">
        <v>457</v>
      </c>
      <c r="F452" s="1" t="s">
        <v>83</v>
      </c>
      <c r="G452" s="1">
        <v>120</v>
      </c>
      <c r="H452" s="1" t="s">
        <v>34</v>
      </c>
      <c r="I452" s="12">
        <v>6.5</v>
      </c>
      <c r="J452" s="12">
        <v>18.600000000000001</v>
      </c>
      <c r="L452" s="16">
        <v>3012</v>
      </c>
      <c r="M452" s="1" t="s">
        <v>34</v>
      </c>
      <c r="N452" s="16">
        <v>19657</v>
      </c>
      <c r="O452" s="15">
        <v>32.200000000000003</v>
      </c>
      <c r="P452" s="15">
        <v>6.94</v>
      </c>
      <c r="Q452" s="15">
        <v>47.5</v>
      </c>
      <c r="R452" s="15">
        <v>54.8</v>
      </c>
      <c r="T452" s="15"/>
      <c r="U452" s="15">
        <v>20.3</v>
      </c>
      <c r="V452" s="15">
        <v>9.1</v>
      </c>
      <c r="W452" s="12">
        <v>0.7</v>
      </c>
      <c r="X452" s="15"/>
      <c r="Y452" s="15">
        <v>67.400000000000006</v>
      </c>
      <c r="Z452" s="12">
        <v>1.7</v>
      </c>
      <c r="AA452" s="1">
        <v>2</v>
      </c>
      <c r="AB452" s="16">
        <f>AA452*10</f>
        <v>20</v>
      </c>
      <c r="AD452" s="16"/>
      <c r="AE452" s="1">
        <v>1</v>
      </c>
    </row>
    <row r="453" spans="1:31" x14ac:dyDescent="0.2">
      <c r="A453" s="1">
        <v>452</v>
      </c>
      <c r="B453" s="1">
        <v>2008</v>
      </c>
      <c r="C453" s="1" t="s">
        <v>31</v>
      </c>
      <c r="D453" s="8" t="s">
        <v>78</v>
      </c>
      <c r="E453" s="8" t="s">
        <v>79</v>
      </c>
      <c r="F453" s="8" t="s">
        <v>83</v>
      </c>
      <c r="G453" s="8"/>
      <c r="H453" s="8"/>
      <c r="I453" s="12">
        <v>4.2</v>
      </c>
      <c r="J453" s="7">
        <v>12.000000000000002</v>
      </c>
      <c r="K453" s="13"/>
      <c r="L453" s="14">
        <v>3014</v>
      </c>
      <c r="M453" s="14"/>
      <c r="N453" s="14">
        <v>12710</v>
      </c>
      <c r="O453" s="13">
        <v>30.1</v>
      </c>
      <c r="P453" s="13">
        <v>10.4</v>
      </c>
      <c r="Q453" s="13">
        <v>41.8</v>
      </c>
      <c r="R453" s="13">
        <v>40.4</v>
      </c>
      <c r="S453" s="13"/>
      <c r="T453" s="13">
        <v>20</v>
      </c>
      <c r="U453" s="13">
        <v>26</v>
      </c>
      <c r="V453" s="15"/>
      <c r="X453" s="15"/>
      <c r="Y453" s="13">
        <v>66.5</v>
      </c>
      <c r="Z453" s="7">
        <v>0.71</v>
      </c>
      <c r="AB453" s="16"/>
      <c r="AD453" s="16"/>
      <c r="AE453" s="1">
        <v>1</v>
      </c>
    </row>
    <row r="454" spans="1:31" x14ac:dyDescent="0.2">
      <c r="A454" s="1">
        <v>453</v>
      </c>
      <c r="B454" s="1">
        <v>2018</v>
      </c>
      <c r="C454" s="1" t="s">
        <v>88</v>
      </c>
      <c r="D454" s="8" t="s">
        <v>1023</v>
      </c>
      <c r="E454" s="8" t="s">
        <v>677</v>
      </c>
      <c r="F454" s="1" t="s">
        <v>83</v>
      </c>
      <c r="I454" s="12">
        <v>3.37361478</v>
      </c>
      <c r="J454" s="7">
        <v>9.6388993999999997</v>
      </c>
      <c r="K454" s="1" t="s">
        <v>34</v>
      </c>
      <c r="L454" s="14">
        <v>3015</v>
      </c>
      <c r="N454" s="14">
        <v>10176.3079</v>
      </c>
      <c r="O454" s="13">
        <v>31.907499999999999</v>
      </c>
      <c r="P454" s="13">
        <v>11.63</v>
      </c>
      <c r="Q454" s="13">
        <v>48.814999999999998</v>
      </c>
      <c r="R454" s="13">
        <v>45.32</v>
      </c>
      <c r="S454" s="7">
        <v>17.217500000000001</v>
      </c>
      <c r="U454" s="13">
        <v>19.22</v>
      </c>
      <c r="V454" s="13">
        <v>3.6175000000000002</v>
      </c>
      <c r="W454" s="7">
        <v>0.65359999999999996</v>
      </c>
      <c r="X454" s="13"/>
      <c r="Y454" s="13">
        <v>59.61</v>
      </c>
      <c r="Z454" s="7">
        <v>0.74671392999999997</v>
      </c>
      <c r="AA454" s="14">
        <v>1.75</v>
      </c>
      <c r="AB454" s="16">
        <f>AA454*33.334</f>
        <v>58.334500000000006</v>
      </c>
      <c r="AD454" s="16"/>
      <c r="AE454" s="1">
        <v>1</v>
      </c>
    </row>
    <row r="455" spans="1:31" x14ac:dyDescent="0.2">
      <c r="A455" s="1">
        <v>454</v>
      </c>
      <c r="B455" s="1">
        <v>2016</v>
      </c>
      <c r="C455" s="1" t="s">
        <v>88</v>
      </c>
      <c r="D455" s="1" t="s">
        <v>1023</v>
      </c>
      <c r="E455" s="8" t="s">
        <v>337</v>
      </c>
      <c r="F455" s="1" t="s">
        <v>83</v>
      </c>
      <c r="I455" s="12">
        <v>5.2397453299999999</v>
      </c>
      <c r="J455" s="3">
        <v>14.970700900000001</v>
      </c>
      <c r="K455" s="1" t="s">
        <v>34</v>
      </c>
      <c r="L455" s="5">
        <v>3015</v>
      </c>
      <c r="N455" s="5">
        <v>15821.3022</v>
      </c>
      <c r="O455" s="6">
        <v>30.147768899999999</v>
      </c>
      <c r="P455" s="6">
        <v>8.1999999999999993</v>
      </c>
      <c r="Q455" s="6">
        <v>57.4</v>
      </c>
      <c r="R455" s="15">
        <v>54.9</v>
      </c>
      <c r="S455" s="6">
        <v>17.899999999999999</v>
      </c>
      <c r="T455" s="6"/>
      <c r="U455" s="6">
        <v>12.234999999999999</v>
      </c>
      <c r="V455" s="6">
        <v>11.2475</v>
      </c>
      <c r="W455" s="3">
        <v>0.62122500000000003</v>
      </c>
      <c r="X455" s="6"/>
      <c r="Y455" s="15">
        <v>60.91</v>
      </c>
      <c r="Z455" s="3">
        <v>1.6007877699999999</v>
      </c>
      <c r="AA455" s="6">
        <v>3.5</v>
      </c>
      <c r="AB455" s="16">
        <f>AA455*10</f>
        <v>35</v>
      </c>
      <c r="AC455" s="6">
        <v>1</v>
      </c>
      <c r="AD455" s="16">
        <f>AC455*10</f>
        <v>10</v>
      </c>
      <c r="AE455" s="1">
        <v>1</v>
      </c>
    </row>
    <row r="456" spans="1:31" x14ac:dyDescent="0.2">
      <c r="A456" s="1">
        <v>455</v>
      </c>
      <c r="B456" s="1">
        <v>2015</v>
      </c>
      <c r="C456" s="8" t="s">
        <v>96</v>
      </c>
      <c r="D456" s="8" t="s">
        <v>874</v>
      </c>
      <c r="E456" s="8" t="s">
        <v>518</v>
      </c>
      <c r="F456" s="1" t="s">
        <v>83</v>
      </c>
      <c r="I456" s="12">
        <v>4.5</v>
      </c>
      <c r="J456" s="7">
        <v>12.857142857142858</v>
      </c>
      <c r="K456" s="1" t="s">
        <v>34</v>
      </c>
      <c r="L456" s="14">
        <v>3017</v>
      </c>
      <c r="N456" s="14">
        <v>13585</v>
      </c>
      <c r="O456" s="13">
        <v>29</v>
      </c>
      <c r="P456" s="13">
        <v>7.7</v>
      </c>
      <c r="Q456" s="13">
        <v>57.8</v>
      </c>
      <c r="R456" s="13">
        <v>55.4</v>
      </c>
      <c r="S456" s="8"/>
      <c r="T456" s="15" t="s">
        <v>89</v>
      </c>
      <c r="U456" s="13">
        <v>5.7</v>
      </c>
      <c r="V456" s="13">
        <v>13.7</v>
      </c>
      <c r="W456" s="7">
        <v>0.66</v>
      </c>
      <c r="X456" s="13"/>
      <c r="Y456" s="13">
        <v>61.1</v>
      </c>
      <c r="Z456" s="7">
        <v>1.44</v>
      </c>
      <c r="AA456" s="13">
        <v>1</v>
      </c>
      <c r="AB456" s="16">
        <f>AA456*10</f>
        <v>10</v>
      </c>
      <c r="AC456" s="13">
        <v>1</v>
      </c>
      <c r="AD456" s="16">
        <f>AC456*10</f>
        <v>10</v>
      </c>
      <c r="AE456" s="1">
        <v>0</v>
      </c>
    </row>
    <row r="457" spans="1:31" x14ac:dyDescent="0.2">
      <c r="A457" s="1">
        <v>456</v>
      </c>
      <c r="B457" s="1">
        <v>2017</v>
      </c>
      <c r="C457" s="1" t="s">
        <v>31</v>
      </c>
      <c r="D457" s="1" t="s">
        <v>916</v>
      </c>
      <c r="E457" s="8" t="s">
        <v>595</v>
      </c>
      <c r="F457" s="1" t="s">
        <v>32</v>
      </c>
      <c r="G457" s="1">
        <v>130</v>
      </c>
      <c r="H457" s="1" t="s">
        <v>34</v>
      </c>
      <c r="I457" s="12">
        <v>9.01</v>
      </c>
      <c r="J457" s="3">
        <v>25.74</v>
      </c>
      <c r="L457" s="5">
        <v>3018</v>
      </c>
      <c r="N457" s="5">
        <v>27192.220300000001</v>
      </c>
      <c r="O457" s="6">
        <v>29.221648800000001</v>
      </c>
      <c r="P457" s="6">
        <v>7.8274999999999997</v>
      </c>
      <c r="Q457" s="6">
        <v>46.5</v>
      </c>
      <c r="R457" s="6">
        <v>47.02</v>
      </c>
      <c r="S457" s="3"/>
      <c r="T457" s="6">
        <v>29</v>
      </c>
      <c r="U457" s="6">
        <v>24.5425</v>
      </c>
      <c r="V457" s="6">
        <v>4.2</v>
      </c>
      <c r="W457" s="3">
        <v>0.72248584999999987</v>
      </c>
      <c r="X457" s="6"/>
      <c r="Y457" s="6">
        <v>67.487499999999997</v>
      </c>
      <c r="Z457" s="3">
        <v>1.9693648699999999</v>
      </c>
      <c r="AB457" s="16"/>
      <c r="AD457" s="16"/>
      <c r="AE457" s="1">
        <v>1</v>
      </c>
    </row>
    <row r="458" spans="1:31" x14ac:dyDescent="0.2">
      <c r="A458" s="1">
        <v>457</v>
      </c>
      <c r="B458" s="1">
        <v>2008</v>
      </c>
      <c r="C458" s="1" t="s">
        <v>31</v>
      </c>
      <c r="D458" s="1" t="s">
        <v>805</v>
      </c>
      <c r="E458" s="8" t="s">
        <v>50</v>
      </c>
      <c r="F458" s="8" t="s">
        <v>83</v>
      </c>
      <c r="G458" s="8"/>
      <c r="H458" s="8"/>
      <c r="I458" s="12">
        <v>4.0999999999999996</v>
      </c>
      <c r="J458" s="7">
        <v>11.714285714285714</v>
      </c>
      <c r="K458" s="13"/>
      <c r="L458" s="14">
        <v>3019</v>
      </c>
      <c r="M458" s="14"/>
      <c r="N458" s="14">
        <v>12455</v>
      </c>
      <c r="O458" s="13">
        <v>33.4</v>
      </c>
      <c r="P458" s="13">
        <v>10</v>
      </c>
      <c r="Q458" s="13">
        <v>43.8</v>
      </c>
      <c r="R458" s="13">
        <v>42.4</v>
      </c>
      <c r="S458" s="13"/>
      <c r="T458" s="13">
        <v>22.9</v>
      </c>
      <c r="U458" s="13">
        <v>25</v>
      </c>
      <c r="V458" s="15"/>
      <c r="X458" s="15"/>
      <c r="Y458" s="13">
        <v>66.7</v>
      </c>
      <c r="Z458" s="7">
        <v>0.76</v>
      </c>
      <c r="AB458" s="16"/>
      <c r="AD458" s="16"/>
      <c r="AE458" s="1">
        <v>1</v>
      </c>
    </row>
    <row r="459" spans="1:31" x14ac:dyDescent="0.2">
      <c r="A459" s="1">
        <v>458</v>
      </c>
      <c r="B459" s="1">
        <v>2018</v>
      </c>
      <c r="C459" s="1" t="s">
        <v>88</v>
      </c>
      <c r="D459" s="28" t="s">
        <v>914</v>
      </c>
      <c r="E459" s="8" t="s">
        <v>639</v>
      </c>
      <c r="F459" s="1" t="s">
        <v>83</v>
      </c>
      <c r="I459" s="12">
        <v>3.42223743</v>
      </c>
      <c r="J459" s="7">
        <v>9.7778212</v>
      </c>
      <c r="K459" s="1" t="s">
        <v>34</v>
      </c>
      <c r="L459" s="14">
        <v>3019.3</v>
      </c>
      <c r="N459" s="14">
        <v>10261.186900000001</v>
      </c>
      <c r="O459" s="13">
        <v>27.912500000000001</v>
      </c>
      <c r="P459" s="13">
        <v>10.407500000000001</v>
      </c>
      <c r="Q459" s="13">
        <v>49.377499999999998</v>
      </c>
      <c r="R459" s="13">
        <v>47.55</v>
      </c>
      <c r="S459" s="7">
        <v>15.6325</v>
      </c>
      <c r="U459" s="13">
        <v>14.725</v>
      </c>
      <c r="V459" s="13">
        <v>10.4125</v>
      </c>
      <c r="W459" s="7">
        <v>0.66159999999999997</v>
      </c>
      <c r="X459" s="13"/>
      <c r="Y459" s="13">
        <v>59.97</v>
      </c>
      <c r="Z459" s="7">
        <v>0.81149780999999999</v>
      </c>
      <c r="AA459" s="14">
        <v>0.75</v>
      </c>
      <c r="AB459" s="16">
        <f>AA459*33.334</f>
        <v>25.000500000000002</v>
      </c>
      <c r="AD459" s="16"/>
      <c r="AE459" s="1">
        <v>1</v>
      </c>
    </row>
    <row r="460" spans="1:31" x14ac:dyDescent="0.2">
      <c r="A460" s="1">
        <v>459</v>
      </c>
      <c r="B460" s="1">
        <v>2010</v>
      </c>
      <c r="C460" s="1" t="s">
        <v>88</v>
      </c>
      <c r="D460" s="8" t="s">
        <v>1023</v>
      </c>
      <c r="E460" s="8">
        <v>7401</v>
      </c>
      <c r="F460" s="1" t="s">
        <v>32</v>
      </c>
      <c r="I460" s="12">
        <v>7.51</v>
      </c>
      <c r="J460" s="7">
        <v>21.4</v>
      </c>
      <c r="K460" s="1" t="s">
        <v>34</v>
      </c>
      <c r="L460" s="14">
        <v>3021</v>
      </c>
      <c r="M460" s="14"/>
      <c r="N460" s="14">
        <v>22685</v>
      </c>
      <c r="O460" s="13">
        <v>27.8</v>
      </c>
      <c r="P460" s="13">
        <v>9</v>
      </c>
      <c r="Q460" s="13">
        <v>52.6</v>
      </c>
      <c r="R460" s="13">
        <v>58</v>
      </c>
      <c r="S460" s="13"/>
      <c r="T460" s="13"/>
      <c r="U460" s="13">
        <v>34.6</v>
      </c>
      <c r="V460" s="13">
        <v>1.9</v>
      </c>
      <c r="W460" s="7"/>
      <c r="X460" s="13"/>
      <c r="Y460" s="13">
        <v>59.6</v>
      </c>
      <c r="Z460" s="7">
        <v>2.2799999999999998</v>
      </c>
      <c r="AA460" s="13">
        <v>1.75</v>
      </c>
      <c r="AB460" s="16">
        <f>AA460*10</f>
        <v>17.5</v>
      </c>
      <c r="AC460" s="13">
        <v>1</v>
      </c>
      <c r="AD460" s="16">
        <f>AC460*10</f>
        <v>10</v>
      </c>
      <c r="AE460" s="1">
        <v>1</v>
      </c>
    </row>
    <row r="461" spans="1:31" x14ac:dyDescent="0.2">
      <c r="A461" s="1">
        <v>460</v>
      </c>
      <c r="B461" s="1">
        <v>2018</v>
      </c>
      <c r="C461" s="1" t="s">
        <v>88</v>
      </c>
      <c r="D461" s="1" t="s">
        <v>246</v>
      </c>
      <c r="E461" s="1" t="s">
        <v>690</v>
      </c>
      <c r="F461" s="1" t="s">
        <v>32</v>
      </c>
      <c r="I461" s="12">
        <v>6.2256517507041602</v>
      </c>
      <c r="J461" s="3">
        <v>17.7875764305833</v>
      </c>
      <c r="L461" s="5">
        <v>3021.25</v>
      </c>
      <c r="N461" s="5">
        <v>18857.2031591452</v>
      </c>
      <c r="O461" s="6">
        <v>35.032138439611501</v>
      </c>
      <c r="P461" s="18">
        <v>8.83</v>
      </c>
      <c r="Q461" s="6">
        <v>54.737499999999997</v>
      </c>
      <c r="R461" s="6">
        <v>52.92</v>
      </c>
      <c r="S461" s="3">
        <v>14.445</v>
      </c>
      <c r="U461" s="6">
        <v>9.9450000000000003</v>
      </c>
      <c r="V461" s="6">
        <v>15.33</v>
      </c>
      <c r="W461" s="3">
        <v>0.63805000000000001</v>
      </c>
      <c r="X461" s="6"/>
      <c r="Y461" s="6">
        <v>60.73</v>
      </c>
      <c r="Z461" s="3">
        <v>0.81420775965741699</v>
      </c>
      <c r="AA461" s="5">
        <v>3</v>
      </c>
      <c r="AB461" s="16">
        <f>AA461*33.334</f>
        <v>100.00200000000001</v>
      </c>
      <c r="AC461" s="5">
        <v>1.75</v>
      </c>
      <c r="AD461" s="16">
        <f>AC461*33.334</f>
        <v>58.334500000000006</v>
      </c>
      <c r="AE461" s="1">
        <v>1</v>
      </c>
    </row>
    <row r="462" spans="1:31" x14ac:dyDescent="0.2">
      <c r="A462" s="1">
        <v>461</v>
      </c>
      <c r="B462" s="1">
        <v>2021</v>
      </c>
      <c r="C462" s="1" t="s">
        <v>88</v>
      </c>
      <c r="D462" s="1" t="s">
        <v>838</v>
      </c>
      <c r="E462" s="1" t="s">
        <v>842</v>
      </c>
      <c r="F462" s="1" t="s">
        <v>83</v>
      </c>
      <c r="H462" s="1" t="s">
        <v>89</v>
      </c>
      <c r="I462" s="12">
        <v>6.6590871536914999</v>
      </c>
      <c r="J462" s="12">
        <v>19.025963296</v>
      </c>
      <c r="K462" s="1" t="s">
        <v>89</v>
      </c>
      <c r="L462" s="16">
        <v>3021.25</v>
      </c>
      <c r="N462" s="16">
        <v>20101.769492474999</v>
      </c>
      <c r="O462" s="15">
        <v>29.549737100000002</v>
      </c>
      <c r="P462" s="15">
        <v>6.7925000000000004</v>
      </c>
      <c r="Q462" s="15">
        <v>59.087499999999999</v>
      </c>
      <c r="R462" s="15">
        <v>59.78</v>
      </c>
      <c r="U462" s="15">
        <v>8.8249999999999993</v>
      </c>
      <c r="V462" s="15">
        <v>9.8874999999999993</v>
      </c>
      <c r="W462" s="12">
        <v>0.65515000000000001</v>
      </c>
      <c r="X462" s="15"/>
      <c r="Y462" s="15">
        <v>62.2</v>
      </c>
      <c r="Z462" s="12"/>
      <c r="AA462" s="15">
        <v>1.75</v>
      </c>
      <c r="AB462" s="16">
        <f>AA462*33.334</f>
        <v>58.334500000000006</v>
      </c>
      <c r="AC462" s="1">
        <v>0.75</v>
      </c>
      <c r="AD462" s="16">
        <f>AC462*33.334</f>
        <v>25.000500000000002</v>
      </c>
      <c r="AE462" s="1">
        <v>1</v>
      </c>
    </row>
    <row r="463" spans="1:31" x14ac:dyDescent="0.2">
      <c r="A463" s="1">
        <v>462</v>
      </c>
      <c r="B463" s="1">
        <v>2018</v>
      </c>
      <c r="C463" s="1" t="s">
        <v>31</v>
      </c>
      <c r="D463" s="1" t="s">
        <v>71</v>
      </c>
      <c r="E463" s="1" t="s">
        <v>673</v>
      </c>
      <c r="F463" s="1" t="s">
        <v>32</v>
      </c>
      <c r="G463" s="1">
        <v>117</v>
      </c>
      <c r="H463" s="1" t="s">
        <v>34</v>
      </c>
      <c r="I463" s="12">
        <v>8.9</v>
      </c>
      <c r="J463" s="3">
        <v>25.3</v>
      </c>
      <c r="L463" s="5">
        <v>3024</v>
      </c>
      <c r="M463" s="1" t="s">
        <v>34</v>
      </c>
      <c r="N463" s="5">
        <v>26813</v>
      </c>
      <c r="O463" s="6">
        <v>40.5</v>
      </c>
      <c r="P463" s="18">
        <v>7.54</v>
      </c>
      <c r="Q463" s="6">
        <v>40.737499999999997</v>
      </c>
      <c r="R463" s="6">
        <v>55.16</v>
      </c>
      <c r="S463" s="3"/>
      <c r="T463" s="6">
        <v>25.647500000000001</v>
      </c>
      <c r="U463" s="6">
        <v>35.99</v>
      </c>
      <c r="V463" s="6">
        <v>5.2525000000000004</v>
      </c>
      <c r="W463" s="3">
        <v>0.72687500000000005</v>
      </c>
      <c r="X463" s="6"/>
      <c r="Y463" s="6">
        <v>70.17</v>
      </c>
      <c r="Z463" s="3">
        <v>1.99</v>
      </c>
      <c r="AB463" s="16"/>
      <c r="AD463" s="16"/>
      <c r="AE463" s="1">
        <v>1</v>
      </c>
    </row>
    <row r="464" spans="1:31" x14ac:dyDescent="0.2">
      <c r="A464" s="1">
        <v>463</v>
      </c>
      <c r="B464" s="1">
        <v>2015</v>
      </c>
      <c r="C464" s="8" t="s">
        <v>88</v>
      </c>
      <c r="D464" s="8" t="s">
        <v>874</v>
      </c>
      <c r="E464" s="8" t="s">
        <v>509</v>
      </c>
      <c r="F464" s="1" t="s">
        <v>32</v>
      </c>
      <c r="I464" s="12">
        <v>7.12</v>
      </c>
      <c r="J464" s="7">
        <v>20.342857142857145</v>
      </c>
      <c r="L464" s="14">
        <v>3025</v>
      </c>
      <c r="N464" s="14">
        <v>21555</v>
      </c>
      <c r="O464" s="13">
        <v>28.1</v>
      </c>
      <c r="P464" s="13">
        <v>8</v>
      </c>
      <c r="Q464" s="13">
        <v>51.6</v>
      </c>
      <c r="R464" s="13">
        <v>51.3</v>
      </c>
      <c r="S464" s="8"/>
      <c r="T464" s="15" t="s">
        <v>89</v>
      </c>
      <c r="U464" s="13">
        <v>16</v>
      </c>
      <c r="V464" s="13">
        <v>12</v>
      </c>
      <c r="W464" s="7">
        <v>0.63</v>
      </c>
      <c r="X464" s="13"/>
      <c r="Y464" s="13">
        <v>60.5</v>
      </c>
      <c r="Z464" s="7">
        <v>1.89</v>
      </c>
      <c r="AA464" s="13">
        <v>4.5999999999999996</v>
      </c>
      <c r="AB464" s="16">
        <f>AA464*10</f>
        <v>46</v>
      </c>
      <c r="AC464" s="13">
        <v>1</v>
      </c>
      <c r="AD464" s="16">
        <f>AC464*10</f>
        <v>10</v>
      </c>
      <c r="AE464" s="1">
        <v>1</v>
      </c>
    </row>
    <row r="465" spans="1:31" x14ac:dyDescent="0.2">
      <c r="A465" s="1">
        <v>464</v>
      </c>
      <c r="B465" s="1">
        <v>2014</v>
      </c>
      <c r="C465" s="1" t="s">
        <v>31</v>
      </c>
      <c r="D465" s="1" t="s">
        <v>916</v>
      </c>
      <c r="E465" s="1" t="s">
        <v>445</v>
      </c>
      <c r="F465" s="1" t="s">
        <v>83</v>
      </c>
      <c r="G465" s="1">
        <v>118</v>
      </c>
      <c r="I465" s="12">
        <v>5.05</v>
      </c>
      <c r="J465" s="12">
        <v>14.4</v>
      </c>
      <c r="L465" s="16">
        <v>3030</v>
      </c>
      <c r="N465" s="16">
        <v>15300</v>
      </c>
      <c r="O465" s="15">
        <v>32.6</v>
      </c>
      <c r="P465" s="15">
        <v>7.47</v>
      </c>
      <c r="Q465" s="15">
        <v>50.8</v>
      </c>
      <c r="R465" s="15">
        <v>55.7</v>
      </c>
      <c r="T465" s="15"/>
      <c r="U465" s="15">
        <v>22.3</v>
      </c>
      <c r="V465" s="15">
        <v>4.3</v>
      </c>
      <c r="W465" s="12">
        <v>0.68</v>
      </c>
      <c r="X465" s="15"/>
      <c r="Y465" s="15">
        <v>66.2</v>
      </c>
      <c r="Z465" s="12">
        <v>1.43</v>
      </c>
      <c r="AA465" s="1">
        <v>7</v>
      </c>
      <c r="AB465" s="16">
        <f>AA465*10</f>
        <v>70</v>
      </c>
      <c r="AD465" s="16"/>
      <c r="AE465" s="1">
        <v>1</v>
      </c>
    </row>
    <row r="466" spans="1:31" x14ac:dyDescent="0.2">
      <c r="A466" s="1">
        <v>465</v>
      </c>
      <c r="B466" s="1">
        <v>2016</v>
      </c>
      <c r="C466" s="1" t="s">
        <v>96</v>
      </c>
      <c r="D466" s="8" t="s">
        <v>332</v>
      </c>
      <c r="E466" s="8" t="s">
        <v>587</v>
      </c>
      <c r="F466" s="1" t="s">
        <v>32</v>
      </c>
      <c r="I466" s="12">
        <v>7.1749999999999998</v>
      </c>
      <c r="J466" s="7">
        <v>29.6</v>
      </c>
      <c r="L466" s="5">
        <v>3030.5</v>
      </c>
      <c r="N466" s="5">
        <v>22154.1</v>
      </c>
      <c r="O466" s="6">
        <v>30.577500000000001</v>
      </c>
      <c r="P466" s="6">
        <v>5.6550000000000002</v>
      </c>
      <c r="Q466" s="6">
        <v>57.195</v>
      </c>
      <c r="R466" s="6">
        <v>52</v>
      </c>
      <c r="S466" s="6"/>
      <c r="T466" s="6">
        <v>37.372500000000002</v>
      </c>
      <c r="U466" s="6">
        <v>14.99</v>
      </c>
      <c r="V466" s="6">
        <v>8.6824999999999992</v>
      </c>
      <c r="W466" s="3">
        <v>0.62</v>
      </c>
      <c r="X466" s="6"/>
      <c r="Y466" s="6">
        <v>60.177500000000002</v>
      </c>
      <c r="Z466" s="3">
        <v>2.0979884100000001</v>
      </c>
      <c r="AA466" s="6">
        <v>2.25</v>
      </c>
      <c r="AB466" s="16">
        <f>AA466*10</f>
        <v>22.5</v>
      </c>
      <c r="AC466" s="6">
        <v>2.5</v>
      </c>
      <c r="AD466" s="16">
        <f>AC466*10</f>
        <v>25</v>
      </c>
      <c r="AE466" s="1">
        <v>0</v>
      </c>
    </row>
    <row r="467" spans="1:31" x14ac:dyDescent="0.2">
      <c r="A467" s="1">
        <v>466</v>
      </c>
      <c r="B467" s="1">
        <v>2018</v>
      </c>
      <c r="C467" s="1" t="s">
        <v>88</v>
      </c>
      <c r="D467" s="28" t="s">
        <v>914</v>
      </c>
      <c r="E467" s="8" t="s">
        <v>685</v>
      </c>
      <c r="F467" s="1" t="s">
        <v>83</v>
      </c>
      <c r="I467" s="12">
        <v>3.5399098800000002</v>
      </c>
      <c r="J467" s="7">
        <v>10.1140282</v>
      </c>
      <c r="K467" s="1" t="s">
        <v>34</v>
      </c>
      <c r="L467" s="14">
        <v>3033.5</v>
      </c>
      <c r="N467" s="14">
        <v>10813.176799999999</v>
      </c>
      <c r="O467" s="13">
        <v>34.057499999999997</v>
      </c>
      <c r="P467" s="13">
        <v>8.8925000000000001</v>
      </c>
      <c r="Q467" s="13">
        <v>48.914999999999999</v>
      </c>
      <c r="R467" s="13">
        <v>41.792499999999997</v>
      </c>
      <c r="S467" s="7">
        <v>17.022500000000001</v>
      </c>
      <c r="U467" s="13">
        <v>16.309999999999999</v>
      </c>
      <c r="V467" s="13">
        <v>9.2825000000000006</v>
      </c>
      <c r="W467" s="7">
        <v>0.67269999999999996</v>
      </c>
      <c r="X467" s="13"/>
      <c r="Y467" s="13">
        <v>59.19</v>
      </c>
      <c r="Z467" s="7">
        <v>0.71302308999999997</v>
      </c>
      <c r="AA467" s="14">
        <v>1.5</v>
      </c>
      <c r="AB467" s="16">
        <f>AA467*33.334</f>
        <v>50.001000000000005</v>
      </c>
      <c r="AD467" s="16"/>
      <c r="AE467" s="1">
        <v>1</v>
      </c>
    </row>
    <row r="468" spans="1:31" ht="17" x14ac:dyDescent="0.2">
      <c r="A468" s="1">
        <v>467</v>
      </c>
      <c r="B468" s="1">
        <v>2021</v>
      </c>
      <c r="C468" s="1" t="s">
        <v>88</v>
      </c>
      <c r="D468" s="9" t="s">
        <v>747</v>
      </c>
      <c r="E468" s="1" t="s">
        <v>748</v>
      </c>
      <c r="F468" s="1" t="s">
        <v>83</v>
      </c>
      <c r="H468" s="1" t="s">
        <v>89</v>
      </c>
      <c r="I468" s="12">
        <v>4.9453610084270005</v>
      </c>
      <c r="J468" s="12">
        <v>14.129602881</v>
      </c>
      <c r="K468" s="1" t="s">
        <v>89</v>
      </c>
      <c r="L468" s="16">
        <v>3033.5</v>
      </c>
      <c r="N468" s="16">
        <v>15025.087394339</v>
      </c>
      <c r="O468" s="15">
        <v>30.852583900000003</v>
      </c>
      <c r="P468" s="15">
        <v>7.7625000000000002</v>
      </c>
      <c r="Q468" s="15">
        <v>56.627499999999998</v>
      </c>
      <c r="R468" s="15">
        <v>54.827500000000001</v>
      </c>
      <c r="U468" s="15">
        <v>7.8674999999999997</v>
      </c>
      <c r="V468" s="15">
        <v>12.365</v>
      </c>
      <c r="W468" s="12">
        <v>0.66385000000000005</v>
      </c>
      <c r="X468" s="15"/>
      <c r="Y468" s="15">
        <v>61.1875</v>
      </c>
      <c r="Z468" s="12"/>
      <c r="AA468" s="15">
        <v>1.375</v>
      </c>
      <c r="AB468" s="16">
        <f>AA468*33.334</f>
        <v>45.834250000000004</v>
      </c>
      <c r="AC468" s="1">
        <v>0</v>
      </c>
      <c r="AD468" s="16">
        <f>AC468*33.334</f>
        <v>0</v>
      </c>
      <c r="AE468" s="1">
        <v>1</v>
      </c>
    </row>
    <row r="469" spans="1:31" x14ac:dyDescent="0.2">
      <c r="A469" s="1">
        <v>468</v>
      </c>
      <c r="B469" s="1">
        <v>2009</v>
      </c>
      <c r="C469" s="1" t="s">
        <v>31</v>
      </c>
      <c r="D469" s="1" t="s">
        <v>916</v>
      </c>
      <c r="E469" s="8" t="s">
        <v>142</v>
      </c>
      <c r="F469" s="1" t="s">
        <v>83</v>
      </c>
      <c r="I469" s="12">
        <v>8.6199999999999992</v>
      </c>
      <c r="J469" s="7">
        <v>24.6</v>
      </c>
      <c r="L469" s="14">
        <v>3034</v>
      </c>
      <c r="M469" s="14"/>
      <c r="N469" s="14">
        <v>26194</v>
      </c>
      <c r="O469" s="13">
        <v>35.9</v>
      </c>
      <c r="P469" s="13">
        <v>8.0500000000000007</v>
      </c>
      <c r="Q469" s="13">
        <v>40.799999999999997</v>
      </c>
      <c r="R469" s="13">
        <v>43.4</v>
      </c>
      <c r="S469" s="8"/>
      <c r="T469" s="13">
        <v>25</v>
      </c>
      <c r="U469" s="13">
        <v>36.1</v>
      </c>
      <c r="V469" s="15"/>
      <c r="W469" s="7" t="s">
        <v>89</v>
      </c>
      <c r="X469" s="13"/>
      <c r="Y469" s="13">
        <v>67.099999999999994</v>
      </c>
      <c r="Z469" s="7">
        <v>1.52</v>
      </c>
      <c r="AB469" s="16"/>
      <c r="AD469" s="16"/>
      <c r="AE469" s="1">
        <v>1</v>
      </c>
    </row>
    <row r="470" spans="1:31" x14ac:dyDescent="0.2">
      <c r="A470" s="1">
        <v>469</v>
      </c>
      <c r="B470" s="1">
        <v>2020</v>
      </c>
      <c r="C470" s="1" t="s">
        <v>31</v>
      </c>
      <c r="D470" s="1" t="s">
        <v>67</v>
      </c>
      <c r="E470" s="1" t="s">
        <v>787</v>
      </c>
      <c r="F470" s="1" t="s">
        <v>32</v>
      </c>
      <c r="G470" s="1">
        <v>125</v>
      </c>
      <c r="H470" s="1" t="s">
        <v>754</v>
      </c>
      <c r="I470" s="12">
        <v>8.2918560420049996</v>
      </c>
      <c r="J470" s="12">
        <v>23.720258941000001</v>
      </c>
      <c r="K470" s="1" t="s">
        <v>754</v>
      </c>
      <c r="L470" s="16">
        <v>3034.158367771</v>
      </c>
      <c r="M470" s="16" t="s">
        <v>754</v>
      </c>
      <c r="N470" s="16">
        <v>18633.649560597001</v>
      </c>
      <c r="O470" s="15">
        <v>43.353499899999996</v>
      </c>
      <c r="P470" s="15">
        <v>8.9075000000000006</v>
      </c>
      <c r="Q470" s="15">
        <v>52.645000000000003</v>
      </c>
      <c r="R470" s="15">
        <v>49.146729622999999</v>
      </c>
      <c r="S470" s="15"/>
      <c r="T470" s="15">
        <v>28.914999999999999</v>
      </c>
      <c r="U470" s="15">
        <v>15.5825</v>
      </c>
      <c r="V470" s="15">
        <v>8.7507304000000001</v>
      </c>
      <c r="W470" s="12">
        <v>0.65007429900000002</v>
      </c>
      <c r="X470" s="15"/>
      <c r="Y470" s="15">
        <v>70.034746068999993</v>
      </c>
      <c r="Z470" s="12"/>
      <c r="AA470" s="15">
        <v>0.625</v>
      </c>
      <c r="AB470" s="16">
        <f>AA470*33.334</f>
        <v>20.833750000000002</v>
      </c>
      <c r="AD470" s="16"/>
      <c r="AE470" s="1">
        <v>1</v>
      </c>
    </row>
    <row r="471" spans="1:31" x14ac:dyDescent="0.2">
      <c r="A471" s="1">
        <v>470</v>
      </c>
      <c r="B471" s="1">
        <v>2017</v>
      </c>
      <c r="C471" s="1" t="s">
        <v>88</v>
      </c>
      <c r="D471" s="1" t="s">
        <v>187</v>
      </c>
      <c r="E471" s="1" t="s">
        <v>632</v>
      </c>
      <c r="F471" s="1" t="s">
        <v>32</v>
      </c>
      <c r="H471" s="1" t="s">
        <v>34</v>
      </c>
      <c r="I471" s="12">
        <v>6.43</v>
      </c>
      <c r="J471" s="3">
        <v>18.399999999999999</v>
      </c>
      <c r="L471" s="5">
        <v>3035.5</v>
      </c>
      <c r="M471" s="1" t="s">
        <v>34</v>
      </c>
      <c r="N471" s="5">
        <v>19539</v>
      </c>
      <c r="O471" s="6">
        <v>35.1</v>
      </c>
      <c r="P471" s="6">
        <v>4.7699999999999996</v>
      </c>
      <c r="Q471" s="6">
        <v>53.2575</v>
      </c>
      <c r="R471" s="15">
        <v>43.93</v>
      </c>
      <c r="S471" s="15">
        <v>23.2</v>
      </c>
      <c r="U471" s="6">
        <v>18.75</v>
      </c>
      <c r="V471" s="6">
        <v>13.5</v>
      </c>
      <c r="W471" s="3">
        <v>0.64207499999999995</v>
      </c>
      <c r="X471" s="6"/>
      <c r="Y471" s="15">
        <v>59.032499999999999</v>
      </c>
      <c r="Z471" s="3">
        <v>1.50162401</v>
      </c>
      <c r="AB471" s="16"/>
      <c r="AD471" s="16"/>
      <c r="AE471" s="1">
        <v>1</v>
      </c>
    </row>
    <row r="472" spans="1:31" x14ac:dyDescent="0.2">
      <c r="A472" s="1">
        <v>471</v>
      </c>
      <c r="B472" s="1">
        <v>2009</v>
      </c>
      <c r="C472" s="1" t="s">
        <v>31</v>
      </c>
      <c r="D472" s="8" t="s">
        <v>67</v>
      </c>
      <c r="E472" s="8" t="s">
        <v>133</v>
      </c>
      <c r="F472" s="1" t="s">
        <v>32</v>
      </c>
      <c r="I472" s="12">
        <v>6.1</v>
      </c>
      <c r="J472" s="7">
        <v>17.428571428571399</v>
      </c>
      <c r="L472" s="14">
        <v>3037</v>
      </c>
      <c r="N472" s="14">
        <v>18557</v>
      </c>
      <c r="O472" s="13">
        <v>30.2</v>
      </c>
      <c r="P472" s="13">
        <v>9.9</v>
      </c>
      <c r="Q472" s="13">
        <v>52.3</v>
      </c>
      <c r="R472" s="13">
        <v>55.5</v>
      </c>
      <c r="S472" s="13"/>
      <c r="T472" s="13" t="s">
        <v>89</v>
      </c>
      <c r="U472" s="13">
        <v>21.2</v>
      </c>
      <c r="V472" s="13">
        <v>8.1</v>
      </c>
      <c r="W472" s="7" t="s">
        <v>89</v>
      </c>
      <c r="X472" s="13"/>
      <c r="Y472" s="13">
        <v>68.099999999999994</v>
      </c>
      <c r="Z472" s="7">
        <v>1.77</v>
      </c>
      <c r="AB472" s="16"/>
      <c r="AD472" s="16"/>
      <c r="AE472" s="1">
        <v>1</v>
      </c>
    </row>
    <row r="473" spans="1:31" x14ac:dyDescent="0.2">
      <c r="A473" s="1">
        <v>472</v>
      </c>
      <c r="B473" s="1">
        <v>2017</v>
      </c>
      <c r="C473" s="1" t="s">
        <v>88</v>
      </c>
      <c r="D473" s="1" t="s">
        <v>187</v>
      </c>
      <c r="E473" s="1" t="s">
        <v>628</v>
      </c>
      <c r="F473" s="1" t="s">
        <v>32</v>
      </c>
      <c r="I473" s="12">
        <v>6.1306593100000004</v>
      </c>
      <c r="J473" s="3">
        <v>17.516169399999999</v>
      </c>
      <c r="L473" s="5">
        <v>3040.75</v>
      </c>
      <c r="M473" s="1" t="s">
        <v>34</v>
      </c>
      <c r="N473" s="5">
        <v>18717</v>
      </c>
      <c r="O473" s="6">
        <v>32.373241</v>
      </c>
      <c r="P473" s="6">
        <v>4.6150000000000002</v>
      </c>
      <c r="Q473" s="6">
        <v>54.357500000000002</v>
      </c>
      <c r="R473" s="15">
        <v>45.272500000000001</v>
      </c>
      <c r="S473" s="15">
        <v>23.1</v>
      </c>
      <c r="U473" s="6">
        <v>16.63</v>
      </c>
      <c r="V473" s="6">
        <v>13.9</v>
      </c>
      <c r="W473" s="3">
        <v>0.64152500000000001</v>
      </c>
      <c r="X473" s="6"/>
      <c r="Y473" s="15">
        <v>59.207500000000003</v>
      </c>
      <c r="Z473" s="3">
        <v>1.5067449399999999</v>
      </c>
      <c r="AB473" s="16"/>
      <c r="AD473" s="16"/>
      <c r="AE473" s="1">
        <v>1</v>
      </c>
    </row>
    <row r="474" spans="1:31" x14ac:dyDescent="0.2">
      <c r="A474" s="1">
        <v>473</v>
      </c>
      <c r="B474" s="1">
        <v>2018</v>
      </c>
      <c r="C474" s="1" t="s">
        <v>88</v>
      </c>
      <c r="D474" s="28" t="s">
        <v>914</v>
      </c>
      <c r="E474" s="8" t="s">
        <v>683</v>
      </c>
      <c r="F474" s="1" t="s">
        <v>83</v>
      </c>
      <c r="I474" s="12">
        <v>3.98955511</v>
      </c>
      <c r="J474" s="7">
        <v>11.3987289</v>
      </c>
      <c r="K474" s="1" t="s">
        <v>34</v>
      </c>
      <c r="L474" s="14">
        <v>3041.5</v>
      </c>
      <c r="N474" s="14">
        <v>12176.812900000001</v>
      </c>
      <c r="O474" s="13">
        <v>36.7575</v>
      </c>
      <c r="P474" s="13">
        <v>9.3550000000000004</v>
      </c>
      <c r="Q474" s="13">
        <v>47.872500000000002</v>
      </c>
      <c r="R474" s="13">
        <v>40.090000000000003</v>
      </c>
      <c r="S474" s="7">
        <v>17.829999999999998</v>
      </c>
      <c r="U474" s="13">
        <v>17.89</v>
      </c>
      <c r="V474" s="13">
        <v>7.2374999999999998</v>
      </c>
      <c r="W474" s="7">
        <v>0.66949999999999998</v>
      </c>
      <c r="X474" s="13"/>
      <c r="Y474" s="13">
        <v>59.2</v>
      </c>
      <c r="Z474" s="7">
        <v>0.76021806000000003</v>
      </c>
      <c r="AA474" s="14">
        <v>1.75</v>
      </c>
      <c r="AB474" s="16">
        <f>AA474*33.334</f>
        <v>58.334500000000006</v>
      </c>
      <c r="AD474" s="16"/>
      <c r="AE474" s="1">
        <v>1</v>
      </c>
    </row>
    <row r="475" spans="1:31" x14ac:dyDescent="0.2">
      <c r="A475" s="1">
        <v>474</v>
      </c>
      <c r="B475" s="1">
        <v>2014</v>
      </c>
      <c r="C475" s="1" t="s">
        <v>31</v>
      </c>
      <c r="D475" s="1" t="s">
        <v>916</v>
      </c>
      <c r="E475" s="1" t="s">
        <v>407</v>
      </c>
      <c r="F475" s="1" t="s">
        <v>83</v>
      </c>
      <c r="G475" s="1">
        <v>115</v>
      </c>
      <c r="I475" s="12">
        <v>4.9000000000000004</v>
      </c>
      <c r="J475" s="12">
        <v>14</v>
      </c>
      <c r="L475" s="16">
        <v>3042</v>
      </c>
      <c r="N475" s="16">
        <v>14905</v>
      </c>
      <c r="O475" s="15">
        <v>34.200000000000003</v>
      </c>
      <c r="P475" s="15">
        <v>8.32</v>
      </c>
      <c r="Q475" s="15">
        <v>43.8</v>
      </c>
      <c r="R475" s="15">
        <v>51.5</v>
      </c>
      <c r="T475" s="15"/>
      <c r="U475" s="15">
        <v>32.299999999999997</v>
      </c>
      <c r="V475" s="15">
        <v>3.6</v>
      </c>
      <c r="W475" s="12">
        <v>0.69</v>
      </c>
      <c r="X475" s="15"/>
      <c r="Y475" s="15">
        <v>67.3</v>
      </c>
      <c r="Z475" s="12">
        <v>1.1000000000000001</v>
      </c>
      <c r="AA475" s="1">
        <v>7</v>
      </c>
      <c r="AB475" s="16">
        <f>AA475*10</f>
        <v>70</v>
      </c>
      <c r="AD475" s="16"/>
      <c r="AE475" s="1">
        <v>1</v>
      </c>
    </row>
    <row r="476" spans="1:31" x14ac:dyDescent="0.2">
      <c r="A476" s="1">
        <v>475</v>
      </c>
      <c r="B476" s="1">
        <v>2021</v>
      </c>
      <c r="C476" s="1" t="s">
        <v>31</v>
      </c>
      <c r="D476" s="1" t="s">
        <v>916</v>
      </c>
      <c r="E476" s="1">
        <v>1024</v>
      </c>
      <c r="F476" s="1" t="s">
        <v>32</v>
      </c>
      <c r="G476" s="1">
        <v>125</v>
      </c>
      <c r="H476" s="1" t="s">
        <v>89</v>
      </c>
      <c r="I476" s="12">
        <v>9.4738027278049994</v>
      </c>
      <c r="J476" s="12">
        <v>27.068007794</v>
      </c>
      <c r="K476" s="1" t="s">
        <v>89</v>
      </c>
      <c r="L476" s="16">
        <v>3043.231738685</v>
      </c>
      <c r="M476" s="16" t="s">
        <v>89</v>
      </c>
      <c r="N476" s="16">
        <v>28660.32863118</v>
      </c>
      <c r="O476" s="15">
        <v>30.345830299999999</v>
      </c>
      <c r="P476" s="15">
        <v>8.4655165199999995</v>
      </c>
      <c r="Q476" s="15">
        <v>45.317456274000001</v>
      </c>
      <c r="R476" s="15">
        <v>54.808880365999997</v>
      </c>
      <c r="T476" s="15">
        <v>27.330061543999999</v>
      </c>
      <c r="U476" s="15">
        <v>31.054892315</v>
      </c>
      <c r="V476" s="15">
        <v>7.6855608279999998</v>
      </c>
      <c r="W476" s="12">
        <v>0.66255076103999999</v>
      </c>
      <c r="X476" s="15"/>
      <c r="Y476" s="15">
        <v>68.101089087000005</v>
      </c>
      <c r="Z476" s="12"/>
      <c r="AA476" s="15">
        <v>0.166797114</v>
      </c>
      <c r="AB476" s="16">
        <f>AA476*33.334</f>
        <v>5.5600149980760003</v>
      </c>
      <c r="AD476" s="16"/>
      <c r="AE476" s="1">
        <v>1</v>
      </c>
    </row>
    <row r="477" spans="1:31" x14ac:dyDescent="0.2">
      <c r="A477" s="1">
        <v>476</v>
      </c>
      <c r="B477" s="1">
        <v>2018</v>
      </c>
      <c r="C477" s="1" t="s">
        <v>31</v>
      </c>
      <c r="D477" s="1" t="s">
        <v>391</v>
      </c>
      <c r="E477" s="1" t="s">
        <v>671</v>
      </c>
      <c r="F477" s="1" t="s">
        <v>32</v>
      </c>
      <c r="G477" s="1">
        <v>117</v>
      </c>
      <c r="H477" s="1" t="s">
        <v>34</v>
      </c>
      <c r="I477" s="12">
        <v>8.6999999999999993</v>
      </c>
      <c r="J477" s="3">
        <v>24.8</v>
      </c>
      <c r="L477" s="5">
        <v>3044.25</v>
      </c>
      <c r="M477" s="1" t="s">
        <v>34</v>
      </c>
      <c r="N477" s="5">
        <v>26327</v>
      </c>
      <c r="O477" s="6">
        <v>38</v>
      </c>
      <c r="P477" s="18">
        <v>7.9</v>
      </c>
      <c r="Q477" s="6">
        <v>39.172499999999999</v>
      </c>
      <c r="R477" s="6">
        <v>55.397500000000001</v>
      </c>
      <c r="S477" s="3"/>
      <c r="T477" s="6">
        <v>24.587499999999999</v>
      </c>
      <c r="U477" s="6">
        <v>37</v>
      </c>
      <c r="V477" s="6">
        <v>5.4574999999999996</v>
      </c>
      <c r="W477" s="3">
        <v>0.7340000000000001</v>
      </c>
      <c r="X477" s="6"/>
      <c r="Y477" s="6">
        <v>70.8</v>
      </c>
      <c r="Z477" s="3">
        <v>1.88</v>
      </c>
      <c r="AB477" s="16"/>
      <c r="AD477" s="16"/>
      <c r="AE477" s="1">
        <v>1</v>
      </c>
    </row>
    <row r="478" spans="1:31" x14ac:dyDescent="0.2">
      <c r="A478" s="1">
        <v>477</v>
      </c>
      <c r="B478" s="1">
        <v>2018</v>
      </c>
      <c r="C478" s="1" t="s">
        <v>31</v>
      </c>
      <c r="D478" s="8" t="s">
        <v>71</v>
      </c>
      <c r="E478" s="8" t="s">
        <v>669</v>
      </c>
      <c r="F478" s="1" t="s">
        <v>83</v>
      </c>
      <c r="G478" s="8">
        <v>114</v>
      </c>
      <c r="I478" s="12">
        <v>3.2854228000000001</v>
      </c>
      <c r="J478" s="3">
        <v>9.3869223000000002</v>
      </c>
      <c r="L478" s="5">
        <v>3044.3333299999999</v>
      </c>
      <c r="N478" s="5">
        <v>9945</v>
      </c>
      <c r="O478" s="6">
        <v>32.066666699999999</v>
      </c>
      <c r="P478" s="18">
        <v>8.8466667000000001</v>
      </c>
      <c r="Q478" s="6">
        <v>45.4</v>
      </c>
      <c r="R478" s="6">
        <v>51.32</v>
      </c>
      <c r="S478" s="3"/>
      <c r="T478" s="6">
        <v>28.2</v>
      </c>
      <c r="U478" s="6">
        <v>28.886666699999999</v>
      </c>
      <c r="V478" s="6">
        <v>6.7933333300000003</v>
      </c>
      <c r="W478" s="3">
        <v>0.6861333329999999</v>
      </c>
      <c r="X478" s="6"/>
      <c r="Y478" s="6">
        <v>66.510000000000005</v>
      </c>
      <c r="Z478" s="3">
        <v>0.76543450999999996</v>
      </c>
      <c r="AB478" s="16"/>
      <c r="AD478" s="16"/>
      <c r="AE478" s="1">
        <v>1</v>
      </c>
    </row>
    <row r="479" spans="1:31" x14ac:dyDescent="0.2">
      <c r="A479" s="1">
        <v>478</v>
      </c>
      <c r="B479" s="1">
        <v>2012</v>
      </c>
      <c r="C479" s="1" t="s">
        <v>96</v>
      </c>
      <c r="D479" s="8" t="s">
        <v>1023</v>
      </c>
      <c r="E479" s="8">
        <v>9301</v>
      </c>
      <c r="F479" s="1" t="s">
        <v>32</v>
      </c>
      <c r="I479" s="12">
        <v>6.37</v>
      </c>
      <c r="J479" s="7">
        <v>18.2</v>
      </c>
      <c r="K479" s="13" t="s">
        <v>34</v>
      </c>
      <c r="L479" s="14">
        <v>3045</v>
      </c>
      <c r="M479" s="14"/>
      <c r="N479" s="14">
        <v>19376</v>
      </c>
      <c r="O479" s="13">
        <v>29.3</v>
      </c>
      <c r="P479" s="13">
        <v>10.3</v>
      </c>
      <c r="Q479" s="13">
        <v>49.3</v>
      </c>
      <c r="R479" s="13">
        <v>56.6</v>
      </c>
      <c r="S479" s="13"/>
      <c r="T479" s="13"/>
      <c r="U479" s="13">
        <v>19.600000000000001</v>
      </c>
      <c r="V479" s="13">
        <v>3.2</v>
      </c>
      <c r="W479" s="7">
        <v>0.68</v>
      </c>
      <c r="X479" s="15"/>
      <c r="Y479" s="15"/>
      <c r="Z479" s="7">
        <v>1.78</v>
      </c>
      <c r="AA479" s="7">
        <v>1</v>
      </c>
      <c r="AB479" s="16">
        <f>AA479*10</f>
        <v>10</v>
      </c>
      <c r="AC479" s="7">
        <v>0.8</v>
      </c>
      <c r="AD479" s="16">
        <f>AC479*10</f>
        <v>8</v>
      </c>
      <c r="AE479" s="1">
        <v>0</v>
      </c>
    </row>
    <row r="480" spans="1:31" x14ac:dyDescent="0.2">
      <c r="A480" s="1">
        <v>479</v>
      </c>
      <c r="B480" s="1">
        <v>2010</v>
      </c>
      <c r="C480" s="1" t="s">
        <v>88</v>
      </c>
      <c r="D480" s="8" t="s">
        <v>1023</v>
      </c>
      <c r="E480" s="8">
        <v>26837</v>
      </c>
      <c r="F480" s="1" t="s">
        <v>32</v>
      </c>
      <c r="I480" s="12">
        <v>6.65</v>
      </c>
      <c r="J480" s="7">
        <v>19</v>
      </c>
      <c r="K480" s="1" t="s">
        <v>34</v>
      </c>
      <c r="L480" s="14">
        <v>3046</v>
      </c>
      <c r="M480" s="14"/>
      <c r="N480" s="14">
        <v>20241</v>
      </c>
      <c r="O480" s="13">
        <v>25.5</v>
      </c>
      <c r="P480" s="13">
        <v>8.9</v>
      </c>
      <c r="Q480" s="13">
        <v>51.2</v>
      </c>
      <c r="R480" s="13">
        <v>57.4</v>
      </c>
      <c r="S480" s="13"/>
      <c r="T480" s="13"/>
      <c r="U480" s="13">
        <v>33.700000000000003</v>
      </c>
      <c r="V480" s="13">
        <v>1.7</v>
      </c>
      <c r="W480" s="7"/>
      <c r="X480" s="13"/>
      <c r="Y480" s="13">
        <v>60.3</v>
      </c>
      <c r="Z480" s="7">
        <v>1.95</v>
      </c>
      <c r="AA480" s="13">
        <v>2</v>
      </c>
      <c r="AB480" s="16">
        <f>AA480*10</f>
        <v>20</v>
      </c>
      <c r="AC480" s="13">
        <v>1</v>
      </c>
      <c r="AD480" s="16">
        <f>AC480*10</f>
        <v>10</v>
      </c>
      <c r="AE480" s="1">
        <v>1</v>
      </c>
    </row>
    <row r="481" spans="1:31" x14ac:dyDescent="0.2">
      <c r="A481" s="1">
        <v>480</v>
      </c>
      <c r="B481" s="1">
        <v>2014</v>
      </c>
      <c r="C481" s="1" t="s">
        <v>31</v>
      </c>
      <c r="D481" s="1" t="s">
        <v>805</v>
      </c>
      <c r="E481" s="1" t="s">
        <v>419</v>
      </c>
      <c r="F481" s="1" t="s">
        <v>83</v>
      </c>
      <c r="G481" s="1">
        <v>114</v>
      </c>
      <c r="I481" s="12">
        <v>4.92</v>
      </c>
      <c r="J481" s="12">
        <v>14.1</v>
      </c>
      <c r="L481" s="16">
        <v>3048</v>
      </c>
      <c r="N481" s="16">
        <v>14997</v>
      </c>
      <c r="O481" s="15">
        <v>34.5</v>
      </c>
      <c r="P481" s="15">
        <v>6.86</v>
      </c>
      <c r="Q481" s="15">
        <v>44.4</v>
      </c>
      <c r="R481" s="15">
        <v>47.8</v>
      </c>
      <c r="T481" s="15"/>
      <c r="U481" s="15">
        <v>30.9</v>
      </c>
      <c r="V481" s="15">
        <v>4.7</v>
      </c>
      <c r="W481" s="12">
        <v>0.71</v>
      </c>
      <c r="X481" s="15"/>
      <c r="Y481" s="15">
        <v>68.3</v>
      </c>
      <c r="Z481" s="12">
        <v>1.04</v>
      </c>
      <c r="AA481" s="1">
        <v>2</v>
      </c>
      <c r="AB481" s="16">
        <f>AA481*10</f>
        <v>20</v>
      </c>
      <c r="AD481" s="16"/>
      <c r="AE481" s="1">
        <v>1</v>
      </c>
    </row>
    <row r="482" spans="1:31" x14ac:dyDescent="0.2">
      <c r="A482" s="1">
        <v>481</v>
      </c>
      <c r="B482" s="1">
        <v>2012</v>
      </c>
      <c r="C482" s="1" t="s">
        <v>88</v>
      </c>
      <c r="D482" s="8" t="s">
        <v>1023</v>
      </c>
      <c r="E482" s="8" t="s">
        <v>336</v>
      </c>
      <c r="F482" s="1" t="s">
        <v>83</v>
      </c>
      <c r="I482" s="12">
        <v>3.07</v>
      </c>
      <c r="J482" s="7">
        <v>8.8000000000000007</v>
      </c>
      <c r="K482" s="13" t="s">
        <v>34</v>
      </c>
      <c r="L482" s="14">
        <v>3054</v>
      </c>
      <c r="M482" s="14"/>
      <c r="N482" s="14">
        <v>9330</v>
      </c>
      <c r="O482" s="13">
        <v>33.6</v>
      </c>
      <c r="P482" s="13">
        <v>9.84</v>
      </c>
      <c r="Q482" s="13">
        <v>52.9</v>
      </c>
      <c r="R482" s="13">
        <v>48.9</v>
      </c>
      <c r="S482" s="13"/>
      <c r="T482" s="13"/>
      <c r="U482" s="13">
        <v>22.2</v>
      </c>
      <c r="V482" s="13">
        <v>2.4</v>
      </c>
      <c r="W482" s="7">
        <v>0.64</v>
      </c>
      <c r="X482" s="15"/>
      <c r="Y482" s="15"/>
      <c r="Z482" s="7">
        <v>0.79</v>
      </c>
      <c r="AA482" s="7">
        <v>5.7</v>
      </c>
      <c r="AB482" s="16">
        <f>AA482*10</f>
        <v>57</v>
      </c>
      <c r="AC482" s="7">
        <v>0</v>
      </c>
      <c r="AD482" s="16">
        <f>AC482*10</f>
        <v>0</v>
      </c>
      <c r="AE482" s="1">
        <v>1</v>
      </c>
    </row>
    <row r="483" spans="1:31" x14ac:dyDescent="0.2">
      <c r="A483" s="1">
        <v>482</v>
      </c>
      <c r="B483" s="1">
        <v>2012</v>
      </c>
      <c r="C483" s="1" t="s">
        <v>96</v>
      </c>
      <c r="D483" s="1" t="s">
        <v>916</v>
      </c>
      <c r="E483" s="8" t="s">
        <v>340</v>
      </c>
      <c r="F483" s="1" t="s">
        <v>32</v>
      </c>
      <c r="I483" s="12">
        <v>6.32</v>
      </c>
      <c r="J483" s="7">
        <v>18.0571428571429</v>
      </c>
      <c r="K483" s="13" t="s">
        <v>34</v>
      </c>
      <c r="L483" s="14">
        <v>3055</v>
      </c>
      <c r="M483" s="14"/>
      <c r="N483" s="14">
        <v>19285</v>
      </c>
      <c r="O483" s="13">
        <v>33.299999999999997</v>
      </c>
      <c r="P483" s="13">
        <v>7.4</v>
      </c>
      <c r="Q483" s="13">
        <v>52.3</v>
      </c>
      <c r="R483" s="13">
        <v>56.8</v>
      </c>
      <c r="S483" s="13"/>
      <c r="T483" s="13"/>
      <c r="U483" s="13">
        <v>22.1</v>
      </c>
      <c r="V483" s="13">
        <v>2.8</v>
      </c>
      <c r="W483" s="7">
        <v>0.67</v>
      </c>
      <c r="X483" s="15"/>
      <c r="Y483" s="15"/>
      <c r="Z483" s="7">
        <v>1.87</v>
      </c>
      <c r="AA483" s="7">
        <v>1</v>
      </c>
      <c r="AB483" s="16">
        <f>AA483*10</f>
        <v>10</v>
      </c>
      <c r="AC483" s="7">
        <v>0.3</v>
      </c>
      <c r="AD483" s="16">
        <f>AC483*10</f>
        <v>3</v>
      </c>
      <c r="AE483" s="1">
        <v>0</v>
      </c>
    </row>
    <row r="484" spans="1:31" ht="17" x14ac:dyDescent="0.2">
      <c r="A484" s="1">
        <v>483</v>
      </c>
      <c r="B484" s="1">
        <v>2019</v>
      </c>
      <c r="C484" s="1" t="s">
        <v>88</v>
      </c>
      <c r="D484" s="9" t="s">
        <v>738</v>
      </c>
      <c r="E484" s="9" t="s">
        <v>583</v>
      </c>
      <c r="F484" s="1" t="s">
        <v>83</v>
      </c>
      <c r="H484" s="1" t="s">
        <v>34</v>
      </c>
      <c r="I484" s="12">
        <v>8.1300000000000008</v>
      </c>
      <c r="J484" s="3">
        <v>23.23</v>
      </c>
      <c r="K484" s="1" t="s">
        <v>34</v>
      </c>
      <c r="L484" s="5">
        <v>3055.8</v>
      </c>
      <c r="M484" s="1" t="s">
        <v>34</v>
      </c>
      <c r="N484" s="5">
        <v>24818.799999999999</v>
      </c>
      <c r="O484" s="6">
        <v>27.482500000000002</v>
      </c>
      <c r="P484" s="6">
        <v>7.9625000000000004</v>
      </c>
      <c r="Q484" s="6">
        <v>46.04</v>
      </c>
      <c r="R484" s="6">
        <v>34.465000000000003</v>
      </c>
      <c r="S484" s="3"/>
      <c r="T484" s="6">
        <v>31.18</v>
      </c>
      <c r="U484" s="6">
        <v>17.932500000000001</v>
      </c>
      <c r="V484" s="6">
        <v>10.06</v>
      </c>
      <c r="W484" s="3">
        <v>0.68540000000000001</v>
      </c>
      <c r="X484" s="6"/>
      <c r="Y484" s="6">
        <v>66.45</v>
      </c>
      <c r="Z484" s="3">
        <v>1.2925</v>
      </c>
      <c r="AB484" s="16"/>
      <c r="AC484" s="4">
        <v>5</v>
      </c>
      <c r="AD484" s="16">
        <f>AC484*10</f>
        <v>50</v>
      </c>
      <c r="AE484" s="1">
        <v>1</v>
      </c>
    </row>
    <row r="485" spans="1:31" x14ac:dyDescent="0.2">
      <c r="A485" s="1">
        <v>484</v>
      </c>
      <c r="B485" s="1">
        <v>2020</v>
      </c>
      <c r="C485" s="1" t="s">
        <v>31</v>
      </c>
      <c r="D485" s="1" t="s">
        <v>916</v>
      </c>
      <c r="E485" s="1" t="s">
        <v>759</v>
      </c>
      <c r="F485" s="1" t="s">
        <v>83</v>
      </c>
      <c r="H485" s="1" t="s">
        <v>754</v>
      </c>
      <c r="I485" s="12">
        <v>3.6802293158594996</v>
      </c>
      <c r="J485" s="12">
        <v>10.514940901999999</v>
      </c>
      <c r="L485" s="16">
        <v>3056.2403951820002</v>
      </c>
      <c r="M485" s="16" t="s">
        <v>754</v>
      </c>
      <c r="N485" s="16">
        <v>11266.248415882001</v>
      </c>
      <c r="O485" s="15">
        <v>25.897810100000001</v>
      </c>
      <c r="P485" s="15">
        <v>8.6024999999999991</v>
      </c>
      <c r="Q485" s="15">
        <v>51.695</v>
      </c>
      <c r="R485" s="15">
        <v>47.857500000000002</v>
      </c>
      <c r="S485" s="15"/>
      <c r="T485" s="15">
        <v>29.7</v>
      </c>
      <c r="U485" s="15">
        <v>20.9375</v>
      </c>
      <c r="V485" s="15">
        <v>5.5575000000000001</v>
      </c>
      <c r="W485" s="12">
        <v>0.66231344400000003</v>
      </c>
      <c r="X485" s="15"/>
      <c r="Y485" s="15">
        <v>68.620047</v>
      </c>
      <c r="Z485" s="12"/>
      <c r="AA485" s="15">
        <v>2</v>
      </c>
      <c r="AB485" s="16">
        <f>AA485*33.334</f>
        <v>66.668000000000006</v>
      </c>
      <c r="AD485" s="16"/>
      <c r="AE485" s="1">
        <v>1</v>
      </c>
    </row>
    <row r="486" spans="1:31" x14ac:dyDescent="0.2">
      <c r="A486" s="1">
        <v>485</v>
      </c>
      <c r="B486" s="1">
        <v>2018</v>
      </c>
      <c r="C486" s="1" t="s">
        <v>31</v>
      </c>
      <c r="D486" s="1" t="s">
        <v>125</v>
      </c>
      <c r="E486" s="1" t="s">
        <v>665</v>
      </c>
      <c r="F486" s="1" t="s">
        <v>32</v>
      </c>
      <c r="G486" s="1">
        <v>116</v>
      </c>
      <c r="I486" s="12">
        <v>7.7</v>
      </c>
      <c r="J486" s="3">
        <v>22.099619100000002</v>
      </c>
      <c r="L486" s="5">
        <v>3056.25</v>
      </c>
      <c r="N486" s="5">
        <v>23741.561799999999</v>
      </c>
      <c r="O486" s="6">
        <v>37.9</v>
      </c>
      <c r="P486" s="18">
        <v>7.3425000000000002</v>
      </c>
      <c r="Q486" s="6">
        <v>44.225000000000001</v>
      </c>
      <c r="R486" s="6">
        <v>54.917499999999997</v>
      </c>
      <c r="S486" s="3"/>
      <c r="T486" s="6">
        <v>27.1875</v>
      </c>
      <c r="U486" s="6">
        <v>33.375</v>
      </c>
      <c r="V486" s="6">
        <v>5.62</v>
      </c>
      <c r="W486" s="3">
        <v>0.71294999999999997</v>
      </c>
      <c r="X486" s="6"/>
      <c r="Y486" s="6">
        <v>68.92</v>
      </c>
      <c r="Z486" s="3">
        <v>1.86</v>
      </c>
      <c r="AB486" s="16"/>
      <c r="AD486" s="16"/>
      <c r="AE486" s="1">
        <v>1</v>
      </c>
    </row>
    <row r="487" spans="1:31" x14ac:dyDescent="0.2">
      <c r="A487" s="1">
        <v>486</v>
      </c>
      <c r="B487" s="1">
        <v>2011</v>
      </c>
      <c r="C487" s="1" t="s">
        <v>88</v>
      </c>
      <c r="D487" s="1" t="s">
        <v>916</v>
      </c>
      <c r="E487" s="8" t="s">
        <v>235</v>
      </c>
      <c r="F487" s="1" t="s">
        <v>32</v>
      </c>
      <c r="I487" s="12">
        <v>7.44</v>
      </c>
      <c r="J487" s="12">
        <v>13.895584283257</v>
      </c>
      <c r="K487" s="13" t="s">
        <v>34</v>
      </c>
      <c r="L487" s="14">
        <v>3057</v>
      </c>
      <c r="M487" s="14" t="s">
        <v>34</v>
      </c>
      <c r="N487" s="14">
        <v>22761</v>
      </c>
      <c r="O487" s="13">
        <v>25.8</v>
      </c>
      <c r="P487" s="13">
        <v>7.9</v>
      </c>
      <c r="Q487" s="13">
        <v>50.7</v>
      </c>
      <c r="R487" s="13">
        <v>59.9</v>
      </c>
      <c r="T487" s="15"/>
      <c r="U487" s="15" t="s">
        <v>89</v>
      </c>
      <c r="V487" s="13">
        <v>3.1</v>
      </c>
      <c r="W487" s="12" t="s">
        <v>89</v>
      </c>
      <c r="X487" s="15" t="s">
        <v>89</v>
      </c>
      <c r="Y487" s="13">
        <v>66.099999999999994</v>
      </c>
      <c r="Z487" s="7">
        <v>2.2599999999999998</v>
      </c>
      <c r="AA487" s="1">
        <v>0</v>
      </c>
      <c r="AB487" s="16">
        <f>AA487*10</f>
        <v>0</v>
      </c>
      <c r="AC487" s="1">
        <v>0.5</v>
      </c>
      <c r="AD487" s="16">
        <f>AC487*10</f>
        <v>5</v>
      </c>
      <c r="AE487" s="1">
        <v>1</v>
      </c>
    </row>
    <row r="488" spans="1:31" x14ac:dyDescent="0.2">
      <c r="A488" s="1">
        <v>487</v>
      </c>
      <c r="B488" s="1">
        <v>2016</v>
      </c>
      <c r="C488" s="1" t="s">
        <v>96</v>
      </c>
      <c r="D488" s="1" t="s">
        <v>459</v>
      </c>
      <c r="E488" s="1" t="s">
        <v>592</v>
      </c>
      <c r="F488" s="1" t="s">
        <v>83</v>
      </c>
      <c r="I488" s="12">
        <v>3.1381372500000002</v>
      </c>
      <c r="J488" s="3">
        <v>8.9661063999999993</v>
      </c>
      <c r="L488" s="5">
        <v>3057.75</v>
      </c>
      <c r="N488" s="5">
        <v>9600.1036000000004</v>
      </c>
      <c r="O488" s="6">
        <v>33.200000000000003</v>
      </c>
      <c r="P488" s="6">
        <v>8.8000000000000007</v>
      </c>
      <c r="Q488" s="6">
        <v>55.225000000000001</v>
      </c>
      <c r="R488" s="6">
        <v>54</v>
      </c>
      <c r="S488" s="6">
        <v>17.5</v>
      </c>
      <c r="T488" s="6"/>
      <c r="U488" s="15">
        <v>7.96</v>
      </c>
      <c r="V488" s="15">
        <v>14.7</v>
      </c>
      <c r="W488" s="3">
        <v>0.62932500000000002</v>
      </c>
      <c r="X488" s="6"/>
      <c r="Y488" s="6">
        <v>61.4</v>
      </c>
      <c r="Z488" s="3">
        <v>0.90188586000000004</v>
      </c>
      <c r="AA488" s="6">
        <v>4</v>
      </c>
      <c r="AB488" s="16">
        <f>AA488*10</f>
        <v>40</v>
      </c>
      <c r="AC488" s="6">
        <v>1</v>
      </c>
      <c r="AD488" s="16">
        <f>AC488*10</f>
        <v>10</v>
      </c>
      <c r="AE488" s="1">
        <v>0</v>
      </c>
    </row>
    <row r="489" spans="1:31" x14ac:dyDescent="0.2">
      <c r="A489" s="1">
        <v>488</v>
      </c>
      <c r="B489" s="1">
        <v>2018</v>
      </c>
      <c r="C489" s="1" t="s">
        <v>88</v>
      </c>
      <c r="D489" s="28" t="s">
        <v>914</v>
      </c>
      <c r="E489" s="8" t="s">
        <v>682</v>
      </c>
      <c r="F489" s="1" t="s">
        <v>83</v>
      </c>
      <c r="I489" s="12">
        <v>2.68555462</v>
      </c>
      <c r="J489" s="7">
        <v>7.6730131999999998</v>
      </c>
      <c r="K489" s="1" t="s">
        <v>34</v>
      </c>
      <c r="L489" s="14">
        <v>3058</v>
      </c>
      <c r="N489" s="14">
        <v>8219.1497999999992</v>
      </c>
      <c r="O489" s="13">
        <v>31.692499999999999</v>
      </c>
      <c r="P489" s="13">
        <v>10.4475</v>
      </c>
      <c r="Q489" s="13">
        <v>45.145000000000003</v>
      </c>
      <c r="R489" s="13">
        <v>36.452500000000001</v>
      </c>
      <c r="S489" s="7">
        <v>18.61</v>
      </c>
      <c r="U489" s="13">
        <v>22.78</v>
      </c>
      <c r="V489" s="13">
        <v>3.76</v>
      </c>
      <c r="W489" s="7">
        <v>0.67519999999999991</v>
      </c>
      <c r="X489" s="13"/>
      <c r="Y489" s="13">
        <v>59.2</v>
      </c>
      <c r="Z489" s="7">
        <v>0.44504647000000003</v>
      </c>
      <c r="AA489" s="14">
        <v>3</v>
      </c>
      <c r="AB489" s="16">
        <f>AA489*33.334</f>
        <v>100.00200000000001</v>
      </c>
      <c r="AD489" s="16"/>
      <c r="AE489" s="1">
        <v>1</v>
      </c>
    </row>
    <row r="490" spans="1:31" x14ac:dyDescent="0.2">
      <c r="A490" s="1">
        <v>489</v>
      </c>
      <c r="B490" s="1">
        <v>2016</v>
      </c>
      <c r="C490" s="1" t="s">
        <v>31</v>
      </c>
      <c r="D490" s="8" t="s">
        <v>874</v>
      </c>
      <c r="E490" s="8" t="s">
        <v>362</v>
      </c>
      <c r="F490" s="1" t="s">
        <v>32</v>
      </c>
      <c r="G490" s="8">
        <v>117</v>
      </c>
      <c r="I490" s="12">
        <v>8.42</v>
      </c>
      <c r="J490" s="7">
        <v>24.0571428571429</v>
      </c>
      <c r="L490" s="14">
        <v>3059</v>
      </c>
      <c r="N490" s="14">
        <v>25882</v>
      </c>
      <c r="O490" s="13">
        <v>31.8</v>
      </c>
      <c r="P490" s="13">
        <v>8.6</v>
      </c>
      <c r="Q490" s="13">
        <v>45</v>
      </c>
      <c r="R490" s="13">
        <v>55.7</v>
      </c>
      <c r="S490" s="13"/>
      <c r="T490" s="13">
        <v>25.7</v>
      </c>
      <c r="U490" s="13">
        <v>24.4</v>
      </c>
      <c r="V490" s="13">
        <v>5.0999999999999996</v>
      </c>
      <c r="W490" s="7">
        <v>0.67</v>
      </c>
      <c r="X490" s="13"/>
      <c r="Y490" s="13">
        <v>69.099999999999994</v>
      </c>
      <c r="Z490" s="7">
        <v>2.12</v>
      </c>
      <c r="AA490" s="15" t="s">
        <v>89</v>
      </c>
      <c r="AB490" s="16"/>
      <c r="AD490" s="16"/>
      <c r="AE490" s="1">
        <v>1</v>
      </c>
    </row>
    <row r="491" spans="1:31" x14ac:dyDescent="0.2">
      <c r="A491" s="1">
        <v>490</v>
      </c>
      <c r="B491" s="1">
        <v>2019</v>
      </c>
      <c r="C491" s="1" t="s">
        <v>88</v>
      </c>
      <c r="D491" s="28" t="s">
        <v>914</v>
      </c>
      <c r="E491" s="8" t="s">
        <v>737</v>
      </c>
      <c r="F491" s="1" t="s">
        <v>32</v>
      </c>
      <c r="I491" s="12">
        <v>4.7549999999999999</v>
      </c>
      <c r="J491" s="3">
        <v>13.585000000000001</v>
      </c>
      <c r="L491" s="5">
        <v>3060.5</v>
      </c>
      <c r="N491" s="5">
        <v>14520.5</v>
      </c>
      <c r="O491" s="6">
        <v>34.465000000000003</v>
      </c>
      <c r="P491" s="6">
        <v>7.1</v>
      </c>
      <c r="Q491" s="6">
        <v>49.947499999999998</v>
      </c>
      <c r="R491" s="6">
        <v>42.914999999999999</v>
      </c>
      <c r="S491" s="3"/>
      <c r="T491" s="6">
        <v>33.325000000000003</v>
      </c>
      <c r="U491" s="6">
        <v>15.3225</v>
      </c>
      <c r="V491" s="6">
        <v>14.397500000000001</v>
      </c>
      <c r="W491" s="3">
        <v>0.69459999999999988</v>
      </c>
      <c r="X491" s="6"/>
      <c r="Y491" s="6">
        <v>59.46</v>
      </c>
      <c r="Z491" s="3">
        <v>1.03</v>
      </c>
      <c r="AB491" s="16"/>
      <c r="AC491" s="6">
        <v>0</v>
      </c>
      <c r="AD491" s="16">
        <f>AC491*10</f>
        <v>0</v>
      </c>
      <c r="AE491" s="1">
        <v>1</v>
      </c>
    </row>
    <row r="492" spans="1:31" x14ac:dyDescent="0.2">
      <c r="A492" s="1">
        <v>491</v>
      </c>
      <c r="B492" s="1">
        <v>2009</v>
      </c>
      <c r="C492" s="1" t="s">
        <v>88</v>
      </c>
      <c r="D492" s="1" t="s">
        <v>916</v>
      </c>
      <c r="E492" s="8" t="s">
        <v>92</v>
      </c>
      <c r="F492" s="1" t="s">
        <v>83</v>
      </c>
      <c r="I492" s="12">
        <v>5.8</v>
      </c>
      <c r="J492" s="7">
        <v>16.571428571428601</v>
      </c>
      <c r="L492" s="14">
        <v>3061</v>
      </c>
      <c r="M492" s="1" t="s">
        <v>34</v>
      </c>
      <c r="N492" s="14">
        <v>17764</v>
      </c>
      <c r="O492" s="13">
        <v>31.4</v>
      </c>
      <c r="P492" s="13">
        <v>9.5</v>
      </c>
      <c r="Q492" s="13">
        <v>49.6</v>
      </c>
      <c r="R492" s="13">
        <v>57</v>
      </c>
      <c r="S492" s="13"/>
      <c r="T492" s="13">
        <v>34.200000000000003</v>
      </c>
      <c r="U492" s="13">
        <v>20.3</v>
      </c>
      <c r="V492" s="13">
        <v>2.7</v>
      </c>
      <c r="W492" s="12" t="s">
        <v>89</v>
      </c>
      <c r="X492" s="13">
        <v>78.599999999999994</v>
      </c>
      <c r="Y492" s="13">
        <v>61.7</v>
      </c>
      <c r="Z492" s="7">
        <v>1.64</v>
      </c>
      <c r="AA492" s="13">
        <v>2.8</v>
      </c>
      <c r="AB492" s="14">
        <v>28</v>
      </c>
      <c r="AC492" s="13">
        <v>7.3</v>
      </c>
      <c r="AD492" s="16">
        <f>AC492*10</f>
        <v>73</v>
      </c>
      <c r="AE492" s="1">
        <v>1</v>
      </c>
    </row>
    <row r="493" spans="1:31" x14ac:dyDescent="0.2">
      <c r="A493" s="1">
        <v>492</v>
      </c>
      <c r="B493" s="1">
        <v>2017</v>
      </c>
      <c r="C493" s="1" t="s">
        <v>96</v>
      </c>
      <c r="D493" s="1" t="s">
        <v>1023</v>
      </c>
      <c r="E493" s="8" t="s">
        <v>395</v>
      </c>
      <c r="F493" s="1" t="s">
        <v>32</v>
      </c>
      <c r="I493" s="12">
        <v>5.94</v>
      </c>
      <c r="J493" s="3">
        <v>17</v>
      </c>
      <c r="K493" s="1" t="s">
        <v>34</v>
      </c>
      <c r="L493" s="5">
        <v>3062</v>
      </c>
      <c r="M493" s="1" t="s">
        <v>34</v>
      </c>
      <c r="N493" s="5">
        <v>18365</v>
      </c>
      <c r="O493" s="6">
        <v>29.8</v>
      </c>
      <c r="P493" s="6">
        <v>6.2</v>
      </c>
      <c r="Q493" s="6">
        <v>54</v>
      </c>
      <c r="R493" s="6">
        <v>48.3</v>
      </c>
      <c r="S493" s="6">
        <v>18.7</v>
      </c>
      <c r="U493" s="15">
        <v>15.1</v>
      </c>
      <c r="V493" s="15">
        <v>13.1</v>
      </c>
      <c r="W493" s="3">
        <v>0.63600000000000001</v>
      </c>
      <c r="X493" s="6"/>
      <c r="Y493" s="6">
        <v>60.2</v>
      </c>
      <c r="Z493" s="3">
        <v>1.5</v>
      </c>
      <c r="AB493" s="16"/>
      <c r="AD493" s="16"/>
      <c r="AE493" s="1">
        <v>0</v>
      </c>
    </row>
    <row r="494" spans="1:31" x14ac:dyDescent="0.2">
      <c r="A494" s="1">
        <v>493</v>
      </c>
      <c r="B494" s="1">
        <v>2011</v>
      </c>
      <c r="C494" s="1" t="s">
        <v>31</v>
      </c>
      <c r="D494" s="8" t="s">
        <v>874</v>
      </c>
      <c r="E494" s="1">
        <v>9170</v>
      </c>
      <c r="F494" s="1" t="s">
        <v>83</v>
      </c>
      <c r="I494" s="12">
        <v>6.51</v>
      </c>
      <c r="J494" s="12">
        <v>18.600000000000001</v>
      </c>
      <c r="L494" s="16">
        <v>3064</v>
      </c>
      <c r="N494" s="16">
        <v>19958</v>
      </c>
      <c r="O494" s="15">
        <v>29.8</v>
      </c>
      <c r="P494" s="15">
        <v>7.3</v>
      </c>
      <c r="Q494" s="15">
        <v>50.1</v>
      </c>
      <c r="R494" s="15">
        <v>61.7</v>
      </c>
      <c r="T494" s="15"/>
      <c r="U494" s="15">
        <v>23</v>
      </c>
      <c r="V494" s="15">
        <v>8.1</v>
      </c>
      <c r="W494" s="12"/>
      <c r="X494" s="15"/>
      <c r="Y494" s="15">
        <v>66.900000000000006</v>
      </c>
      <c r="Z494" s="12">
        <v>1.81</v>
      </c>
      <c r="AB494" s="16"/>
      <c r="AD494" s="16"/>
      <c r="AE494" s="1">
        <v>1</v>
      </c>
    </row>
    <row r="495" spans="1:31" x14ac:dyDescent="0.2">
      <c r="A495" s="1">
        <v>494</v>
      </c>
      <c r="B495" s="1">
        <v>2012</v>
      </c>
      <c r="C495" s="1" t="s">
        <v>88</v>
      </c>
      <c r="D495" s="8" t="s">
        <v>1023</v>
      </c>
      <c r="E495" s="8">
        <v>8301</v>
      </c>
      <c r="F495" s="1" t="s">
        <v>32</v>
      </c>
      <c r="I495" s="12">
        <v>7.65</v>
      </c>
      <c r="J495" s="7">
        <v>21.8571428571429</v>
      </c>
      <c r="K495" s="13"/>
      <c r="L495" s="14">
        <v>3064</v>
      </c>
      <c r="M495" s="14" t="s">
        <v>34</v>
      </c>
      <c r="N495" s="14">
        <v>23438</v>
      </c>
      <c r="O495" s="13">
        <v>29.1</v>
      </c>
      <c r="P495" s="13">
        <v>6.8</v>
      </c>
      <c r="Q495" s="13">
        <v>49.7</v>
      </c>
      <c r="R495" s="13">
        <v>52.1</v>
      </c>
      <c r="S495" s="13"/>
      <c r="T495" s="13"/>
      <c r="U495" s="13">
        <v>28.8</v>
      </c>
      <c r="V495" s="13">
        <v>2.8</v>
      </c>
      <c r="W495" s="7">
        <v>0.67</v>
      </c>
      <c r="X495" s="15"/>
      <c r="Y495" s="15"/>
      <c r="Z495" s="7">
        <v>1.98</v>
      </c>
      <c r="AA495" s="7">
        <v>1.3</v>
      </c>
      <c r="AB495" s="16">
        <f>AA495*10</f>
        <v>13</v>
      </c>
      <c r="AC495" s="7">
        <v>0.5</v>
      </c>
      <c r="AD495" s="16">
        <f>AC495*10</f>
        <v>5</v>
      </c>
      <c r="AE495" s="1">
        <v>1</v>
      </c>
    </row>
    <row r="496" spans="1:31" x14ac:dyDescent="0.2">
      <c r="A496" s="1">
        <v>495</v>
      </c>
      <c r="B496" s="1">
        <v>2012</v>
      </c>
      <c r="C496" s="1" t="s">
        <v>31</v>
      </c>
      <c r="D496" s="1" t="s">
        <v>125</v>
      </c>
      <c r="E496" s="1" t="s">
        <v>325</v>
      </c>
      <c r="F496" s="1" t="s">
        <v>83</v>
      </c>
      <c r="I496" s="12">
        <v>4.99</v>
      </c>
      <c r="J496" s="12">
        <v>14.3</v>
      </c>
      <c r="L496" s="16">
        <v>3068</v>
      </c>
      <c r="N496" s="16">
        <v>15315</v>
      </c>
      <c r="O496" s="15">
        <v>36.4</v>
      </c>
      <c r="P496" s="15">
        <v>7.97</v>
      </c>
      <c r="Q496" s="15">
        <v>46</v>
      </c>
      <c r="R496" s="15">
        <v>58.6</v>
      </c>
      <c r="T496" s="15"/>
      <c r="U496" s="15">
        <v>34.6</v>
      </c>
      <c r="V496" s="15">
        <v>3.6</v>
      </c>
      <c r="W496" s="12">
        <v>0.71</v>
      </c>
      <c r="X496" s="15"/>
      <c r="Y496" s="15"/>
      <c r="Z496" s="12">
        <v>1.34</v>
      </c>
      <c r="AB496" s="16"/>
      <c r="AD496" s="16"/>
      <c r="AE496" s="1">
        <v>1</v>
      </c>
    </row>
    <row r="497" spans="1:31" x14ac:dyDescent="0.2">
      <c r="A497" s="1">
        <v>496</v>
      </c>
      <c r="B497" s="1">
        <v>2019</v>
      </c>
      <c r="C497" s="1" t="s">
        <v>88</v>
      </c>
      <c r="D497" s="1" t="s">
        <v>1023</v>
      </c>
      <c r="E497" s="8" t="s">
        <v>732</v>
      </c>
      <c r="F497" s="1" t="s">
        <v>32</v>
      </c>
      <c r="I497" s="12">
        <v>6.8674999999999997</v>
      </c>
      <c r="J497" s="3">
        <v>19.625</v>
      </c>
      <c r="L497" s="5">
        <v>3069.75</v>
      </c>
      <c r="N497" s="5">
        <v>21091</v>
      </c>
      <c r="O497" s="6">
        <v>31.87</v>
      </c>
      <c r="P497" s="6">
        <v>6.6725000000000003</v>
      </c>
      <c r="Q497" s="6">
        <v>49.695</v>
      </c>
      <c r="R497" s="6">
        <v>47.2</v>
      </c>
      <c r="S497" s="3"/>
      <c r="T497" s="6">
        <v>33.837499999999999</v>
      </c>
      <c r="U497" s="6">
        <v>12.125</v>
      </c>
      <c r="V497" s="6">
        <v>16.54</v>
      </c>
      <c r="W497" s="3">
        <v>0.68082500000000001</v>
      </c>
      <c r="X497" s="6"/>
      <c r="Y497" s="6">
        <v>60.39</v>
      </c>
      <c r="Z497" s="3">
        <v>1.6125</v>
      </c>
      <c r="AB497" s="16"/>
      <c r="AC497" s="6">
        <v>0</v>
      </c>
      <c r="AD497" s="16">
        <f>AC497*10</f>
        <v>0</v>
      </c>
      <c r="AE497" s="1">
        <v>1</v>
      </c>
    </row>
    <row r="498" spans="1:31" x14ac:dyDescent="0.2">
      <c r="A498" s="1">
        <v>497</v>
      </c>
      <c r="B498" s="1">
        <v>2011</v>
      </c>
      <c r="C498" s="1" t="s">
        <v>88</v>
      </c>
      <c r="D498" s="8" t="s">
        <v>246</v>
      </c>
      <c r="E498" s="8" t="s">
        <v>249</v>
      </c>
      <c r="F498" s="1" t="s">
        <v>83</v>
      </c>
      <c r="I498" s="12">
        <v>4.79</v>
      </c>
      <c r="J498" s="12">
        <v>25.1</v>
      </c>
      <c r="K498" s="13" t="s">
        <v>34</v>
      </c>
      <c r="L498" s="14">
        <v>3070</v>
      </c>
      <c r="M498" s="14" t="s">
        <v>34</v>
      </c>
      <c r="N498" s="14">
        <v>14753</v>
      </c>
      <c r="O498" s="13">
        <v>30.9</v>
      </c>
      <c r="P498" s="13">
        <v>7.6</v>
      </c>
      <c r="Q498" s="13">
        <v>54.1</v>
      </c>
      <c r="R498" s="13">
        <v>52.6</v>
      </c>
      <c r="T498" s="15"/>
      <c r="U498" s="13">
        <v>24.1</v>
      </c>
      <c r="V498" s="13">
        <v>2.1</v>
      </c>
      <c r="W498" s="12" t="s">
        <v>89</v>
      </c>
      <c r="X498" s="15" t="s">
        <v>89</v>
      </c>
      <c r="Y498" s="13">
        <v>64.099999999999994</v>
      </c>
      <c r="Z498" s="7">
        <v>1.36</v>
      </c>
      <c r="AA498" s="1">
        <v>5.38</v>
      </c>
      <c r="AB498" s="16">
        <f>AA498*10</f>
        <v>53.8</v>
      </c>
      <c r="AC498" s="1">
        <v>4.5</v>
      </c>
      <c r="AD498" s="16">
        <f>AC498*10</f>
        <v>45</v>
      </c>
      <c r="AE498" s="1">
        <v>1</v>
      </c>
    </row>
    <row r="499" spans="1:31" x14ac:dyDescent="0.2">
      <c r="A499" s="1">
        <v>498</v>
      </c>
      <c r="B499" s="1">
        <v>2014</v>
      </c>
      <c r="C499" s="1" t="s">
        <v>31</v>
      </c>
      <c r="D499" s="1" t="s">
        <v>71</v>
      </c>
      <c r="E499" s="1" t="s">
        <v>454</v>
      </c>
      <c r="F499" s="1" t="s">
        <v>83</v>
      </c>
      <c r="G499" s="1">
        <v>110</v>
      </c>
      <c r="I499" s="12">
        <v>4.8499999999999996</v>
      </c>
      <c r="J499" s="12">
        <v>13.9</v>
      </c>
      <c r="K499" s="1" t="s">
        <v>34</v>
      </c>
      <c r="L499" s="16">
        <v>3071</v>
      </c>
      <c r="N499" s="16">
        <v>14882</v>
      </c>
      <c r="O499" s="15">
        <v>32.200000000000003</v>
      </c>
      <c r="P499" s="15">
        <v>6.82</v>
      </c>
      <c r="Q499" s="15">
        <v>50.7</v>
      </c>
      <c r="R499" s="15">
        <v>55.2</v>
      </c>
      <c r="T499" s="15"/>
      <c r="U499" s="15">
        <v>23.1</v>
      </c>
      <c r="V499" s="15">
        <v>4.8</v>
      </c>
      <c r="W499" s="12">
        <v>0.68</v>
      </c>
      <c r="X499" s="15"/>
      <c r="Y499" s="15">
        <v>65.5</v>
      </c>
      <c r="Z499" s="12">
        <v>1.36</v>
      </c>
      <c r="AA499" s="1">
        <v>4</v>
      </c>
      <c r="AB499" s="16">
        <f>AA499*10</f>
        <v>40</v>
      </c>
      <c r="AD499" s="16"/>
      <c r="AE499" s="1">
        <v>1</v>
      </c>
    </row>
    <row r="500" spans="1:31" x14ac:dyDescent="0.2">
      <c r="A500" s="1">
        <v>499</v>
      </c>
      <c r="B500" s="1">
        <v>2014</v>
      </c>
      <c r="C500" s="1" t="s">
        <v>96</v>
      </c>
      <c r="D500" s="8" t="s">
        <v>1023</v>
      </c>
      <c r="E500" s="8" t="s">
        <v>397</v>
      </c>
      <c r="F500" s="8" t="s">
        <v>32</v>
      </c>
      <c r="I500" s="12">
        <v>6</v>
      </c>
      <c r="J500" s="7">
        <v>39.6</v>
      </c>
      <c r="K500" s="13" t="s">
        <v>34</v>
      </c>
      <c r="L500" s="14">
        <v>3071</v>
      </c>
      <c r="M500" s="8"/>
      <c r="N500" s="14">
        <v>18434</v>
      </c>
      <c r="O500" s="13">
        <v>31.8</v>
      </c>
      <c r="P500" s="13">
        <v>10.1</v>
      </c>
      <c r="Q500" s="13">
        <v>52.8</v>
      </c>
      <c r="R500" s="13">
        <v>54</v>
      </c>
      <c r="T500" s="15"/>
      <c r="U500" s="13">
        <v>19.5</v>
      </c>
      <c r="V500" s="13">
        <v>2.2999999999999998</v>
      </c>
      <c r="W500" s="7">
        <v>0.62</v>
      </c>
      <c r="X500" s="15"/>
      <c r="Y500" s="13">
        <v>60.7</v>
      </c>
      <c r="Z500" s="7">
        <v>1.72</v>
      </c>
      <c r="AA500" s="13">
        <v>1</v>
      </c>
      <c r="AB500" s="16">
        <f>AA500*10</f>
        <v>10</v>
      </c>
      <c r="AC500" s="8">
        <v>0</v>
      </c>
      <c r="AD500" s="16">
        <f>AC500*10</f>
        <v>0</v>
      </c>
      <c r="AE500" s="1">
        <v>0</v>
      </c>
    </row>
    <row r="501" spans="1:31" x14ac:dyDescent="0.2">
      <c r="A501" s="1">
        <v>500</v>
      </c>
      <c r="B501" s="1">
        <v>2014</v>
      </c>
      <c r="C501" s="1" t="s">
        <v>31</v>
      </c>
      <c r="D501" s="1" t="s">
        <v>399</v>
      </c>
      <c r="E501" s="1" t="s">
        <v>444</v>
      </c>
      <c r="F501" s="1" t="s">
        <v>83</v>
      </c>
      <c r="G501" s="1">
        <v>116</v>
      </c>
      <c r="H501" s="1" t="s">
        <v>34</v>
      </c>
      <c r="I501" s="12">
        <v>6.29</v>
      </c>
      <c r="J501" s="12">
        <v>18</v>
      </c>
      <c r="K501" s="1" t="s">
        <v>34</v>
      </c>
      <c r="L501" s="16">
        <v>3072</v>
      </c>
      <c r="M501" s="1" t="s">
        <v>34</v>
      </c>
      <c r="N501" s="16">
        <v>19298</v>
      </c>
      <c r="O501" s="15">
        <v>35</v>
      </c>
      <c r="P501" s="15">
        <v>6.53</v>
      </c>
      <c r="Q501" s="15">
        <v>49.8</v>
      </c>
      <c r="R501" s="15">
        <v>57.6</v>
      </c>
      <c r="T501" s="15"/>
      <c r="U501" s="15">
        <v>21.9</v>
      </c>
      <c r="V501" s="15">
        <v>6.8</v>
      </c>
      <c r="W501" s="12">
        <v>0.69</v>
      </c>
      <c r="X501" s="15"/>
      <c r="Y501" s="15">
        <v>66.400000000000006</v>
      </c>
      <c r="Z501" s="12">
        <v>1.81</v>
      </c>
      <c r="AA501" s="1">
        <v>4</v>
      </c>
      <c r="AB501" s="16">
        <f>AA501*10</f>
        <v>40</v>
      </c>
      <c r="AD501" s="16"/>
      <c r="AE501" s="1">
        <v>1</v>
      </c>
    </row>
    <row r="502" spans="1:31" x14ac:dyDescent="0.2">
      <c r="A502" s="1">
        <v>501</v>
      </c>
      <c r="B502" s="1">
        <v>2010</v>
      </c>
      <c r="C502" s="1" t="s">
        <v>88</v>
      </c>
      <c r="D502" s="8" t="s">
        <v>1023</v>
      </c>
      <c r="E502" s="8">
        <v>7401</v>
      </c>
      <c r="F502" s="1" t="s">
        <v>83</v>
      </c>
      <c r="I502" s="12">
        <v>6.37</v>
      </c>
      <c r="J502" s="7">
        <v>18.2</v>
      </c>
      <c r="L502" s="16">
        <v>3072</v>
      </c>
      <c r="M502" s="1" t="s">
        <v>34</v>
      </c>
      <c r="N502" s="16">
        <v>19606</v>
      </c>
      <c r="O502" s="15">
        <v>30.6</v>
      </c>
      <c r="P502" s="15">
        <v>9.6</v>
      </c>
      <c r="Q502" s="15">
        <v>44.7</v>
      </c>
      <c r="R502" s="15">
        <v>51.6</v>
      </c>
      <c r="T502" s="15"/>
      <c r="U502" s="15">
        <v>30</v>
      </c>
      <c r="V502" s="15">
        <v>4.4000000000000004</v>
      </c>
      <c r="W502" s="12"/>
      <c r="X502" s="15"/>
      <c r="Y502" s="15">
        <v>65.8</v>
      </c>
      <c r="Z502" s="12">
        <v>1.47</v>
      </c>
      <c r="AA502" s="13">
        <v>1.75</v>
      </c>
      <c r="AB502" s="16">
        <f>AA502*10</f>
        <v>17.5</v>
      </c>
      <c r="AC502" s="13">
        <v>1</v>
      </c>
      <c r="AD502" s="16">
        <f>AC502*10</f>
        <v>10</v>
      </c>
      <c r="AE502" s="1">
        <v>1</v>
      </c>
    </row>
    <row r="503" spans="1:31" x14ac:dyDescent="0.2">
      <c r="A503" s="1">
        <v>502</v>
      </c>
      <c r="B503" s="1">
        <v>2017</v>
      </c>
      <c r="C503" s="1" t="s">
        <v>88</v>
      </c>
      <c r="D503" s="28" t="s">
        <v>914</v>
      </c>
      <c r="E503" s="1" t="s">
        <v>634</v>
      </c>
      <c r="F503" s="1" t="s">
        <v>32</v>
      </c>
      <c r="H503" s="1" t="s">
        <v>34</v>
      </c>
      <c r="I503" s="12">
        <v>6.7</v>
      </c>
      <c r="J503" s="3">
        <v>19.100000000000001</v>
      </c>
      <c r="L503" s="5">
        <v>3072.25</v>
      </c>
      <c r="M503" s="1" t="s">
        <v>34</v>
      </c>
      <c r="N503" s="5">
        <v>20618</v>
      </c>
      <c r="O503" s="6">
        <v>31.337088699999999</v>
      </c>
      <c r="P503" s="6">
        <v>5.4</v>
      </c>
      <c r="Q503" s="6">
        <v>52.145000000000003</v>
      </c>
      <c r="R503" s="15">
        <v>42.3</v>
      </c>
      <c r="S503" s="15">
        <v>24</v>
      </c>
      <c r="U503" s="6">
        <v>21.1</v>
      </c>
      <c r="V503" s="6">
        <v>9.4</v>
      </c>
      <c r="W503" s="3">
        <v>0.64247500000000002</v>
      </c>
      <c r="X503" s="6"/>
      <c r="Y503" s="15">
        <v>59.167499999999997</v>
      </c>
      <c r="Z503" s="3">
        <v>1.47016188</v>
      </c>
      <c r="AB503" s="16"/>
      <c r="AD503" s="16"/>
      <c r="AE503" s="1">
        <v>1</v>
      </c>
    </row>
    <row r="504" spans="1:31" ht="17" x14ac:dyDescent="0.2">
      <c r="A504" s="1">
        <v>503</v>
      </c>
      <c r="B504" s="1">
        <v>2019</v>
      </c>
      <c r="C504" s="1" t="s">
        <v>88</v>
      </c>
      <c r="D504" s="28" t="s">
        <v>914</v>
      </c>
      <c r="E504" s="9" t="s">
        <v>735</v>
      </c>
      <c r="F504" s="1" t="s">
        <v>83</v>
      </c>
      <c r="H504" s="1" t="s">
        <v>34</v>
      </c>
      <c r="I504" s="12">
        <v>6.85</v>
      </c>
      <c r="J504" s="3">
        <v>19.55</v>
      </c>
      <c r="K504" s="1" t="s">
        <v>34</v>
      </c>
      <c r="L504" s="5">
        <v>3072.5</v>
      </c>
      <c r="M504" s="1" t="s">
        <v>34</v>
      </c>
      <c r="N504" s="5">
        <v>21259.7</v>
      </c>
      <c r="O504" s="6">
        <v>27.372499999999999</v>
      </c>
      <c r="P504" s="6">
        <v>10.29</v>
      </c>
      <c r="Q504" s="6">
        <v>45.707500000000003</v>
      </c>
      <c r="R504" s="6">
        <v>36.6175</v>
      </c>
      <c r="S504" s="3"/>
      <c r="T504" s="6">
        <v>28.635000000000002</v>
      </c>
      <c r="U504" s="6">
        <v>21.17</v>
      </c>
      <c r="V504" s="6">
        <v>5.6574999999999998</v>
      </c>
      <c r="W504" s="3">
        <v>0.68110000000000004</v>
      </c>
      <c r="X504" s="6"/>
      <c r="Y504" s="6">
        <v>66.05</v>
      </c>
      <c r="Z504" s="3">
        <v>1.1200000000000001</v>
      </c>
      <c r="AB504" s="16"/>
      <c r="AC504" s="4">
        <v>1</v>
      </c>
      <c r="AD504" s="16">
        <f>AC504*10</f>
        <v>10</v>
      </c>
      <c r="AE504" s="1">
        <v>1</v>
      </c>
    </row>
    <row r="505" spans="1:31" x14ac:dyDescent="0.2">
      <c r="A505" s="1">
        <v>504</v>
      </c>
      <c r="B505" s="1">
        <v>2019</v>
      </c>
      <c r="C505" s="1" t="s">
        <v>88</v>
      </c>
      <c r="D505" s="8" t="s">
        <v>187</v>
      </c>
      <c r="E505" s="8">
        <v>18118</v>
      </c>
      <c r="F505" s="1" t="s">
        <v>32</v>
      </c>
      <c r="I505" s="12">
        <v>6.2549999999999999</v>
      </c>
      <c r="J505" s="3">
        <v>17.87</v>
      </c>
      <c r="L505" s="5">
        <v>3074.5</v>
      </c>
      <c r="N505" s="5">
        <v>19211</v>
      </c>
      <c r="O505" s="6">
        <v>31.81</v>
      </c>
      <c r="P505" s="6">
        <v>6.64</v>
      </c>
      <c r="Q505" s="6">
        <v>47.267499999999998</v>
      </c>
      <c r="R505" s="6">
        <v>40.935000000000002</v>
      </c>
      <c r="S505" s="3"/>
      <c r="T505" s="6">
        <v>33.377499999999998</v>
      </c>
      <c r="U505" s="6">
        <v>18.315000000000001</v>
      </c>
      <c r="V505" s="6">
        <v>11.6175</v>
      </c>
      <c r="W505" s="3">
        <v>0.68685000000000007</v>
      </c>
      <c r="X505" s="6"/>
      <c r="Y505" s="6">
        <v>59.634999999999998</v>
      </c>
      <c r="Z505" s="3">
        <v>1.2224999999999999</v>
      </c>
      <c r="AB505" s="16"/>
      <c r="AC505" s="6">
        <v>1.5</v>
      </c>
      <c r="AD505" s="16">
        <f>AC505*10</f>
        <v>15</v>
      </c>
      <c r="AE505" s="1">
        <v>1</v>
      </c>
    </row>
    <row r="506" spans="1:31" x14ac:dyDescent="0.2">
      <c r="A506" s="1">
        <v>505</v>
      </c>
      <c r="B506" s="1">
        <v>2015</v>
      </c>
      <c r="C506" s="8" t="s">
        <v>88</v>
      </c>
      <c r="D506" s="8" t="s">
        <v>1023</v>
      </c>
      <c r="E506" s="8" t="s">
        <v>386</v>
      </c>
      <c r="F506" s="1" t="s">
        <v>83</v>
      </c>
      <c r="I506" s="12">
        <v>5.0999999999999996</v>
      </c>
      <c r="J506" s="7">
        <v>14.571428571428571</v>
      </c>
      <c r="K506" s="1" t="s">
        <v>34</v>
      </c>
      <c r="L506" s="14">
        <v>3076</v>
      </c>
      <c r="N506" s="14">
        <v>15701</v>
      </c>
      <c r="O506" s="13">
        <v>28.7</v>
      </c>
      <c r="P506" s="13">
        <v>8.6999999999999993</v>
      </c>
      <c r="Q506" s="13">
        <v>52.3</v>
      </c>
      <c r="R506" s="13">
        <v>48</v>
      </c>
      <c r="S506" s="8"/>
      <c r="T506" s="13" t="s">
        <v>89</v>
      </c>
      <c r="U506" s="13">
        <v>18.2</v>
      </c>
      <c r="V506" s="13">
        <v>8.3000000000000007</v>
      </c>
      <c r="W506" s="7">
        <v>0.68</v>
      </c>
      <c r="X506" s="13"/>
      <c r="Y506" s="13">
        <v>60.5</v>
      </c>
      <c r="Z506" s="7">
        <v>1.28</v>
      </c>
      <c r="AA506" s="13">
        <v>2.7</v>
      </c>
      <c r="AB506" s="16">
        <f>AA506*10</f>
        <v>27</v>
      </c>
      <c r="AC506" s="13">
        <v>1</v>
      </c>
      <c r="AD506" s="16">
        <f>AC506*10</f>
        <v>10</v>
      </c>
      <c r="AE506" s="1">
        <v>1</v>
      </c>
    </row>
    <row r="507" spans="1:31" x14ac:dyDescent="0.2">
      <c r="A507" s="1">
        <v>506</v>
      </c>
      <c r="B507" s="1">
        <v>2014</v>
      </c>
      <c r="C507" s="1" t="s">
        <v>31</v>
      </c>
      <c r="D507" s="1" t="s">
        <v>37</v>
      </c>
      <c r="E507" s="1" t="s">
        <v>448</v>
      </c>
      <c r="F507" s="1" t="s">
        <v>83</v>
      </c>
      <c r="G507" s="1">
        <v>116</v>
      </c>
      <c r="H507" s="1" t="s">
        <v>34</v>
      </c>
      <c r="I507" s="12">
        <v>6.14</v>
      </c>
      <c r="J507" s="12">
        <v>17.5</v>
      </c>
      <c r="K507" s="1" t="s">
        <v>34</v>
      </c>
      <c r="L507" s="16">
        <v>3076</v>
      </c>
      <c r="M507" s="1" t="s">
        <v>34</v>
      </c>
      <c r="N507" s="16">
        <v>19078</v>
      </c>
      <c r="O507" s="15">
        <v>31.7</v>
      </c>
      <c r="P507" s="15">
        <v>7.68</v>
      </c>
      <c r="Q507" s="15">
        <v>46.5</v>
      </c>
      <c r="R507" s="15">
        <v>54.4</v>
      </c>
      <c r="T507" s="15"/>
      <c r="U507" s="15">
        <v>26.6</v>
      </c>
      <c r="V507" s="15">
        <v>5.5</v>
      </c>
      <c r="W507" s="12">
        <v>0.69</v>
      </c>
      <c r="X507" s="15"/>
      <c r="Y507" s="15">
        <v>66.8</v>
      </c>
      <c r="Z507" s="12">
        <v>1.54</v>
      </c>
      <c r="AA507" s="1">
        <v>4</v>
      </c>
      <c r="AB507" s="16">
        <f>AA507*10</f>
        <v>40</v>
      </c>
      <c r="AD507" s="16"/>
      <c r="AE507" s="1">
        <v>1</v>
      </c>
    </row>
    <row r="508" spans="1:31" x14ac:dyDescent="0.2">
      <c r="A508" s="1">
        <v>507</v>
      </c>
      <c r="B508" s="1">
        <v>2020</v>
      </c>
      <c r="C508" s="1" t="s">
        <v>31</v>
      </c>
      <c r="D508" s="1" t="s">
        <v>805</v>
      </c>
      <c r="E508" s="1" t="s">
        <v>717</v>
      </c>
      <c r="F508" s="1" t="s">
        <v>32</v>
      </c>
      <c r="G508" s="1">
        <v>119</v>
      </c>
      <c r="H508" s="1" t="s">
        <v>754</v>
      </c>
      <c r="I508" s="12">
        <v>9.1592957559160002</v>
      </c>
      <c r="J508" s="12">
        <v>26.164058792999999</v>
      </c>
      <c r="K508" s="1" t="s">
        <v>754</v>
      </c>
      <c r="L508" s="16">
        <v>3076.414376106</v>
      </c>
      <c r="M508" s="16" t="s">
        <v>34</v>
      </c>
      <c r="N508" s="16">
        <v>28198.107458401999</v>
      </c>
      <c r="O508" s="10">
        <v>44.0163194</v>
      </c>
      <c r="P508" s="15">
        <v>8.6575000000000006</v>
      </c>
      <c r="Q508" s="15">
        <v>48.715000000000003</v>
      </c>
      <c r="R508" s="15">
        <v>46.081729623000001</v>
      </c>
      <c r="S508" s="15"/>
      <c r="T508" s="15">
        <v>26.895</v>
      </c>
      <c r="U508" s="15">
        <v>21.355</v>
      </c>
      <c r="V508" s="15">
        <v>7.4282304000000003</v>
      </c>
      <c r="W508" s="12">
        <v>0.65884383700000004</v>
      </c>
      <c r="X508" s="15"/>
      <c r="Y508" s="15">
        <v>69.955511794000003</v>
      </c>
      <c r="Z508" s="12"/>
      <c r="AA508" s="15">
        <v>0.75</v>
      </c>
      <c r="AB508" s="16">
        <f>AA508*33.334</f>
        <v>25.000500000000002</v>
      </c>
      <c r="AD508" s="16"/>
      <c r="AE508" s="1">
        <v>1</v>
      </c>
    </row>
    <row r="509" spans="1:31" x14ac:dyDescent="0.2">
      <c r="A509" s="1">
        <v>508</v>
      </c>
      <c r="B509" s="1">
        <v>2008</v>
      </c>
      <c r="C509" s="8" t="s">
        <v>88</v>
      </c>
      <c r="D509" s="8" t="s">
        <v>90</v>
      </c>
      <c r="E509" s="8" t="s">
        <v>95</v>
      </c>
      <c r="F509" s="8" t="s">
        <v>32</v>
      </c>
      <c r="G509" s="8"/>
      <c r="H509" s="8"/>
      <c r="I509" s="12">
        <v>6.67</v>
      </c>
      <c r="J509" s="7">
        <v>19.100000000000001</v>
      </c>
      <c r="K509" s="13" t="s">
        <v>34</v>
      </c>
      <c r="L509" s="14">
        <v>3079</v>
      </c>
      <c r="M509" s="14" t="s">
        <v>34</v>
      </c>
      <c r="N509" s="14">
        <v>20538</v>
      </c>
      <c r="O509" s="13">
        <v>29.2</v>
      </c>
      <c r="P509" s="13">
        <v>7.6</v>
      </c>
      <c r="Q509" s="13">
        <v>47.9</v>
      </c>
      <c r="R509" s="13">
        <v>59.8</v>
      </c>
      <c r="S509" s="13"/>
      <c r="T509" s="13"/>
      <c r="U509" s="13">
        <v>27.9</v>
      </c>
      <c r="V509" s="15" t="s">
        <v>89</v>
      </c>
      <c r="X509" s="15"/>
      <c r="Y509" s="13">
        <v>70.8</v>
      </c>
      <c r="Z509" s="7">
        <v>1.91</v>
      </c>
      <c r="AB509" s="16"/>
      <c r="AD509" s="16"/>
      <c r="AE509" s="1">
        <v>1</v>
      </c>
    </row>
    <row r="510" spans="1:31" x14ac:dyDescent="0.2">
      <c r="A510" s="1">
        <v>509</v>
      </c>
      <c r="B510" s="1">
        <v>2021</v>
      </c>
      <c r="C510" s="1" t="s">
        <v>88</v>
      </c>
      <c r="D510" s="28" t="s">
        <v>914</v>
      </c>
      <c r="E510" s="1" t="s">
        <v>791</v>
      </c>
      <c r="F510" s="1" t="s">
        <v>83</v>
      </c>
      <c r="H510" s="1" t="s">
        <v>89</v>
      </c>
      <c r="I510" s="12">
        <v>5.6884806319330004</v>
      </c>
      <c r="J510" s="12">
        <v>16.252801806000001</v>
      </c>
      <c r="K510" s="1" t="s">
        <v>89</v>
      </c>
      <c r="L510" s="16">
        <v>3079.5</v>
      </c>
      <c r="N510" s="16">
        <v>17810.678858728999</v>
      </c>
      <c r="O510" s="15">
        <v>28.528301599999999</v>
      </c>
      <c r="P510" s="15">
        <v>7.53</v>
      </c>
      <c r="Q510" s="15">
        <v>52.997500000000002</v>
      </c>
      <c r="R510" s="15">
        <v>52.052500000000002</v>
      </c>
      <c r="U510" s="15">
        <v>15.012499999999999</v>
      </c>
      <c r="V510" s="15">
        <v>9.4700000000000006</v>
      </c>
      <c r="W510" s="12">
        <v>0.67502499999999999</v>
      </c>
      <c r="X510" s="15"/>
      <c r="Y510" s="15">
        <v>61.267499999999998</v>
      </c>
      <c r="Z510" s="12"/>
      <c r="AA510" s="15">
        <v>1.125</v>
      </c>
      <c r="AB510" s="16">
        <f>AA510*33.334</f>
        <v>37.500750000000004</v>
      </c>
      <c r="AC510" s="1">
        <v>0</v>
      </c>
      <c r="AD510" s="16">
        <f>AC510*33.334</f>
        <v>0</v>
      </c>
      <c r="AE510" s="1">
        <v>1</v>
      </c>
    </row>
    <row r="511" spans="1:31" x14ac:dyDescent="0.2">
      <c r="A511" s="1">
        <v>510</v>
      </c>
      <c r="B511" s="1">
        <v>2009</v>
      </c>
      <c r="C511" s="1" t="s">
        <v>88</v>
      </c>
      <c r="D511" s="1" t="s">
        <v>916</v>
      </c>
      <c r="E511" s="8" t="s">
        <v>145</v>
      </c>
      <c r="F511" s="1" t="s">
        <v>83</v>
      </c>
      <c r="H511" s="1" t="s">
        <v>34</v>
      </c>
      <c r="I511" s="12">
        <v>6.6</v>
      </c>
      <c r="J511" s="7">
        <v>18.899999999999999</v>
      </c>
      <c r="L511" s="14">
        <v>3083</v>
      </c>
      <c r="M511" s="1" t="s">
        <v>34</v>
      </c>
      <c r="N511" s="14">
        <v>20445</v>
      </c>
      <c r="O511" s="13">
        <v>30</v>
      </c>
      <c r="P511" s="13">
        <v>8.9</v>
      </c>
      <c r="Q511" s="13">
        <v>50.2</v>
      </c>
      <c r="R511" s="13">
        <v>54.8</v>
      </c>
      <c r="S511" s="13"/>
      <c r="T511" s="13">
        <v>34.700000000000003</v>
      </c>
      <c r="U511" s="13">
        <v>22.5</v>
      </c>
      <c r="V511" s="13">
        <v>3</v>
      </c>
      <c r="W511" s="12" t="s">
        <v>89</v>
      </c>
      <c r="X511" s="13">
        <v>77.3</v>
      </c>
      <c r="Y511" s="13">
        <v>61.7</v>
      </c>
      <c r="Z511" s="7">
        <v>1.81</v>
      </c>
      <c r="AA511" s="13">
        <v>1</v>
      </c>
      <c r="AB511" s="14">
        <v>10</v>
      </c>
      <c r="AC511" s="13">
        <v>2.2999999999999998</v>
      </c>
      <c r="AD511" s="16">
        <f>AC511*10</f>
        <v>23</v>
      </c>
      <c r="AE511" s="1">
        <v>1</v>
      </c>
    </row>
    <row r="512" spans="1:31" x14ac:dyDescent="0.2">
      <c r="A512" s="1">
        <v>511</v>
      </c>
      <c r="B512" s="1">
        <v>2011</v>
      </c>
      <c r="C512" s="1" t="s">
        <v>88</v>
      </c>
      <c r="D512" s="8" t="s">
        <v>1023</v>
      </c>
      <c r="E512" s="8" t="s">
        <v>239</v>
      </c>
      <c r="F512" s="1" t="s">
        <v>83</v>
      </c>
      <c r="I512" s="12">
        <v>4.8899999999999997</v>
      </c>
      <c r="J512" s="12">
        <v>23.1428571428571</v>
      </c>
      <c r="K512" s="13" t="s">
        <v>34</v>
      </c>
      <c r="L512" s="14">
        <v>3084</v>
      </c>
      <c r="M512" s="14" t="s">
        <v>34</v>
      </c>
      <c r="N512" s="14">
        <v>15205</v>
      </c>
      <c r="O512" s="13">
        <v>30.4</v>
      </c>
      <c r="P512" s="13">
        <v>7.13</v>
      </c>
      <c r="Q512" s="13">
        <v>53</v>
      </c>
      <c r="R512" s="13">
        <v>52.8</v>
      </c>
      <c r="T512" s="15"/>
      <c r="U512" s="13">
        <v>24.8</v>
      </c>
      <c r="V512" s="13">
        <v>2.5</v>
      </c>
      <c r="W512" s="12" t="s">
        <v>89</v>
      </c>
      <c r="X512" s="15" t="s">
        <v>89</v>
      </c>
      <c r="Y512" s="13">
        <v>64.099999999999994</v>
      </c>
      <c r="Z512" s="7">
        <v>1.36</v>
      </c>
      <c r="AA512" s="1">
        <v>5.3</v>
      </c>
      <c r="AB512" s="16">
        <f>AA512*10</f>
        <v>53</v>
      </c>
      <c r="AC512" s="1">
        <v>3</v>
      </c>
      <c r="AD512" s="16">
        <f>AC512*10</f>
        <v>30</v>
      </c>
      <c r="AE512" s="1">
        <v>1</v>
      </c>
    </row>
    <row r="513" spans="1:31" x14ac:dyDescent="0.2">
      <c r="A513" s="1">
        <v>512</v>
      </c>
      <c r="B513" s="1">
        <v>2019</v>
      </c>
      <c r="C513" s="1" t="s">
        <v>88</v>
      </c>
      <c r="D513" s="8" t="s">
        <v>187</v>
      </c>
      <c r="E513" s="8" t="s">
        <v>512</v>
      </c>
      <c r="F513" s="1" t="s">
        <v>32</v>
      </c>
      <c r="I513" s="12">
        <v>6.7275</v>
      </c>
      <c r="J513" s="3">
        <v>19.215</v>
      </c>
      <c r="L513" s="5">
        <v>3084.25</v>
      </c>
      <c r="N513" s="5">
        <v>20806</v>
      </c>
      <c r="O513" s="6">
        <v>33.015000000000001</v>
      </c>
      <c r="P513" s="6">
        <v>7.3</v>
      </c>
      <c r="Q513" s="6">
        <v>49.02</v>
      </c>
      <c r="R513" s="6">
        <v>47.6</v>
      </c>
      <c r="S513" s="3"/>
      <c r="T513" s="6">
        <v>32.137500000000003</v>
      </c>
      <c r="U513" s="6">
        <v>12.11</v>
      </c>
      <c r="V513" s="6">
        <v>16.445</v>
      </c>
      <c r="W513" s="3">
        <v>0.68587500000000001</v>
      </c>
      <c r="X513" s="6"/>
      <c r="Y513" s="6">
        <v>60.752499999999998</v>
      </c>
      <c r="Z513" s="3">
        <v>1.5674999999999999</v>
      </c>
      <c r="AB513" s="16"/>
      <c r="AC513" s="6">
        <v>0</v>
      </c>
      <c r="AD513" s="16">
        <f>AC513*10</f>
        <v>0</v>
      </c>
      <c r="AE513" s="1">
        <v>1</v>
      </c>
    </row>
    <row r="514" spans="1:31" x14ac:dyDescent="0.2">
      <c r="A514" s="1">
        <v>513</v>
      </c>
      <c r="B514" s="1">
        <v>2011</v>
      </c>
      <c r="C514" s="1" t="s">
        <v>88</v>
      </c>
      <c r="D514" s="1" t="s">
        <v>916</v>
      </c>
      <c r="E514" s="8" t="s">
        <v>235</v>
      </c>
      <c r="F514" s="1" t="s">
        <v>83</v>
      </c>
      <c r="I514" s="12">
        <v>4.9400000000000004</v>
      </c>
      <c r="J514" s="12">
        <v>19.100000000000001</v>
      </c>
      <c r="K514" s="13" t="s">
        <v>34</v>
      </c>
      <c r="L514" s="14">
        <v>3085</v>
      </c>
      <c r="M514" s="14" t="s">
        <v>34</v>
      </c>
      <c r="N514" s="14">
        <v>15191</v>
      </c>
      <c r="O514" s="13">
        <v>27</v>
      </c>
      <c r="P514" s="13">
        <v>7.3</v>
      </c>
      <c r="Q514" s="13">
        <v>53.8</v>
      </c>
      <c r="R514" s="13">
        <v>54.5</v>
      </c>
      <c r="T514" s="15"/>
      <c r="U514" s="13">
        <v>21.4</v>
      </c>
      <c r="V514" s="13">
        <v>2.1</v>
      </c>
      <c r="W514" s="12" t="s">
        <v>89</v>
      </c>
      <c r="X514" s="15" t="s">
        <v>89</v>
      </c>
      <c r="Y514" s="13">
        <v>63.9</v>
      </c>
      <c r="Z514" s="7">
        <v>1.45</v>
      </c>
      <c r="AA514" s="1">
        <v>3.5</v>
      </c>
      <c r="AB514" s="16">
        <f>AA514*10</f>
        <v>35</v>
      </c>
      <c r="AC514" s="1">
        <v>3</v>
      </c>
      <c r="AD514" s="16">
        <f>AC514*10</f>
        <v>30</v>
      </c>
      <c r="AE514" s="1">
        <v>1</v>
      </c>
    </row>
    <row r="515" spans="1:31" x14ac:dyDescent="0.2">
      <c r="A515" s="1">
        <v>514</v>
      </c>
      <c r="B515" s="1">
        <v>2018</v>
      </c>
      <c r="C515" s="1" t="s">
        <v>31</v>
      </c>
      <c r="D515" s="1" t="s">
        <v>391</v>
      </c>
      <c r="E515" s="1" t="s">
        <v>622</v>
      </c>
      <c r="F515" s="1" t="s">
        <v>32</v>
      </c>
      <c r="G515" s="1">
        <v>118</v>
      </c>
      <c r="H515" s="1" t="s">
        <v>34</v>
      </c>
      <c r="I515" s="12">
        <v>9.3000000000000007</v>
      </c>
      <c r="J515" s="3">
        <v>26.5</v>
      </c>
      <c r="L515" s="5">
        <v>3085.3333299999999</v>
      </c>
      <c r="M515" s="1" t="s">
        <v>34</v>
      </c>
      <c r="N515" s="5">
        <v>28397</v>
      </c>
      <c r="O515" s="6">
        <v>38.9</v>
      </c>
      <c r="P515" s="18">
        <v>8</v>
      </c>
      <c r="Q515" s="6">
        <v>41.446666700000002</v>
      </c>
      <c r="R515" s="6">
        <v>56.47</v>
      </c>
      <c r="S515" s="3"/>
      <c r="T515" s="6">
        <v>25.656666699999999</v>
      </c>
      <c r="U515" s="6">
        <v>35.2066667</v>
      </c>
      <c r="V515" s="6">
        <v>4.8633333299999997</v>
      </c>
      <c r="W515" s="3">
        <v>0.73</v>
      </c>
      <c r="X515" s="6"/>
      <c r="Y515" s="6">
        <v>70.400000000000006</v>
      </c>
      <c r="Z515" s="3">
        <v>2.1800000000000002</v>
      </c>
      <c r="AB515" s="16"/>
      <c r="AD515" s="16"/>
      <c r="AE515" s="1">
        <v>1</v>
      </c>
    </row>
    <row r="516" spans="1:31" x14ac:dyDescent="0.2">
      <c r="A516" s="1">
        <v>515</v>
      </c>
      <c r="B516" s="1">
        <v>2019</v>
      </c>
      <c r="C516" s="1" t="s">
        <v>88</v>
      </c>
      <c r="D516" s="8" t="s">
        <v>731</v>
      </c>
      <c r="E516" s="8">
        <v>18552</v>
      </c>
      <c r="F516" s="1" t="s">
        <v>32</v>
      </c>
      <c r="I516" s="12">
        <v>5.6924999999999999</v>
      </c>
      <c r="J516" s="3">
        <v>16.2575</v>
      </c>
      <c r="L516" s="5">
        <v>3087</v>
      </c>
      <c r="N516" s="5">
        <v>17589.25</v>
      </c>
      <c r="O516" s="6">
        <v>39.1</v>
      </c>
      <c r="P516" s="6">
        <v>8.1</v>
      </c>
      <c r="Q516" s="6">
        <v>44.32</v>
      </c>
      <c r="R516" s="6">
        <v>26.892499999999998</v>
      </c>
      <c r="S516" s="3"/>
      <c r="T516" s="6">
        <v>32.487499999999997</v>
      </c>
      <c r="U516" s="6">
        <v>24.614999999999998</v>
      </c>
      <c r="V516" s="6">
        <v>7.0875000000000004</v>
      </c>
      <c r="W516" s="3">
        <v>0.69275000000000009</v>
      </c>
      <c r="X516" s="6"/>
      <c r="Y516" s="6">
        <v>58.702500000000001</v>
      </c>
      <c r="Z516" s="3">
        <v>0.6825</v>
      </c>
      <c r="AB516" s="16"/>
      <c r="AC516" s="6">
        <v>0</v>
      </c>
      <c r="AD516" s="16">
        <f>AC516*10</f>
        <v>0</v>
      </c>
      <c r="AE516" s="1">
        <v>1</v>
      </c>
    </row>
    <row r="517" spans="1:31" x14ac:dyDescent="0.2">
      <c r="A517" s="1">
        <v>516</v>
      </c>
      <c r="B517" s="1">
        <v>2018</v>
      </c>
      <c r="C517" s="1" t="s">
        <v>88</v>
      </c>
      <c r="D517" s="28" t="s">
        <v>914</v>
      </c>
      <c r="E517" s="8" t="s">
        <v>680</v>
      </c>
      <c r="F517" s="1" t="s">
        <v>83</v>
      </c>
      <c r="I517" s="12">
        <v>3.6756047000000001</v>
      </c>
      <c r="J517" s="7">
        <v>10.5017277</v>
      </c>
      <c r="K517" s="1" t="s">
        <v>34</v>
      </c>
      <c r="L517" s="14">
        <v>3087.8</v>
      </c>
      <c r="N517" s="14">
        <v>11380.3768</v>
      </c>
      <c r="O517" s="13">
        <v>28.977499999999999</v>
      </c>
      <c r="P517" s="13">
        <v>11.56</v>
      </c>
      <c r="Q517" s="13">
        <v>49.087499999999999</v>
      </c>
      <c r="R517" s="13">
        <v>48.74</v>
      </c>
      <c r="S517" s="7">
        <v>15.87</v>
      </c>
      <c r="U517" s="13">
        <v>17.91</v>
      </c>
      <c r="V517" s="13">
        <v>4.1924999999999999</v>
      </c>
      <c r="W517" s="7">
        <v>0.66390000000000005</v>
      </c>
      <c r="X517" s="13"/>
      <c r="Y517" s="13">
        <v>61.06</v>
      </c>
      <c r="Z517" s="7">
        <v>0.88135458</v>
      </c>
      <c r="AA517" s="14">
        <v>0.25</v>
      </c>
      <c r="AB517" s="16">
        <f>AA517*33.334</f>
        <v>8.3335000000000008</v>
      </c>
      <c r="AD517" s="16"/>
      <c r="AE517" s="1">
        <v>1</v>
      </c>
    </row>
    <row r="518" spans="1:31" x14ac:dyDescent="0.2">
      <c r="A518" s="1">
        <v>517</v>
      </c>
      <c r="B518" s="1">
        <v>2014</v>
      </c>
      <c r="C518" s="1" t="s">
        <v>88</v>
      </c>
      <c r="D518" s="8" t="s">
        <v>459</v>
      </c>
      <c r="E518" s="8" t="s">
        <v>461</v>
      </c>
      <c r="F518" s="8" t="s">
        <v>83</v>
      </c>
      <c r="G518" s="8"/>
      <c r="H518" s="8" t="s">
        <v>34</v>
      </c>
      <c r="I518" s="12">
        <v>13.95</v>
      </c>
      <c r="J518" s="7">
        <v>39.9</v>
      </c>
      <c r="K518" s="13"/>
      <c r="L518" s="14">
        <v>3089</v>
      </c>
      <c r="M518" s="14" t="s">
        <v>34</v>
      </c>
      <c r="N518" s="14">
        <v>43283</v>
      </c>
      <c r="O518" s="13">
        <v>33.4</v>
      </c>
      <c r="P518" s="13">
        <v>4.5</v>
      </c>
      <c r="Q518" s="13">
        <v>52.9</v>
      </c>
      <c r="R518" s="13">
        <v>55.7</v>
      </c>
      <c r="S518" s="13"/>
      <c r="T518" s="13"/>
      <c r="U518" s="13">
        <v>8.3000000000000007</v>
      </c>
      <c r="V518" s="13">
        <v>1.7</v>
      </c>
      <c r="W518" s="7">
        <v>0.63</v>
      </c>
      <c r="X518" s="15"/>
      <c r="Y518" s="13">
        <v>61.4</v>
      </c>
      <c r="Z518" s="7">
        <v>4.0999999999999996</v>
      </c>
      <c r="AA518" s="13">
        <v>1.1000000000000001</v>
      </c>
      <c r="AB518" s="16">
        <f>AA518*10</f>
        <v>11</v>
      </c>
      <c r="AC518" s="8">
        <v>1</v>
      </c>
      <c r="AD518" s="16">
        <f>AC518*10</f>
        <v>10</v>
      </c>
      <c r="AE518" s="1">
        <v>1</v>
      </c>
    </row>
    <row r="519" spans="1:31" x14ac:dyDescent="0.2">
      <c r="A519" s="1">
        <v>518</v>
      </c>
      <c r="B519" s="1">
        <v>2016</v>
      </c>
      <c r="C519" s="1" t="s">
        <v>88</v>
      </c>
      <c r="D519" s="1" t="s">
        <v>459</v>
      </c>
      <c r="E519" s="1" t="s">
        <v>584</v>
      </c>
      <c r="F519" s="1" t="s">
        <v>83</v>
      </c>
      <c r="I519" s="12">
        <v>5.6107729800000001</v>
      </c>
      <c r="J519" s="3">
        <v>16.030779899999999</v>
      </c>
      <c r="K519" s="1" t="s">
        <v>34</v>
      </c>
      <c r="L519" s="5">
        <v>3090</v>
      </c>
      <c r="N519" s="5">
        <v>17342.442899999998</v>
      </c>
      <c r="O519" s="6">
        <v>30.1114736</v>
      </c>
      <c r="P519" s="6">
        <v>6.6349999999999998</v>
      </c>
      <c r="Q519" s="6">
        <v>54.26</v>
      </c>
      <c r="R519" s="15">
        <v>48.282499999999999</v>
      </c>
      <c r="S519" s="6">
        <v>20.605</v>
      </c>
      <c r="T519" s="6"/>
      <c r="U519" s="6">
        <v>9.5024999999999995</v>
      </c>
      <c r="V519" s="6">
        <v>15.9</v>
      </c>
      <c r="W519" s="3">
        <v>0.63747500000000001</v>
      </c>
      <c r="X519" s="6"/>
      <c r="Y519" s="15">
        <v>60.5</v>
      </c>
      <c r="Z519" s="3">
        <v>1.4229450400000001</v>
      </c>
      <c r="AA519" s="6">
        <v>2</v>
      </c>
      <c r="AB519" s="16">
        <f>AA519*10</f>
        <v>20</v>
      </c>
      <c r="AC519" s="6">
        <v>3</v>
      </c>
      <c r="AD519" s="16">
        <f>AC519*10</f>
        <v>30</v>
      </c>
      <c r="AE519" s="1">
        <v>1</v>
      </c>
    </row>
    <row r="520" spans="1:31" x14ac:dyDescent="0.2">
      <c r="A520" s="1">
        <v>519</v>
      </c>
      <c r="B520" s="1">
        <v>2014</v>
      </c>
      <c r="C520" s="1" t="s">
        <v>31</v>
      </c>
      <c r="D520" s="1" t="s">
        <v>291</v>
      </c>
      <c r="E520" s="1" t="s">
        <v>437</v>
      </c>
      <c r="F520" s="1" t="s">
        <v>83</v>
      </c>
      <c r="G520" s="1">
        <v>120</v>
      </c>
      <c r="H520" s="1" t="s">
        <v>34</v>
      </c>
      <c r="I520" s="12">
        <v>5.8</v>
      </c>
      <c r="J520" s="12">
        <v>16.600000000000001</v>
      </c>
      <c r="K520" s="1" t="s">
        <v>34</v>
      </c>
      <c r="L520" s="16">
        <v>3091</v>
      </c>
      <c r="M520" s="1" t="s">
        <v>34</v>
      </c>
      <c r="N520" s="16">
        <v>17929</v>
      </c>
      <c r="O520" s="15">
        <v>35.700000000000003</v>
      </c>
      <c r="P520" s="15">
        <v>7.24</v>
      </c>
      <c r="Q520" s="15">
        <v>43.3</v>
      </c>
      <c r="R520" s="15">
        <v>52.2</v>
      </c>
      <c r="T520" s="15"/>
      <c r="U520" s="15">
        <v>32.5</v>
      </c>
      <c r="V520" s="15">
        <v>4.4000000000000004</v>
      </c>
      <c r="W520" s="12">
        <v>0.71</v>
      </c>
      <c r="X520" s="15"/>
      <c r="Y520" s="15">
        <v>68.400000000000006</v>
      </c>
      <c r="Z520" s="12">
        <v>1.31</v>
      </c>
      <c r="AA520" s="1">
        <v>4</v>
      </c>
      <c r="AB520" s="16">
        <f>AA520*10</f>
        <v>40</v>
      </c>
      <c r="AD520" s="16"/>
      <c r="AE520" s="1">
        <v>1</v>
      </c>
    </row>
    <row r="521" spans="1:31" x14ac:dyDescent="0.2">
      <c r="A521" s="1">
        <v>520</v>
      </c>
      <c r="B521" s="1">
        <v>2014</v>
      </c>
      <c r="C521" s="1" t="s">
        <v>31</v>
      </c>
      <c r="D521" s="1" t="s">
        <v>37</v>
      </c>
      <c r="E521" s="1" t="s">
        <v>371</v>
      </c>
      <c r="F521" s="1" t="s">
        <v>83</v>
      </c>
      <c r="G521" s="1">
        <v>113</v>
      </c>
      <c r="H521" s="1" t="s">
        <v>34</v>
      </c>
      <c r="I521" s="12">
        <v>6.49</v>
      </c>
      <c r="J521" s="12">
        <v>18.5</v>
      </c>
      <c r="K521" s="1" t="s">
        <v>34</v>
      </c>
      <c r="L521" s="16">
        <v>3091</v>
      </c>
      <c r="M521" s="1" t="s">
        <v>34</v>
      </c>
      <c r="N521" s="16">
        <v>19968</v>
      </c>
      <c r="O521" s="15">
        <v>31.7</v>
      </c>
      <c r="P521" s="15">
        <v>7.68</v>
      </c>
      <c r="Q521" s="15">
        <v>47.3</v>
      </c>
      <c r="R521" s="15">
        <v>53.5</v>
      </c>
      <c r="T521" s="15"/>
      <c r="U521" s="15">
        <v>26</v>
      </c>
      <c r="V521" s="15">
        <v>5.2</v>
      </c>
      <c r="W521" s="12">
        <v>0.69</v>
      </c>
      <c r="X521" s="15"/>
      <c r="Y521" s="15">
        <v>66.8</v>
      </c>
      <c r="Z521" s="12">
        <v>1.65</v>
      </c>
      <c r="AA521" s="1">
        <v>4</v>
      </c>
      <c r="AB521" s="16">
        <f>AA521*10</f>
        <v>40</v>
      </c>
      <c r="AD521" s="16"/>
      <c r="AE521" s="1">
        <v>1</v>
      </c>
    </row>
    <row r="522" spans="1:31" x14ac:dyDescent="0.2">
      <c r="A522" s="1">
        <v>521</v>
      </c>
      <c r="B522" s="1">
        <v>2016</v>
      </c>
      <c r="C522" s="1" t="s">
        <v>31</v>
      </c>
      <c r="D522" s="19" t="s">
        <v>985</v>
      </c>
      <c r="E522" s="8" t="s">
        <v>528</v>
      </c>
      <c r="F522" s="1" t="s">
        <v>32</v>
      </c>
      <c r="G522" s="8">
        <v>114</v>
      </c>
      <c r="I522" s="12">
        <v>8.1</v>
      </c>
      <c r="J522" s="7">
        <v>23.1428571428571</v>
      </c>
      <c r="L522" s="14">
        <v>3092</v>
      </c>
      <c r="N522" s="14">
        <v>24934</v>
      </c>
      <c r="O522" s="13">
        <v>28.3</v>
      </c>
      <c r="P522" s="13">
        <v>9.6</v>
      </c>
      <c r="Q522" s="13">
        <v>47.8</v>
      </c>
      <c r="R522" s="13">
        <v>55.9</v>
      </c>
      <c r="S522" s="13"/>
      <c r="T522" s="13">
        <v>27.3</v>
      </c>
      <c r="U522" s="13">
        <v>21.5</v>
      </c>
      <c r="V522" s="13">
        <v>5</v>
      </c>
      <c r="W522" s="7">
        <v>0.67</v>
      </c>
      <c r="X522" s="13"/>
      <c r="Y522" s="13">
        <v>68</v>
      </c>
      <c r="Z522" s="7">
        <v>2.1800000000000002</v>
      </c>
      <c r="AA522" s="15" t="s">
        <v>89</v>
      </c>
      <c r="AB522" s="16"/>
      <c r="AD522" s="16"/>
      <c r="AE522" s="1">
        <v>1</v>
      </c>
    </row>
    <row r="523" spans="1:31" x14ac:dyDescent="0.2">
      <c r="A523" s="1">
        <v>522</v>
      </c>
      <c r="B523" s="1">
        <v>2017</v>
      </c>
      <c r="C523" s="1" t="s">
        <v>88</v>
      </c>
      <c r="D523" s="1" t="s">
        <v>187</v>
      </c>
      <c r="E523" s="1" t="s">
        <v>633</v>
      </c>
      <c r="F523" s="1" t="s">
        <v>32</v>
      </c>
      <c r="I523" s="12">
        <v>5.2617507100000003</v>
      </c>
      <c r="J523" s="3">
        <v>15.033573499999999</v>
      </c>
      <c r="L523" s="5">
        <v>3093.25</v>
      </c>
      <c r="N523" s="5">
        <v>16308.4074</v>
      </c>
      <c r="O523" s="6">
        <v>30.016857300000002</v>
      </c>
      <c r="P523" s="6">
        <v>5.3</v>
      </c>
      <c r="Q523" s="6">
        <v>57.05</v>
      </c>
      <c r="R523" s="15">
        <v>56.142499999999998</v>
      </c>
      <c r="S523" s="15">
        <v>18.5</v>
      </c>
      <c r="U523" s="6">
        <v>11.625</v>
      </c>
      <c r="V523" s="6">
        <v>13</v>
      </c>
      <c r="W523" s="3">
        <v>0.63224999999999998</v>
      </c>
      <c r="X523" s="6"/>
      <c r="Y523" s="15">
        <v>62.322499999999998</v>
      </c>
      <c r="Z523" s="3">
        <v>1.6856289200000001</v>
      </c>
      <c r="AB523" s="16"/>
      <c r="AD523" s="16"/>
      <c r="AE523" s="1">
        <v>1</v>
      </c>
    </row>
    <row r="524" spans="1:31" x14ac:dyDescent="0.2">
      <c r="A524" s="1">
        <v>523</v>
      </c>
      <c r="B524" s="1">
        <v>2011</v>
      </c>
      <c r="C524" s="1" t="s">
        <v>96</v>
      </c>
      <c r="D524" s="8" t="s">
        <v>246</v>
      </c>
      <c r="E524" s="8" t="s">
        <v>261</v>
      </c>
      <c r="F524" s="1" t="s">
        <v>83</v>
      </c>
      <c r="I524" s="12">
        <v>4.13</v>
      </c>
      <c r="J524" s="12">
        <v>24.828571428571401</v>
      </c>
      <c r="K524" s="8"/>
      <c r="L524" s="14">
        <v>3094</v>
      </c>
      <c r="M524" s="8"/>
      <c r="N524" s="14">
        <v>12802</v>
      </c>
      <c r="O524" s="13">
        <v>33.799999999999997</v>
      </c>
      <c r="P524" s="13">
        <v>7.7</v>
      </c>
      <c r="Q524" s="13">
        <v>54</v>
      </c>
      <c r="R524" s="13">
        <v>46.2</v>
      </c>
      <c r="S524" s="13"/>
      <c r="T524" s="13"/>
      <c r="U524" s="13">
        <v>16.5</v>
      </c>
      <c r="V524" s="13">
        <v>2.5</v>
      </c>
      <c r="W524" s="7" t="s">
        <v>89</v>
      </c>
      <c r="X524" s="13" t="s">
        <v>89</v>
      </c>
      <c r="Y524" s="13">
        <v>61.3</v>
      </c>
      <c r="Z524" s="7">
        <v>1.03</v>
      </c>
      <c r="AA524" s="8">
        <v>1</v>
      </c>
      <c r="AB524" s="16">
        <f>AA524*10</f>
        <v>10</v>
      </c>
      <c r="AC524" s="13">
        <v>1.5</v>
      </c>
      <c r="AD524" s="16">
        <f>AC524*10</f>
        <v>15</v>
      </c>
      <c r="AE524" s="1">
        <v>0</v>
      </c>
    </row>
    <row r="525" spans="1:31" x14ac:dyDescent="0.2">
      <c r="A525" s="1">
        <v>524</v>
      </c>
      <c r="B525" s="1">
        <v>2015</v>
      </c>
      <c r="C525" s="8" t="s">
        <v>88</v>
      </c>
      <c r="D525" s="8" t="s">
        <v>187</v>
      </c>
      <c r="E525" s="8" t="s">
        <v>508</v>
      </c>
      <c r="F525" s="1" t="s">
        <v>32</v>
      </c>
      <c r="I525" s="12">
        <v>6.12</v>
      </c>
      <c r="J525" s="7">
        <v>17.485714285714288</v>
      </c>
      <c r="L525" s="14">
        <v>3094</v>
      </c>
      <c r="N525" s="14">
        <v>19010</v>
      </c>
      <c r="O525" s="13">
        <v>30.2</v>
      </c>
      <c r="P525" s="13">
        <v>9.6999999999999993</v>
      </c>
      <c r="Q525" s="13">
        <v>49.9</v>
      </c>
      <c r="R525" s="13">
        <v>48.6</v>
      </c>
      <c r="S525" s="8"/>
      <c r="T525" s="15" t="s">
        <v>89</v>
      </c>
      <c r="U525" s="13">
        <v>23</v>
      </c>
      <c r="V525" s="13">
        <v>4.2</v>
      </c>
      <c r="W525" s="7">
        <v>0.64</v>
      </c>
      <c r="X525" s="13"/>
      <c r="Y525" s="13">
        <v>60.9</v>
      </c>
      <c r="Z525" s="7">
        <v>1.48</v>
      </c>
      <c r="AA525" s="13">
        <v>1</v>
      </c>
      <c r="AB525" s="16">
        <f>AA525*10</f>
        <v>10</v>
      </c>
      <c r="AC525" s="13">
        <v>3.2</v>
      </c>
      <c r="AD525" s="16">
        <f>AC525*10</f>
        <v>32</v>
      </c>
      <c r="AE525" s="1">
        <v>1</v>
      </c>
    </row>
    <row r="526" spans="1:31" x14ac:dyDescent="0.2">
      <c r="A526" s="1">
        <v>525</v>
      </c>
      <c r="B526" s="1">
        <v>2018</v>
      </c>
      <c r="C526" s="1" t="s">
        <v>31</v>
      </c>
      <c r="D526" s="1" t="s">
        <v>125</v>
      </c>
      <c r="E526" s="1" t="s">
        <v>491</v>
      </c>
      <c r="F526" s="1" t="s">
        <v>32</v>
      </c>
      <c r="G526" s="1">
        <v>117</v>
      </c>
      <c r="H526" s="1" t="s">
        <v>34</v>
      </c>
      <c r="I526" s="12">
        <v>8.6</v>
      </c>
      <c r="J526" s="3">
        <v>24.6</v>
      </c>
      <c r="L526" s="5">
        <v>3095</v>
      </c>
      <c r="M526" s="1" t="s">
        <v>34</v>
      </c>
      <c r="N526" s="5">
        <v>26760</v>
      </c>
      <c r="O526" s="6">
        <v>40.4</v>
      </c>
      <c r="P526" s="18">
        <v>7.9</v>
      </c>
      <c r="Q526" s="6">
        <v>41.034999999999997</v>
      </c>
      <c r="R526" s="6">
        <v>58.7</v>
      </c>
      <c r="S526" s="3"/>
      <c r="T526" s="6">
        <v>24.9175</v>
      </c>
      <c r="U526" s="6">
        <v>35.897500000000001</v>
      </c>
      <c r="V526" s="6">
        <v>5.6</v>
      </c>
      <c r="W526" s="3">
        <v>0.73699999999999999</v>
      </c>
      <c r="X526" s="6"/>
      <c r="Y526" s="6">
        <v>71</v>
      </c>
      <c r="Z526" s="3">
        <v>2.0699999999999998</v>
      </c>
      <c r="AB526" s="16"/>
      <c r="AD526" s="16"/>
      <c r="AE526" s="1">
        <v>1</v>
      </c>
    </row>
    <row r="527" spans="1:31" x14ac:dyDescent="0.2">
      <c r="A527" s="1">
        <v>526</v>
      </c>
      <c r="B527" s="1">
        <v>2012</v>
      </c>
      <c r="C527" s="1" t="s">
        <v>31</v>
      </c>
      <c r="D527" s="1" t="s">
        <v>291</v>
      </c>
      <c r="E527" s="1" t="s">
        <v>294</v>
      </c>
      <c r="F527" s="1" t="s">
        <v>83</v>
      </c>
      <c r="I527" s="12">
        <v>5.23</v>
      </c>
      <c r="J527" s="12">
        <v>14.9</v>
      </c>
      <c r="L527" s="16">
        <v>3098</v>
      </c>
      <c r="N527" s="16">
        <v>16190</v>
      </c>
      <c r="O527" s="15">
        <v>35.299999999999997</v>
      </c>
      <c r="P527" s="15">
        <v>7.53</v>
      </c>
      <c r="Q527" s="15">
        <v>45.5</v>
      </c>
      <c r="R527" s="15">
        <v>57.2</v>
      </c>
      <c r="T527" s="15"/>
      <c r="U527" s="15">
        <v>35.200000000000003</v>
      </c>
      <c r="V527" s="15">
        <v>3.4</v>
      </c>
      <c r="W527" s="12">
        <v>0.71</v>
      </c>
      <c r="X527" s="15"/>
      <c r="Y527" s="15"/>
      <c r="Z527" s="12">
        <v>1.36</v>
      </c>
      <c r="AB527" s="16"/>
      <c r="AD527" s="16"/>
      <c r="AE527" s="1">
        <v>1</v>
      </c>
    </row>
    <row r="528" spans="1:31" x14ac:dyDescent="0.2">
      <c r="A528" s="1">
        <v>527</v>
      </c>
      <c r="B528" s="1">
        <v>2014</v>
      </c>
      <c r="C528" s="1" t="s">
        <v>31</v>
      </c>
      <c r="D528" s="1" t="s">
        <v>37</v>
      </c>
      <c r="E528" s="1" t="s">
        <v>449</v>
      </c>
      <c r="F528" s="1" t="s">
        <v>83</v>
      </c>
      <c r="G528" s="1">
        <v>117</v>
      </c>
      <c r="H528" s="1" t="s">
        <v>34</v>
      </c>
      <c r="I528" s="12">
        <v>5.87</v>
      </c>
      <c r="J528" s="12">
        <v>16.8</v>
      </c>
      <c r="K528" s="1" t="s">
        <v>34</v>
      </c>
      <c r="L528" s="16">
        <v>3098</v>
      </c>
      <c r="M528" s="1" t="s">
        <v>34</v>
      </c>
      <c r="N528" s="16">
        <v>18448</v>
      </c>
      <c r="O528" s="15">
        <v>32.9</v>
      </c>
      <c r="P528" s="15">
        <v>6.82</v>
      </c>
      <c r="Q528" s="15">
        <v>49.5</v>
      </c>
      <c r="R528" s="15">
        <v>55.3</v>
      </c>
      <c r="T528" s="15"/>
      <c r="U528" s="15">
        <v>22.4</v>
      </c>
      <c r="V528" s="15">
        <v>5.4</v>
      </c>
      <c r="W528" s="12">
        <v>0.69</v>
      </c>
      <c r="X528" s="15"/>
      <c r="Y528" s="15">
        <v>66.7</v>
      </c>
      <c r="Z528" s="12">
        <v>1.56</v>
      </c>
      <c r="AA528" s="1">
        <v>3</v>
      </c>
      <c r="AB528" s="16">
        <f>AA528*10</f>
        <v>30</v>
      </c>
      <c r="AD528" s="16"/>
      <c r="AE528" s="1">
        <v>1</v>
      </c>
    </row>
    <row r="529" spans="1:31" x14ac:dyDescent="0.2">
      <c r="A529" s="1">
        <v>528</v>
      </c>
      <c r="B529" s="1">
        <v>2015</v>
      </c>
      <c r="C529" s="8" t="s">
        <v>88</v>
      </c>
      <c r="D529" s="8" t="s">
        <v>187</v>
      </c>
      <c r="E529" s="8" t="s">
        <v>512</v>
      </c>
      <c r="F529" s="1" t="s">
        <v>83</v>
      </c>
      <c r="I529" s="12">
        <v>5.35</v>
      </c>
      <c r="J529" s="7">
        <v>15.285714285714286</v>
      </c>
      <c r="K529" s="1" t="s">
        <v>34</v>
      </c>
      <c r="L529" s="14">
        <v>3100</v>
      </c>
      <c r="N529" s="14">
        <v>16566</v>
      </c>
      <c r="O529" s="13">
        <v>28.7</v>
      </c>
      <c r="P529" s="13">
        <v>6.8</v>
      </c>
      <c r="Q529" s="13">
        <v>57.7</v>
      </c>
      <c r="R529" s="13">
        <v>56.3</v>
      </c>
      <c r="S529" s="8"/>
      <c r="T529" s="13" t="s">
        <v>89</v>
      </c>
      <c r="U529" s="13">
        <v>8.1</v>
      </c>
      <c r="V529" s="13">
        <v>14</v>
      </c>
      <c r="W529" s="7">
        <v>0.67</v>
      </c>
      <c r="X529" s="13"/>
      <c r="Y529" s="13">
        <v>62.2</v>
      </c>
      <c r="Z529" s="7">
        <v>1.73</v>
      </c>
      <c r="AA529" s="13">
        <v>3.4</v>
      </c>
      <c r="AB529" s="16">
        <f>AA529*10</f>
        <v>34</v>
      </c>
      <c r="AC529" s="13">
        <v>1</v>
      </c>
      <c r="AD529" s="16">
        <f>AC529*10</f>
        <v>10</v>
      </c>
      <c r="AE529" s="1">
        <v>1</v>
      </c>
    </row>
    <row r="530" spans="1:31" x14ac:dyDescent="0.2">
      <c r="A530" s="1">
        <v>529</v>
      </c>
      <c r="B530" s="1">
        <v>2015</v>
      </c>
      <c r="C530" s="8" t="s">
        <v>88</v>
      </c>
      <c r="D530" s="8" t="s">
        <v>1023</v>
      </c>
      <c r="E530" s="8" t="s">
        <v>337</v>
      </c>
      <c r="F530" s="1" t="s">
        <v>32</v>
      </c>
      <c r="I530" s="12">
        <v>7.12</v>
      </c>
      <c r="J530" s="7">
        <v>20.342857142857145</v>
      </c>
      <c r="L530" s="14">
        <v>3100</v>
      </c>
      <c r="N530" s="14">
        <v>22224</v>
      </c>
      <c r="O530" s="13">
        <v>31</v>
      </c>
      <c r="P530" s="13">
        <v>9.3000000000000007</v>
      </c>
      <c r="Q530" s="13">
        <v>47.4</v>
      </c>
      <c r="R530" s="13">
        <v>48.3</v>
      </c>
      <c r="S530" s="8"/>
      <c r="T530" s="15" t="s">
        <v>89</v>
      </c>
      <c r="U530" s="13">
        <v>24.6</v>
      </c>
      <c r="V530" s="13">
        <v>4.3</v>
      </c>
      <c r="W530" s="7">
        <v>0.64</v>
      </c>
      <c r="X530" s="13"/>
      <c r="Y530" s="13">
        <v>61.1</v>
      </c>
      <c r="Z530" s="7">
        <v>1.62</v>
      </c>
      <c r="AA530" s="13">
        <v>2.7</v>
      </c>
      <c r="AB530" s="16">
        <f>AA530*10</f>
        <v>27</v>
      </c>
      <c r="AC530" s="13">
        <v>2</v>
      </c>
      <c r="AD530" s="16">
        <f>AC530*10</f>
        <v>20</v>
      </c>
      <c r="AE530" s="1">
        <v>1</v>
      </c>
    </row>
    <row r="531" spans="1:31" x14ac:dyDescent="0.2">
      <c r="A531" s="1">
        <v>530</v>
      </c>
      <c r="B531" s="1">
        <v>2016</v>
      </c>
      <c r="C531" s="1" t="s">
        <v>96</v>
      </c>
      <c r="D531" s="8" t="s">
        <v>459</v>
      </c>
      <c r="E531" s="8" t="s">
        <v>588</v>
      </c>
      <c r="F531" s="1" t="s">
        <v>32</v>
      </c>
      <c r="I531" s="12">
        <v>5.6749999999999998</v>
      </c>
      <c r="J531" s="7">
        <v>16.214285714285701</v>
      </c>
      <c r="K531" s="1" t="s">
        <v>34</v>
      </c>
      <c r="L531" s="5">
        <v>3102</v>
      </c>
      <c r="N531" s="5">
        <v>17677.05</v>
      </c>
      <c r="O531" s="6">
        <v>29.704999999999998</v>
      </c>
      <c r="P531" s="6">
        <v>6.8250000000000002</v>
      </c>
      <c r="Q531" s="6">
        <v>50.967500000000001</v>
      </c>
      <c r="R531" s="6">
        <v>49.195</v>
      </c>
      <c r="S531" s="6"/>
      <c r="T531" s="6">
        <v>35.06</v>
      </c>
      <c r="U531" s="6">
        <v>18.392499999999998</v>
      </c>
      <c r="V531" s="6">
        <v>9.8625000000000007</v>
      </c>
      <c r="W531" s="3">
        <v>0.64</v>
      </c>
      <c r="X531" s="6"/>
      <c r="Y531" s="6">
        <v>61</v>
      </c>
      <c r="Z531" s="3">
        <v>1.4214835100000001</v>
      </c>
      <c r="AA531" s="6">
        <v>2.5</v>
      </c>
      <c r="AB531" s="16">
        <f>AA531*10</f>
        <v>25</v>
      </c>
      <c r="AC531" s="6">
        <v>1</v>
      </c>
      <c r="AD531" s="16">
        <f>AC531*10</f>
        <v>10</v>
      </c>
      <c r="AE531" s="1">
        <v>0</v>
      </c>
    </row>
    <row r="532" spans="1:31" x14ac:dyDescent="0.2">
      <c r="A532" s="1">
        <v>531</v>
      </c>
      <c r="B532" s="1">
        <v>2014</v>
      </c>
      <c r="C532" s="1" t="s">
        <v>31</v>
      </c>
      <c r="D532" s="1" t="s">
        <v>916</v>
      </c>
      <c r="E532" s="1" t="s">
        <v>405</v>
      </c>
      <c r="F532" s="1" t="s">
        <v>32</v>
      </c>
      <c r="G532" s="1">
        <v>115</v>
      </c>
      <c r="I532" s="12">
        <v>9.74</v>
      </c>
      <c r="J532" s="12">
        <v>27.8</v>
      </c>
      <c r="L532" s="16">
        <v>3102</v>
      </c>
      <c r="N532" s="16">
        <v>30135</v>
      </c>
      <c r="O532" s="15">
        <v>30.8</v>
      </c>
      <c r="P532" s="15">
        <v>9.1</v>
      </c>
      <c r="Q532" s="15">
        <v>47.1</v>
      </c>
      <c r="R532" s="15">
        <v>54.9</v>
      </c>
      <c r="T532" s="15"/>
      <c r="U532" s="15">
        <v>23.4</v>
      </c>
      <c r="V532" s="15">
        <v>7.5</v>
      </c>
      <c r="W532" s="12">
        <v>0.67</v>
      </c>
      <c r="X532" s="15"/>
      <c r="Y532" s="15">
        <v>65.400000000000006</v>
      </c>
      <c r="Z532" s="12">
        <v>2.5099999999999998</v>
      </c>
      <c r="AB532" s="16"/>
      <c r="AD532" s="16"/>
      <c r="AE532" s="1">
        <v>1</v>
      </c>
    </row>
    <row r="533" spans="1:31" x14ac:dyDescent="0.2">
      <c r="A533" s="1">
        <v>532</v>
      </c>
      <c r="B533" s="1">
        <v>2012</v>
      </c>
      <c r="C533" s="1" t="s">
        <v>31</v>
      </c>
      <c r="D533" s="1" t="s">
        <v>125</v>
      </c>
      <c r="E533" s="1" t="s">
        <v>323</v>
      </c>
      <c r="F533" s="1" t="s">
        <v>83</v>
      </c>
      <c r="I533" s="12">
        <v>5.61</v>
      </c>
      <c r="J533" s="12">
        <v>16</v>
      </c>
      <c r="L533" s="16">
        <v>3103</v>
      </c>
      <c r="N533" s="16">
        <v>17453</v>
      </c>
      <c r="O533" s="15">
        <v>34.700000000000003</v>
      </c>
      <c r="P533" s="15">
        <v>7.73</v>
      </c>
      <c r="Q533" s="15">
        <v>45.5</v>
      </c>
      <c r="R533" s="15">
        <v>56</v>
      </c>
      <c r="T533" s="15"/>
      <c r="U533" s="15">
        <v>34.5</v>
      </c>
      <c r="V533" s="15">
        <v>4.0999999999999996</v>
      </c>
      <c r="W533" s="12">
        <v>0.7</v>
      </c>
      <c r="X533" s="15"/>
      <c r="Y533" s="15"/>
      <c r="Z533" s="12">
        <v>1.43</v>
      </c>
      <c r="AB533" s="16"/>
      <c r="AD533" s="16"/>
      <c r="AE533" s="1">
        <v>1</v>
      </c>
    </row>
    <row r="534" spans="1:31" ht="17" x14ac:dyDescent="0.2">
      <c r="A534" s="1">
        <v>533</v>
      </c>
      <c r="B534" s="1">
        <v>2019</v>
      </c>
      <c r="C534" s="1" t="s">
        <v>88</v>
      </c>
      <c r="D534" s="9" t="s">
        <v>719</v>
      </c>
      <c r="E534" s="9" t="s">
        <v>746</v>
      </c>
      <c r="F534" s="1" t="s">
        <v>83</v>
      </c>
      <c r="I534" s="12">
        <v>6.2750000000000004</v>
      </c>
      <c r="J534" s="3">
        <v>17.95</v>
      </c>
      <c r="K534" s="1" t="s">
        <v>34</v>
      </c>
      <c r="L534" s="5">
        <v>3104.5</v>
      </c>
      <c r="M534" s="1" t="s">
        <v>34</v>
      </c>
      <c r="N534" s="5">
        <v>19844.400000000001</v>
      </c>
      <c r="O534" s="6">
        <v>29.68</v>
      </c>
      <c r="P534" s="6">
        <v>7.7474999999999996</v>
      </c>
      <c r="Q534" s="6">
        <v>45.045000000000002</v>
      </c>
      <c r="R534" s="6">
        <v>35.777500000000003</v>
      </c>
      <c r="S534" s="3"/>
      <c r="T534" s="6">
        <v>30.77</v>
      </c>
      <c r="U534" s="6">
        <v>16.372499999999999</v>
      </c>
      <c r="V534" s="6">
        <v>10.895</v>
      </c>
      <c r="W534" s="3">
        <v>0.69750000000000001</v>
      </c>
      <c r="X534" s="6"/>
      <c r="Y534" s="6">
        <v>67.53</v>
      </c>
      <c r="Z534" s="3">
        <v>0.97</v>
      </c>
      <c r="AB534" s="16"/>
      <c r="AC534" s="4">
        <v>5</v>
      </c>
      <c r="AD534" s="16">
        <f>AC534*10</f>
        <v>50</v>
      </c>
      <c r="AE534" s="1">
        <v>1</v>
      </c>
    </row>
    <row r="535" spans="1:31" x14ac:dyDescent="0.2">
      <c r="A535" s="1">
        <v>534</v>
      </c>
      <c r="B535" s="1">
        <v>2013</v>
      </c>
      <c r="C535" s="1" t="s">
        <v>88</v>
      </c>
      <c r="D535" s="8" t="s">
        <v>1023</v>
      </c>
      <c r="E535" s="8" t="s">
        <v>338</v>
      </c>
      <c r="F535" s="1" t="s">
        <v>83</v>
      </c>
      <c r="I535" s="12">
        <v>6.69</v>
      </c>
      <c r="J535" s="7">
        <v>19.1142857142857</v>
      </c>
      <c r="K535" s="13" t="s">
        <v>34</v>
      </c>
      <c r="L535" s="14">
        <v>3107</v>
      </c>
      <c r="M535" s="14" t="s">
        <v>34</v>
      </c>
      <c r="N535" s="14">
        <v>20611</v>
      </c>
      <c r="O535" s="13">
        <v>30.2</v>
      </c>
      <c r="P535" s="13">
        <v>7.4</v>
      </c>
      <c r="Q535" s="13">
        <v>49</v>
      </c>
      <c r="R535" s="13">
        <v>41.8</v>
      </c>
      <c r="S535" s="13"/>
      <c r="T535" s="13"/>
      <c r="U535" s="13">
        <v>28.7</v>
      </c>
      <c r="V535" s="13">
        <v>1.8</v>
      </c>
      <c r="W535" s="7">
        <v>0.63</v>
      </c>
      <c r="X535" s="13">
        <v>71.400000000000006</v>
      </c>
      <c r="Y535" s="13">
        <v>61.4</v>
      </c>
      <c r="Z535" s="7">
        <v>1.37</v>
      </c>
      <c r="AA535" s="13">
        <v>3.5</v>
      </c>
      <c r="AB535" s="16">
        <f>AA535*10</f>
        <v>35</v>
      </c>
      <c r="AC535" s="13">
        <v>1.1000000000000001</v>
      </c>
      <c r="AD535" s="16">
        <f>AC535*10</f>
        <v>11</v>
      </c>
      <c r="AE535" s="1">
        <v>1</v>
      </c>
    </row>
    <row r="536" spans="1:31" x14ac:dyDescent="0.2">
      <c r="A536" s="1">
        <v>535</v>
      </c>
      <c r="B536" s="1">
        <v>2015</v>
      </c>
      <c r="C536" s="8" t="s">
        <v>88</v>
      </c>
      <c r="D536" s="8" t="s">
        <v>187</v>
      </c>
      <c r="E536" s="8" t="s">
        <v>458</v>
      </c>
      <c r="F536" s="1" t="s">
        <v>32</v>
      </c>
      <c r="I536" s="12">
        <v>7.05</v>
      </c>
      <c r="J536" s="7">
        <v>20.142857142857142</v>
      </c>
      <c r="L536" s="14">
        <v>3107</v>
      </c>
      <c r="N536" s="14">
        <v>21825</v>
      </c>
      <c r="O536" s="13">
        <v>29.2</v>
      </c>
      <c r="P536" s="13">
        <v>8.9</v>
      </c>
      <c r="Q536" s="13">
        <v>48.8</v>
      </c>
      <c r="R536" s="13">
        <v>48.4</v>
      </c>
      <c r="S536" s="8"/>
      <c r="T536" s="15" t="s">
        <v>89</v>
      </c>
      <c r="U536" s="13">
        <v>18.600000000000001</v>
      </c>
      <c r="V536" s="13">
        <v>12.8</v>
      </c>
      <c r="W536" s="7">
        <v>0.65</v>
      </c>
      <c r="X536" s="13"/>
      <c r="Y536" s="13">
        <v>61.1</v>
      </c>
      <c r="Z536" s="7">
        <v>1.69</v>
      </c>
      <c r="AA536" s="13">
        <v>1.1000000000000001</v>
      </c>
      <c r="AB536" s="16">
        <f>AA536*10</f>
        <v>11</v>
      </c>
      <c r="AC536" s="13">
        <v>1.6</v>
      </c>
      <c r="AD536" s="16">
        <f>AC536*10</f>
        <v>16</v>
      </c>
      <c r="AE536" s="1">
        <v>1</v>
      </c>
    </row>
    <row r="537" spans="1:31" x14ac:dyDescent="0.2">
      <c r="A537" s="1">
        <v>536</v>
      </c>
      <c r="B537" s="1">
        <v>2013</v>
      </c>
      <c r="C537" s="1" t="s">
        <v>31</v>
      </c>
      <c r="D537" s="8" t="s">
        <v>71</v>
      </c>
      <c r="E537" s="8" t="s">
        <v>181</v>
      </c>
      <c r="F537" s="1" t="s">
        <v>32</v>
      </c>
      <c r="G537" s="8">
        <v>123</v>
      </c>
      <c r="H537" s="8"/>
      <c r="I537" s="12">
        <v>8.82</v>
      </c>
      <c r="J537" s="7">
        <v>25.2</v>
      </c>
      <c r="K537" s="13"/>
      <c r="L537" s="14">
        <v>3107</v>
      </c>
      <c r="M537" s="8"/>
      <c r="N537" s="14">
        <v>27409</v>
      </c>
      <c r="O537" s="13">
        <v>33.6</v>
      </c>
      <c r="P537" s="13">
        <v>8.1</v>
      </c>
      <c r="Q537" s="13">
        <v>44.2</v>
      </c>
      <c r="R537" s="13">
        <v>49.6</v>
      </c>
      <c r="S537" s="13"/>
      <c r="T537" s="13"/>
      <c r="U537" s="13">
        <v>27.2</v>
      </c>
      <c r="V537" s="13">
        <v>5.3</v>
      </c>
      <c r="W537" s="7">
        <v>0.71</v>
      </c>
      <c r="X537" s="15"/>
      <c r="Y537" s="15"/>
      <c r="Z537" s="7">
        <v>1.93</v>
      </c>
      <c r="AB537" s="16"/>
      <c r="AD537" s="16"/>
      <c r="AE537" s="1">
        <v>1</v>
      </c>
    </row>
    <row r="538" spans="1:31" x14ac:dyDescent="0.2">
      <c r="A538" s="1">
        <v>537</v>
      </c>
      <c r="B538" s="1">
        <v>2012</v>
      </c>
      <c r="C538" s="1" t="s">
        <v>88</v>
      </c>
      <c r="D538" s="1" t="s">
        <v>916</v>
      </c>
      <c r="E538" s="8" t="s">
        <v>92</v>
      </c>
      <c r="F538" s="1" t="s">
        <v>32</v>
      </c>
      <c r="I538" s="12">
        <v>8.2799999999999994</v>
      </c>
      <c r="J538" s="7">
        <v>23.657142857142901</v>
      </c>
      <c r="K538" s="13"/>
      <c r="L538" s="14">
        <v>3109</v>
      </c>
      <c r="M538" s="14" t="s">
        <v>34</v>
      </c>
      <c r="N538" s="14">
        <v>25740</v>
      </c>
      <c r="O538" s="13">
        <v>33.200000000000003</v>
      </c>
      <c r="P538" s="13">
        <v>7.1</v>
      </c>
      <c r="Q538" s="13">
        <v>48.8</v>
      </c>
      <c r="R538" s="13">
        <v>54.5</v>
      </c>
      <c r="S538" s="13"/>
      <c r="T538" s="13"/>
      <c r="U538" s="13">
        <v>27.1</v>
      </c>
      <c r="V538" s="13">
        <v>3.2</v>
      </c>
      <c r="W538" s="7">
        <v>0.67</v>
      </c>
      <c r="X538" s="15"/>
      <c r="Y538" s="15"/>
      <c r="Z538" s="7">
        <v>2.21</v>
      </c>
      <c r="AA538" s="7">
        <v>2</v>
      </c>
      <c r="AB538" s="16">
        <f>AA538*10</f>
        <v>20</v>
      </c>
      <c r="AC538" s="7">
        <v>0</v>
      </c>
      <c r="AD538" s="16">
        <f>AC538*10</f>
        <v>0</v>
      </c>
      <c r="AE538" s="1">
        <v>1</v>
      </c>
    </row>
    <row r="539" spans="1:31" x14ac:dyDescent="0.2">
      <c r="A539" s="1">
        <v>538</v>
      </c>
      <c r="B539" s="1">
        <v>2014</v>
      </c>
      <c r="C539" s="1" t="s">
        <v>31</v>
      </c>
      <c r="D539" s="1" t="s">
        <v>805</v>
      </c>
      <c r="E539" s="1" t="s">
        <v>447</v>
      </c>
      <c r="F539" s="1" t="s">
        <v>83</v>
      </c>
      <c r="G539" s="1">
        <v>118</v>
      </c>
      <c r="I539" s="12">
        <v>5.05</v>
      </c>
      <c r="J539" s="12">
        <v>14.4</v>
      </c>
      <c r="K539" s="1" t="s">
        <v>34</v>
      </c>
      <c r="L539" s="16">
        <v>3110</v>
      </c>
      <c r="N539" s="16">
        <v>15694</v>
      </c>
      <c r="O539" s="15">
        <v>33.799999999999997</v>
      </c>
      <c r="P539" s="15">
        <v>6.87</v>
      </c>
      <c r="Q539" s="15">
        <v>45.2</v>
      </c>
      <c r="R539" s="15">
        <v>50.6</v>
      </c>
      <c r="T539" s="15"/>
      <c r="U539" s="15">
        <v>30.2</v>
      </c>
      <c r="V539" s="15">
        <v>3.9</v>
      </c>
      <c r="W539" s="12">
        <v>0.7</v>
      </c>
      <c r="X539" s="15"/>
      <c r="Y539" s="15">
        <v>68</v>
      </c>
      <c r="Z539" s="12">
        <v>1.1599999999999999</v>
      </c>
      <c r="AA539" s="1">
        <v>4</v>
      </c>
      <c r="AB539" s="16">
        <f>AA539*10</f>
        <v>40</v>
      </c>
      <c r="AD539" s="16"/>
      <c r="AE539" s="1">
        <v>1</v>
      </c>
    </row>
    <row r="540" spans="1:31" x14ac:dyDescent="0.2">
      <c r="A540" s="1">
        <v>539</v>
      </c>
      <c r="B540" s="1">
        <v>2014</v>
      </c>
      <c r="C540" s="1" t="s">
        <v>88</v>
      </c>
      <c r="D540" s="8" t="s">
        <v>1023</v>
      </c>
      <c r="E540" s="8" t="s">
        <v>238</v>
      </c>
      <c r="F540" s="8" t="s">
        <v>83</v>
      </c>
      <c r="G540" s="8"/>
      <c r="H540" s="8"/>
      <c r="I540" s="12">
        <v>7.8</v>
      </c>
      <c r="J540" s="7">
        <v>22.285714285714299</v>
      </c>
      <c r="K540" s="13"/>
      <c r="L540" s="14">
        <v>3110</v>
      </c>
      <c r="M540" s="8"/>
      <c r="N540" s="14">
        <v>24391</v>
      </c>
      <c r="O540" s="13">
        <v>32.4</v>
      </c>
      <c r="P540" s="13">
        <v>9.6</v>
      </c>
      <c r="Q540" s="13">
        <v>54.1</v>
      </c>
      <c r="R540" s="13">
        <v>60.2</v>
      </c>
      <c r="S540" s="13"/>
      <c r="T540" s="13"/>
      <c r="U540" s="13">
        <v>11.3</v>
      </c>
      <c r="V540" s="13">
        <v>2.5</v>
      </c>
      <c r="W540" s="7">
        <v>0.63</v>
      </c>
      <c r="X540" s="15"/>
      <c r="Y540" s="13">
        <v>61.7</v>
      </c>
      <c r="Z540" s="7">
        <v>2.5299999999999998</v>
      </c>
      <c r="AA540" s="13">
        <v>1.8</v>
      </c>
      <c r="AB540" s="16">
        <f>AA540*10</f>
        <v>18</v>
      </c>
      <c r="AC540" s="8">
        <v>1</v>
      </c>
      <c r="AD540" s="16">
        <f>AC540*10</f>
        <v>10</v>
      </c>
      <c r="AE540" s="1">
        <v>1</v>
      </c>
    </row>
    <row r="541" spans="1:31" x14ac:dyDescent="0.2">
      <c r="A541" s="1">
        <v>540</v>
      </c>
      <c r="B541" s="1">
        <v>2015</v>
      </c>
      <c r="C541" s="8" t="s">
        <v>88</v>
      </c>
      <c r="D541" s="8" t="s">
        <v>332</v>
      </c>
      <c r="E541" s="8" t="s">
        <v>515</v>
      </c>
      <c r="F541" s="1" t="s">
        <v>83</v>
      </c>
      <c r="I541" s="12">
        <v>6.27</v>
      </c>
      <c r="J541" s="7">
        <v>17.914285714285715</v>
      </c>
      <c r="K541" s="1" t="s">
        <v>34</v>
      </c>
      <c r="L541" s="14">
        <v>3111</v>
      </c>
      <c r="N541" s="14">
        <v>19566</v>
      </c>
      <c r="O541" s="13">
        <v>29.7</v>
      </c>
      <c r="P541" s="13">
        <v>6.8</v>
      </c>
      <c r="Q541" s="13">
        <v>55</v>
      </c>
      <c r="R541" s="13">
        <v>49.5</v>
      </c>
      <c r="S541" s="8"/>
      <c r="T541" s="13" t="s">
        <v>89</v>
      </c>
      <c r="U541" s="13">
        <v>13.6</v>
      </c>
      <c r="V541" s="13">
        <v>11.7</v>
      </c>
      <c r="W541" s="7">
        <v>0.68</v>
      </c>
      <c r="X541" s="13"/>
      <c r="Y541" s="13">
        <v>60.9</v>
      </c>
      <c r="Z541" s="7">
        <v>1.71</v>
      </c>
      <c r="AA541" s="13">
        <v>1.2</v>
      </c>
      <c r="AB541" s="16">
        <f>AA541*10</f>
        <v>12</v>
      </c>
      <c r="AC541" s="13">
        <v>1</v>
      </c>
      <c r="AD541" s="16">
        <f>AC541*10</f>
        <v>10</v>
      </c>
      <c r="AE541" s="1">
        <v>1</v>
      </c>
    </row>
    <row r="542" spans="1:31" x14ac:dyDescent="0.2">
      <c r="A542" s="1">
        <v>541</v>
      </c>
      <c r="B542" s="1">
        <v>2018</v>
      </c>
      <c r="C542" s="1" t="s">
        <v>88</v>
      </c>
      <c r="D542" s="1" t="s">
        <v>1023</v>
      </c>
      <c r="E542" s="1" t="s">
        <v>677</v>
      </c>
      <c r="F542" s="1" t="s">
        <v>32</v>
      </c>
      <c r="I542" s="12">
        <v>6.5055919900369403</v>
      </c>
      <c r="J542" s="12">
        <v>18.5874056858198</v>
      </c>
      <c r="L542" s="16">
        <v>3111.25</v>
      </c>
      <c r="N542" s="16">
        <v>20227.1619119754</v>
      </c>
      <c r="O542" s="15">
        <v>39.6921462334046</v>
      </c>
      <c r="P542" s="15">
        <v>9.9875000000000007</v>
      </c>
      <c r="Q542" s="15">
        <v>48.222499999999997</v>
      </c>
      <c r="R542" s="15">
        <v>44.432499999999997</v>
      </c>
      <c r="S542" s="12">
        <v>16.614999999999998</v>
      </c>
      <c r="U542" s="15">
        <v>18.545000000000002</v>
      </c>
      <c r="V542" s="15">
        <v>7.2175000000000011</v>
      </c>
      <c r="W542" s="12">
        <v>0.65282499999999999</v>
      </c>
      <c r="X542" s="15"/>
      <c r="Y542" s="15">
        <v>60.712499999999999</v>
      </c>
      <c r="Z542" s="12">
        <v>0.63390208657299996</v>
      </c>
      <c r="AA542" s="16">
        <v>2.25</v>
      </c>
      <c r="AB542" s="16">
        <f>AA542*33.334</f>
        <v>75.001500000000007</v>
      </c>
      <c r="AC542" s="16">
        <v>0.75</v>
      </c>
      <c r="AD542" s="16">
        <f>AC542*33.334</f>
        <v>25.000500000000002</v>
      </c>
      <c r="AE542" s="1">
        <v>1</v>
      </c>
    </row>
    <row r="543" spans="1:31" x14ac:dyDescent="0.2">
      <c r="A543" s="1">
        <v>542</v>
      </c>
      <c r="B543" s="1">
        <v>2014</v>
      </c>
      <c r="C543" s="1" t="s">
        <v>31</v>
      </c>
      <c r="D543" s="1" t="s">
        <v>916</v>
      </c>
      <c r="E543" s="1" t="s">
        <v>413</v>
      </c>
      <c r="F543" s="1" t="s">
        <v>83</v>
      </c>
      <c r="G543" s="1">
        <v>118</v>
      </c>
      <c r="H543" s="1" t="s">
        <v>34</v>
      </c>
      <c r="I543" s="12">
        <v>5.99</v>
      </c>
      <c r="J543" s="12">
        <v>17.100000000000001</v>
      </c>
      <c r="K543" s="1" t="s">
        <v>34</v>
      </c>
      <c r="L543" s="16">
        <v>3112</v>
      </c>
      <c r="M543" s="1" t="s">
        <v>34</v>
      </c>
      <c r="N543" s="16">
        <v>18629</v>
      </c>
      <c r="O543" s="15">
        <v>32.6</v>
      </c>
      <c r="P543" s="15">
        <v>7.63</v>
      </c>
      <c r="Q543" s="15">
        <v>45.8</v>
      </c>
      <c r="R543" s="15">
        <v>51.2</v>
      </c>
      <c r="T543" s="15"/>
      <c r="U543" s="15">
        <v>27.9</v>
      </c>
      <c r="V543" s="15">
        <v>4.7</v>
      </c>
      <c r="W543" s="12">
        <v>0.7</v>
      </c>
      <c r="X543" s="15"/>
      <c r="Y543" s="15">
        <v>67.7</v>
      </c>
      <c r="Z543" s="12">
        <v>1.41</v>
      </c>
      <c r="AA543" s="1">
        <v>3</v>
      </c>
      <c r="AB543" s="16">
        <f>AA543*10</f>
        <v>30</v>
      </c>
      <c r="AD543" s="16"/>
      <c r="AE543" s="1">
        <v>1</v>
      </c>
    </row>
    <row r="544" spans="1:31" x14ac:dyDescent="0.2">
      <c r="A544" s="1">
        <v>543</v>
      </c>
      <c r="B544" s="1">
        <v>2019</v>
      </c>
      <c r="C544" s="1" t="s">
        <v>88</v>
      </c>
      <c r="D544" s="8" t="s">
        <v>1023</v>
      </c>
      <c r="E544" s="8" t="s">
        <v>733</v>
      </c>
      <c r="F544" s="1" t="s">
        <v>32</v>
      </c>
      <c r="I544" s="12">
        <v>5.4266667000000002</v>
      </c>
      <c r="J544" s="3">
        <v>15.5033333</v>
      </c>
      <c r="L544" s="5">
        <v>3115</v>
      </c>
      <c r="N544" s="5">
        <v>16936.666700000002</v>
      </c>
      <c r="O544" s="6">
        <v>40.799999999999997</v>
      </c>
      <c r="P544" s="6">
        <v>6.8366666699999996</v>
      </c>
      <c r="Q544" s="6">
        <v>42.426666699999998</v>
      </c>
      <c r="R544" s="6">
        <v>30.656666699999999</v>
      </c>
      <c r="S544" s="3"/>
      <c r="T544" s="6">
        <v>32.159999999999997</v>
      </c>
      <c r="U544" s="6">
        <v>25.4</v>
      </c>
      <c r="V544" s="6">
        <v>8.2433332999999998</v>
      </c>
      <c r="W544" s="3">
        <v>0.70466666700000002</v>
      </c>
      <c r="X544" s="6"/>
      <c r="Y544" s="6">
        <v>59.476666700000003</v>
      </c>
      <c r="Z544" s="3">
        <v>0.7</v>
      </c>
      <c r="AB544" s="16"/>
      <c r="AC544" s="6">
        <v>1</v>
      </c>
      <c r="AD544" s="16">
        <f>AC544*10</f>
        <v>10</v>
      </c>
      <c r="AE544" s="1">
        <v>1</v>
      </c>
    </row>
    <row r="545" spans="1:31" x14ac:dyDescent="0.2">
      <c r="A545" s="1">
        <v>544</v>
      </c>
      <c r="B545" s="1">
        <v>2014</v>
      </c>
      <c r="C545" s="1" t="s">
        <v>31</v>
      </c>
      <c r="D545" s="1" t="s">
        <v>291</v>
      </c>
      <c r="E545" s="1" t="s">
        <v>452</v>
      </c>
      <c r="F545" s="1" t="s">
        <v>83</v>
      </c>
      <c r="G545" s="1">
        <v>118</v>
      </c>
      <c r="H545" s="1" t="s">
        <v>34</v>
      </c>
      <c r="I545" s="12">
        <v>6.11</v>
      </c>
      <c r="J545" s="12">
        <v>17.5</v>
      </c>
      <c r="K545" s="1" t="s">
        <v>34</v>
      </c>
      <c r="L545" s="16">
        <v>3115</v>
      </c>
      <c r="M545" s="1" t="s">
        <v>34</v>
      </c>
      <c r="N545" s="16">
        <v>19011</v>
      </c>
      <c r="O545" s="15">
        <v>35.6</v>
      </c>
      <c r="P545" s="15">
        <v>7.14</v>
      </c>
      <c r="Q545" s="15">
        <v>42.4</v>
      </c>
      <c r="R545" s="15">
        <v>51.3</v>
      </c>
      <c r="T545" s="15"/>
      <c r="U545" s="15">
        <v>32</v>
      </c>
      <c r="V545" s="15">
        <v>4.9000000000000004</v>
      </c>
      <c r="W545" s="12">
        <v>0.71</v>
      </c>
      <c r="X545" s="15"/>
      <c r="Y545" s="15">
        <v>69</v>
      </c>
      <c r="Z545" s="12">
        <v>1.33</v>
      </c>
      <c r="AA545" s="1">
        <v>6</v>
      </c>
      <c r="AB545" s="16">
        <f>AA545*10</f>
        <v>60</v>
      </c>
      <c r="AD545" s="16"/>
      <c r="AE545" s="1">
        <v>1</v>
      </c>
    </row>
    <row r="546" spans="1:31" x14ac:dyDescent="0.2">
      <c r="A546" s="1">
        <v>545</v>
      </c>
      <c r="B546" s="1">
        <v>2012</v>
      </c>
      <c r="C546" s="1" t="s">
        <v>31</v>
      </c>
      <c r="D546" s="22" t="s">
        <v>917</v>
      </c>
      <c r="E546" s="1" t="s">
        <v>304</v>
      </c>
      <c r="F546" s="1" t="s">
        <v>83</v>
      </c>
      <c r="I546" s="12">
        <v>4.76</v>
      </c>
      <c r="J546" s="12">
        <v>13.6</v>
      </c>
      <c r="L546" s="16">
        <v>3116</v>
      </c>
      <c r="N546" s="16">
        <v>14820</v>
      </c>
      <c r="O546" s="15">
        <v>34.5</v>
      </c>
      <c r="P546" s="15">
        <v>7.13</v>
      </c>
      <c r="Q546" s="15">
        <v>42.8</v>
      </c>
      <c r="R546" s="15">
        <v>53.4</v>
      </c>
      <c r="T546" s="15"/>
      <c r="U546" s="15">
        <v>38.799999999999997</v>
      </c>
      <c r="V546" s="15">
        <v>3.2</v>
      </c>
      <c r="W546" s="12">
        <v>0.71</v>
      </c>
      <c r="X546" s="15"/>
      <c r="Y546" s="15"/>
      <c r="Z546" s="12">
        <v>1.0900000000000001</v>
      </c>
      <c r="AB546" s="16"/>
      <c r="AD546" s="16"/>
      <c r="AE546" s="1">
        <v>1</v>
      </c>
    </row>
    <row r="547" spans="1:31" x14ac:dyDescent="0.2">
      <c r="A547" s="1">
        <v>546</v>
      </c>
      <c r="B547" s="1">
        <v>2018</v>
      </c>
      <c r="C547" s="1" t="s">
        <v>31</v>
      </c>
      <c r="D547" s="8" t="s">
        <v>874</v>
      </c>
      <c r="E547" s="1" t="s">
        <v>652</v>
      </c>
      <c r="F547" s="1" t="s">
        <v>32</v>
      </c>
      <c r="G547" s="1">
        <v>117</v>
      </c>
      <c r="H547" s="1" t="s">
        <v>34</v>
      </c>
      <c r="I547" s="12">
        <v>8.1999999999999993</v>
      </c>
      <c r="J547" s="3">
        <v>23.4</v>
      </c>
      <c r="L547" s="5">
        <v>3117.5</v>
      </c>
      <c r="M547" s="1" t="s">
        <v>34</v>
      </c>
      <c r="N547" s="5">
        <v>25599</v>
      </c>
      <c r="O547" s="6">
        <v>38.9</v>
      </c>
      <c r="P547" s="18">
        <v>7.63</v>
      </c>
      <c r="Q547" s="6">
        <v>42.502499999999998</v>
      </c>
      <c r="R547" s="6">
        <v>57.704999999999998</v>
      </c>
      <c r="S547" s="3"/>
      <c r="T547" s="6">
        <v>25.93</v>
      </c>
      <c r="U547" s="6">
        <v>33.854999999999997</v>
      </c>
      <c r="V547" s="6">
        <v>5.875</v>
      </c>
      <c r="W547" s="3">
        <v>0.72712500000000002</v>
      </c>
      <c r="X547" s="6"/>
      <c r="Y547" s="6">
        <v>70.19</v>
      </c>
      <c r="Z547" s="3">
        <v>1.99</v>
      </c>
      <c r="AB547" s="16"/>
      <c r="AD547" s="16"/>
      <c r="AE547" s="1">
        <v>1</v>
      </c>
    </row>
    <row r="548" spans="1:31" x14ac:dyDescent="0.2">
      <c r="A548" s="1">
        <v>547</v>
      </c>
      <c r="B548" s="1">
        <v>2012</v>
      </c>
      <c r="C548" s="1" t="s">
        <v>31</v>
      </c>
      <c r="D548" s="1" t="s">
        <v>37</v>
      </c>
      <c r="E548" s="1" t="s">
        <v>228</v>
      </c>
      <c r="F548" s="1" t="s">
        <v>83</v>
      </c>
      <c r="H548" s="1" t="s">
        <v>34</v>
      </c>
      <c r="I548" s="12">
        <v>6.92</v>
      </c>
      <c r="J548" s="12">
        <v>19.8</v>
      </c>
      <c r="L548" s="16">
        <v>3118</v>
      </c>
      <c r="M548" s="1" t="s">
        <v>34</v>
      </c>
      <c r="N548" s="16">
        <v>21577</v>
      </c>
      <c r="O548" s="15">
        <v>31.3</v>
      </c>
      <c r="P548" s="15">
        <v>7.66</v>
      </c>
      <c r="Q548" s="15">
        <v>50.8</v>
      </c>
      <c r="R548" s="15">
        <v>55</v>
      </c>
      <c r="T548" s="15"/>
      <c r="U548" s="15">
        <v>27.5</v>
      </c>
      <c r="V548" s="15">
        <v>4.3</v>
      </c>
      <c r="W548" s="12">
        <v>0.69</v>
      </c>
      <c r="X548" s="15"/>
      <c r="Y548" s="15"/>
      <c r="Z548" s="12">
        <v>1.93</v>
      </c>
      <c r="AB548" s="16"/>
      <c r="AD548" s="16"/>
      <c r="AE548" s="1">
        <v>1</v>
      </c>
    </row>
    <row r="549" spans="1:31" x14ac:dyDescent="0.2">
      <c r="A549" s="1">
        <v>548</v>
      </c>
      <c r="B549" s="1">
        <v>2008</v>
      </c>
      <c r="C549" s="1" t="s">
        <v>31</v>
      </c>
      <c r="D549" s="8" t="s">
        <v>67</v>
      </c>
      <c r="E549" s="8" t="s">
        <v>77</v>
      </c>
      <c r="F549" s="8" t="s">
        <v>32</v>
      </c>
      <c r="G549" s="8"/>
      <c r="H549" s="8"/>
      <c r="I549" s="12">
        <v>8.01</v>
      </c>
      <c r="J549" s="7">
        <v>29.5</v>
      </c>
      <c r="K549" s="13"/>
      <c r="L549" s="14">
        <v>3119</v>
      </c>
      <c r="M549" s="14"/>
      <c r="N549" s="14">
        <v>25030</v>
      </c>
      <c r="O549" s="13">
        <v>29.2</v>
      </c>
      <c r="P549" s="13">
        <v>8.8000000000000007</v>
      </c>
      <c r="Q549" s="13">
        <v>53.9</v>
      </c>
      <c r="R549" s="13">
        <v>65.400000000000006</v>
      </c>
      <c r="S549" s="13"/>
      <c r="T549" s="13"/>
      <c r="U549" s="13">
        <v>16.2</v>
      </c>
      <c r="V549" s="13"/>
      <c r="W549" s="13"/>
      <c r="X549" s="15"/>
      <c r="Y549" s="13">
        <v>70.2</v>
      </c>
      <c r="Z549" s="7">
        <v>2.83</v>
      </c>
      <c r="AB549" s="16"/>
      <c r="AD549" s="16"/>
      <c r="AE549" s="1">
        <v>1</v>
      </c>
    </row>
    <row r="550" spans="1:31" x14ac:dyDescent="0.2">
      <c r="A550" s="1">
        <v>549</v>
      </c>
      <c r="B550" s="1">
        <v>2017</v>
      </c>
      <c r="C550" s="1" t="s">
        <v>96</v>
      </c>
      <c r="D550" s="1" t="s">
        <v>1023</v>
      </c>
      <c r="E550" s="8" t="s">
        <v>337</v>
      </c>
      <c r="F550" s="1" t="s">
        <v>32</v>
      </c>
      <c r="I550" s="12">
        <v>6.11</v>
      </c>
      <c r="J550" s="3">
        <v>17.5</v>
      </c>
      <c r="K550" s="1" t="s">
        <v>34</v>
      </c>
      <c r="L550" s="5">
        <v>3120</v>
      </c>
      <c r="M550" s="1" t="s">
        <v>34</v>
      </c>
      <c r="N550" s="5">
        <v>19054</v>
      </c>
      <c r="O550" s="6">
        <v>29.4</v>
      </c>
      <c r="P550" s="6">
        <v>5.7</v>
      </c>
      <c r="Q550" s="6">
        <v>55.4</v>
      </c>
      <c r="R550" s="6">
        <v>55.2</v>
      </c>
      <c r="S550" s="6">
        <v>16.5</v>
      </c>
      <c r="U550" s="15">
        <v>14</v>
      </c>
      <c r="V550" s="15">
        <v>14.3</v>
      </c>
      <c r="W550" s="3">
        <v>0.63500000000000001</v>
      </c>
      <c r="X550" s="6"/>
      <c r="Y550" s="6">
        <v>62.4</v>
      </c>
      <c r="Z550" s="3">
        <v>1.9</v>
      </c>
      <c r="AB550" s="16"/>
      <c r="AD550" s="16"/>
      <c r="AE550" s="1">
        <v>0</v>
      </c>
    </row>
    <row r="551" spans="1:31" x14ac:dyDescent="0.2">
      <c r="A551" s="1">
        <v>550</v>
      </c>
      <c r="B551" s="1">
        <v>2018</v>
      </c>
      <c r="C551" s="1" t="s">
        <v>88</v>
      </c>
      <c r="D551" s="1" t="s">
        <v>1023</v>
      </c>
      <c r="E551" s="8" t="s">
        <v>337</v>
      </c>
      <c r="F551" s="1" t="s">
        <v>32</v>
      </c>
      <c r="I551" s="12">
        <v>6.8299777956297696</v>
      </c>
      <c r="J551" s="7">
        <v>19.510000000000002</v>
      </c>
      <c r="L551" s="16">
        <v>3120.25</v>
      </c>
      <c r="N551" s="16">
        <v>21306.6762566822</v>
      </c>
      <c r="O551" s="15">
        <v>36.935137272511</v>
      </c>
      <c r="P551" s="15">
        <v>9.33</v>
      </c>
      <c r="Q551" s="15">
        <v>50.29</v>
      </c>
      <c r="R551" s="15">
        <v>47.41</v>
      </c>
      <c r="S551" s="12">
        <v>16.392500000000002</v>
      </c>
      <c r="U551" s="15">
        <v>15.91</v>
      </c>
      <c r="V551" s="15">
        <v>9.2774999999999999</v>
      </c>
      <c r="W551" s="12">
        <v>0.65105000000000002</v>
      </c>
      <c r="X551" s="15"/>
      <c r="Y551" s="15">
        <v>61.155000000000001</v>
      </c>
      <c r="Z551" s="12">
        <v>0.73031212586713001</v>
      </c>
      <c r="AA551" s="16">
        <v>3</v>
      </c>
      <c r="AB551" s="16">
        <f>AA551*33.334</f>
        <v>100.00200000000001</v>
      </c>
      <c r="AC551" s="16">
        <v>1.5</v>
      </c>
      <c r="AD551" s="16">
        <f>AC551*33.334</f>
        <v>50.001000000000005</v>
      </c>
      <c r="AE551" s="1">
        <v>1</v>
      </c>
    </row>
    <row r="552" spans="1:31" x14ac:dyDescent="0.2">
      <c r="A552" s="1">
        <v>551</v>
      </c>
      <c r="B552" s="1">
        <v>2021</v>
      </c>
      <c r="C552" s="1" t="s">
        <v>88</v>
      </c>
      <c r="D552" s="1" t="s">
        <v>838</v>
      </c>
      <c r="E552" s="1" t="s">
        <v>841</v>
      </c>
      <c r="F552" s="1" t="s">
        <v>83</v>
      </c>
      <c r="H552" s="1" t="s">
        <v>89</v>
      </c>
      <c r="I552" s="12">
        <v>5.5526481877679998</v>
      </c>
      <c r="J552" s="12">
        <v>15.864709108</v>
      </c>
      <c r="K552" s="1" t="s">
        <v>89</v>
      </c>
      <c r="L552" s="16">
        <v>3121</v>
      </c>
      <c r="N552" s="16">
        <v>17396.265084281</v>
      </c>
      <c r="O552" s="15">
        <v>31.984874600000001</v>
      </c>
      <c r="P552" s="15">
        <v>7</v>
      </c>
      <c r="Q552" s="15">
        <v>57.8825</v>
      </c>
      <c r="R552" s="15">
        <v>62.542499999999997</v>
      </c>
      <c r="U552" s="15">
        <v>6.4175000000000004</v>
      </c>
      <c r="V552" s="15">
        <v>12.807499999999999</v>
      </c>
      <c r="W552" s="12">
        <v>0.66702499999999998</v>
      </c>
      <c r="X552" s="15"/>
      <c r="Y552" s="15">
        <v>64.064999999999998</v>
      </c>
      <c r="Z552" s="12"/>
      <c r="AA552" s="15">
        <v>1.125</v>
      </c>
      <c r="AB552" s="16">
        <f>AA552*33.334</f>
        <v>37.500750000000004</v>
      </c>
      <c r="AC552" s="1">
        <v>0.5</v>
      </c>
      <c r="AD552" s="16">
        <f>AC552*33.334</f>
        <v>16.667000000000002</v>
      </c>
      <c r="AE552" s="1">
        <v>1</v>
      </c>
    </row>
    <row r="553" spans="1:31" x14ac:dyDescent="0.2">
      <c r="A553" s="1">
        <v>552</v>
      </c>
      <c r="B553" s="1">
        <v>2015</v>
      </c>
      <c r="C553" s="8" t="s">
        <v>88</v>
      </c>
      <c r="D553" s="8" t="s">
        <v>1023</v>
      </c>
      <c r="E553" s="8" t="s">
        <v>238</v>
      </c>
      <c r="F553" s="1" t="s">
        <v>83</v>
      </c>
      <c r="I553" s="12">
        <v>4.5</v>
      </c>
      <c r="J553" s="7">
        <v>12.9</v>
      </c>
      <c r="K553" s="1" t="s">
        <v>34</v>
      </c>
      <c r="L553" s="14">
        <v>3123</v>
      </c>
      <c r="N553" s="14">
        <v>14062</v>
      </c>
      <c r="O553" s="13">
        <v>29.7</v>
      </c>
      <c r="P553" s="13">
        <v>7.9</v>
      </c>
      <c r="Q553" s="13">
        <v>55.5</v>
      </c>
      <c r="R553" s="13">
        <v>57</v>
      </c>
      <c r="S553" s="8"/>
      <c r="T553" s="13" t="s">
        <v>89</v>
      </c>
      <c r="U553" s="13">
        <v>6.8</v>
      </c>
      <c r="V553" s="13">
        <v>14.9</v>
      </c>
      <c r="W553" s="7">
        <v>0.67</v>
      </c>
      <c r="X553" s="13"/>
      <c r="Y553" s="13">
        <v>62.8</v>
      </c>
      <c r="Z553" s="7">
        <v>1.42</v>
      </c>
      <c r="AA553" s="13">
        <v>3.4</v>
      </c>
      <c r="AB553" s="16">
        <f>AA553*10</f>
        <v>34</v>
      </c>
      <c r="AC553" s="13">
        <v>1</v>
      </c>
      <c r="AD553" s="16">
        <f>AC553*10</f>
        <v>10</v>
      </c>
      <c r="AE553" s="1">
        <v>1</v>
      </c>
    </row>
    <row r="554" spans="1:31" x14ac:dyDescent="0.2">
      <c r="A554" s="1">
        <v>553</v>
      </c>
      <c r="B554" s="1">
        <v>2012</v>
      </c>
      <c r="C554" s="1" t="s">
        <v>31</v>
      </c>
      <c r="D554" s="1" t="s">
        <v>125</v>
      </c>
      <c r="E554" s="1" t="s">
        <v>319</v>
      </c>
      <c r="F554" s="1" t="s">
        <v>83</v>
      </c>
      <c r="H554" s="1" t="s">
        <v>34</v>
      </c>
      <c r="I554" s="12">
        <v>6.64</v>
      </c>
      <c r="J554" s="12">
        <v>19</v>
      </c>
      <c r="L554" s="16">
        <v>3124</v>
      </c>
      <c r="N554" s="16">
        <v>20742</v>
      </c>
      <c r="O554" s="15">
        <v>31.7</v>
      </c>
      <c r="P554" s="15">
        <v>7.51</v>
      </c>
      <c r="Q554" s="15">
        <v>47.9</v>
      </c>
      <c r="R554" s="15">
        <v>56.1</v>
      </c>
      <c r="T554" s="15"/>
      <c r="U554" s="15">
        <v>32.6</v>
      </c>
      <c r="V554" s="15">
        <v>3.5</v>
      </c>
      <c r="W554" s="12">
        <v>0.69</v>
      </c>
      <c r="X554" s="15"/>
      <c r="Y554" s="15"/>
      <c r="Z554" s="12">
        <v>1.79</v>
      </c>
      <c r="AB554" s="16"/>
      <c r="AD554" s="16"/>
      <c r="AE554" s="1">
        <v>1</v>
      </c>
    </row>
    <row r="555" spans="1:31" x14ac:dyDescent="0.2">
      <c r="A555" s="1">
        <v>554</v>
      </c>
      <c r="B555" s="1">
        <v>2013</v>
      </c>
      <c r="C555" s="1" t="s">
        <v>88</v>
      </c>
      <c r="D555" s="8" t="s">
        <v>1023</v>
      </c>
      <c r="E555" s="8" t="s">
        <v>337</v>
      </c>
      <c r="F555" s="1" t="s">
        <v>83</v>
      </c>
      <c r="I555" s="12">
        <v>5.1100000000000003</v>
      </c>
      <c r="J555" s="7">
        <v>14.6</v>
      </c>
      <c r="K555" s="13" t="s">
        <v>34</v>
      </c>
      <c r="L555" s="14">
        <v>3128</v>
      </c>
      <c r="M555" s="14"/>
      <c r="N555" s="14">
        <v>15961</v>
      </c>
      <c r="O555" s="13">
        <v>27.5</v>
      </c>
      <c r="P555" s="13">
        <v>8.1999999999999993</v>
      </c>
      <c r="Q555" s="13">
        <v>47.2</v>
      </c>
      <c r="R555" s="13">
        <v>51.6</v>
      </c>
      <c r="S555" s="13"/>
      <c r="T555" s="13"/>
      <c r="U555" s="13">
        <v>26.2</v>
      </c>
      <c r="V555" s="13">
        <v>2.2999999999999998</v>
      </c>
      <c r="W555" s="7">
        <v>0.61</v>
      </c>
      <c r="X555" s="13">
        <v>77.099999999999994</v>
      </c>
      <c r="Y555" s="13">
        <v>60.1</v>
      </c>
      <c r="Z555" s="7">
        <v>1.24</v>
      </c>
      <c r="AA555" s="13">
        <v>4.3</v>
      </c>
      <c r="AB555" s="16">
        <f>AA555*10</f>
        <v>43</v>
      </c>
      <c r="AC555" s="13">
        <v>2.5</v>
      </c>
      <c r="AD555" s="16">
        <f>AC555*10</f>
        <v>25</v>
      </c>
      <c r="AE555" s="1">
        <v>1</v>
      </c>
    </row>
    <row r="556" spans="1:31" x14ac:dyDescent="0.2">
      <c r="A556" s="1">
        <v>555</v>
      </c>
      <c r="B556" s="1">
        <v>2013</v>
      </c>
      <c r="C556" s="1" t="s">
        <v>31</v>
      </c>
      <c r="D556" s="8" t="s">
        <v>125</v>
      </c>
      <c r="E556" s="8" t="s">
        <v>380</v>
      </c>
      <c r="F556" s="1" t="s">
        <v>32</v>
      </c>
      <c r="G556" s="8">
        <v>115</v>
      </c>
      <c r="H556" s="8"/>
      <c r="I556" s="12">
        <v>8.18</v>
      </c>
      <c r="J556" s="7">
        <v>23.371428571428599</v>
      </c>
      <c r="K556" s="13"/>
      <c r="L556" s="14">
        <v>3128</v>
      </c>
      <c r="M556" s="8"/>
      <c r="N556" s="14">
        <v>25589</v>
      </c>
      <c r="O556" s="13">
        <v>29.6</v>
      </c>
      <c r="P556" s="13">
        <v>8.1999999999999993</v>
      </c>
      <c r="Q556" s="13">
        <v>41.7</v>
      </c>
      <c r="R556" s="13">
        <v>50</v>
      </c>
      <c r="S556" s="13" t="s">
        <v>89</v>
      </c>
      <c r="T556" s="13"/>
      <c r="U556" s="13">
        <v>32.5</v>
      </c>
      <c r="V556" s="13">
        <v>3.6</v>
      </c>
      <c r="W556" s="7">
        <v>0.7</v>
      </c>
      <c r="X556" s="15" t="s">
        <v>89</v>
      </c>
      <c r="Y556" s="15" t="s">
        <v>89</v>
      </c>
      <c r="Z556" s="7">
        <v>1.7</v>
      </c>
      <c r="AB556" s="16"/>
      <c r="AD556" s="16"/>
      <c r="AE556" s="1">
        <v>1</v>
      </c>
    </row>
    <row r="557" spans="1:31" x14ac:dyDescent="0.2">
      <c r="A557" s="1">
        <v>556</v>
      </c>
      <c r="B557" s="1">
        <v>2018</v>
      </c>
      <c r="C557" s="1" t="s">
        <v>31</v>
      </c>
      <c r="D557" s="1" t="s">
        <v>391</v>
      </c>
      <c r="E557" s="1" t="s">
        <v>672</v>
      </c>
      <c r="F557" s="1" t="s">
        <v>32</v>
      </c>
      <c r="G557" s="1">
        <v>117</v>
      </c>
      <c r="H557" s="1" t="s">
        <v>34</v>
      </c>
      <c r="I557" s="12">
        <v>8.1999999999999993</v>
      </c>
      <c r="J557" s="3">
        <v>23.3</v>
      </c>
      <c r="L557" s="5">
        <v>3128.25</v>
      </c>
      <c r="N557" s="5">
        <v>25535.751</v>
      </c>
      <c r="O557" s="6">
        <v>35.427500000000002</v>
      </c>
      <c r="P557" s="18">
        <v>7.68</v>
      </c>
      <c r="Q557" s="6">
        <v>46.3</v>
      </c>
      <c r="R557" s="6">
        <v>56.375</v>
      </c>
      <c r="S557" s="3"/>
      <c r="T557" s="6">
        <v>28.232500000000002</v>
      </c>
      <c r="U557" s="6">
        <v>29.772500000000001</v>
      </c>
      <c r="V557" s="6">
        <v>5.62</v>
      </c>
      <c r="W557" s="3">
        <v>0.70215000000000005</v>
      </c>
      <c r="X557" s="6"/>
      <c r="Y557" s="6">
        <v>67.944999999999993</v>
      </c>
      <c r="Z557" s="3">
        <v>2.13</v>
      </c>
      <c r="AB557" s="16"/>
      <c r="AD557" s="16"/>
      <c r="AE557" s="1">
        <v>1</v>
      </c>
    </row>
    <row r="558" spans="1:31" x14ac:dyDescent="0.2">
      <c r="A558" s="1">
        <v>557</v>
      </c>
      <c r="B558" s="1">
        <v>2015</v>
      </c>
      <c r="C558" s="8" t="s">
        <v>96</v>
      </c>
      <c r="D558" s="8" t="s">
        <v>874</v>
      </c>
      <c r="E558" s="8" t="s">
        <v>518</v>
      </c>
      <c r="F558" s="1" t="s">
        <v>32</v>
      </c>
      <c r="I558" s="12">
        <v>6.22</v>
      </c>
      <c r="J558" s="7">
        <v>17.771428571428572</v>
      </c>
      <c r="K558" s="1" t="s">
        <v>34</v>
      </c>
      <c r="L558" s="14">
        <v>3130</v>
      </c>
      <c r="N558" s="14">
        <v>19563</v>
      </c>
      <c r="O558" s="13">
        <v>32.9</v>
      </c>
      <c r="P558" s="13">
        <v>10.199999999999999</v>
      </c>
      <c r="Q558" s="13">
        <v>52.4</v>
      </c>
      <c r="R558" s="13">
        <v>53.8</v>
      </c>
      <c r="S558" s="8"/>
      <c r="T558" s="15" t="s">
        <v>89</v>
      </c>
      <c r="U558" s="13">
        <v>17</v>
      </c>
      <c r="V558" s="13">
        <v>8.6999999999999993</v>
      </c>
      <c r="W558" s="7">
        <v>0.64</v>
      </c>
      <c r="X558" s="13"/>
      <c r="Y558" s="13">
        <v>62.2</v>
      </c>
      <c r="Z558" s="7">
        <v>1.74</v>
      </c>
      <c r="AA558" s="13">
        <v>1</v>
      </c>
      <c r="AB558" s="16">
        <f>AA558*10</f>
        <v>10</v>
      </c>
      <c r="AC558" s="13">
        <v>1</v>
      </c>
      <c r="AD558" s="16">
        <f>AC558*10</f>
        <v>10</v>
      </c>
      <c r="AE558" s="1">
        <v>0</v>
      </c>
    </row>
    <row r="559" spans="1:31" x14ac:dyDescent="0.2">
      <c r="A559" s="1">
        <v>558</v>
      </c>
      <c r="B559" s="1">
        <v>2012</v>
      </c>
      <c r="C559" s="1" t="s">
        <v>88</v>
      </c>
      <c r="D559" s="8" t="s">
        <v>1023</v>
      </c>
      <c r="E559" s="8" t="s">
        <v>337</v>
      </c>
      <c r="F559" s="1" t="s">
        <v>83</v>
      </c>
      <c r="I559" s="12">
        <v>4.82</v>
      </c>
      <c r="J559" s="7">
        <v>13.8</v>
      </c>
      <c r="K559" s="13" t="s">
        <v>34</v>
      </c>
      <c r="L559" s="14">
        <v>3132</v>
      </c>
      <c r="M559" s="14" t="s">
        <v>34</v>
      </c>
      <c r="N559" s="14">
        <v>15219</v>
      </c>
      <c r="O559" s="13">
        <v>31.5</v>
      </c>
      <c r="P559" s="13">
        <v>8.65</v>
      </c>
      <c r="Q559" s="13">
        <v>52.6</v>
      </c>
      <c r="R559" s="13">
        <v>51.4</v>
      </c>
      <c r="S559" s="13"/>
      <c r="T559" s="13"/>
      <c r="U559" s="13">
        <v>24.2</v>
      </c>
      <c r="V559" s="13">
        <v>2.6</v>
      </c>
      <c r="W559" s="7">
        <v>0.64</v>
      </c>
      <c r="X559" s="15"/>
      <c r="Y559" s="15"/>
      <c r="Z559" s="7">
        <v>1.3</v>
      </c>
      <c r="AA559" s="7">
        <v>6.1</v>
      </c>
      <c r="AB559" s="16">
        <f>AA559*10</f>
        <v>61</v>
      </c>
      <c r="AC559" s="7">
        <v>0</v>
      </c>
      <c r="AD559" s="16">
        <f>AC559*10</f>
        <v>0</v>
      </c>
      <c r="AE559" s="1">
        <v>1</v>
      </c>
    </row>
    <row r="560" spans="1:31" x14ac:dyDescent="0.2">
      <c r="A560" s="1">
        <v>559</v>
      </c>
      <c r="B560" s="1">
        <v>2012</v>
      </c>
      <c r="C560" s="1" t="s">
        <v>31</v>
      </c>
      <c r="D560" s="22" t="s">
        <v>917</v>
      </c>
      <c r="E560" s="1" t="s">
        <v>307</v>
      </c>
      <c r="F560" s="1" t="s">
        <v>83</v>
      </c>
      <c r="I560" s="12">
        <v>5.93</v>
      </c>
      <c r="J560" s="12">
        <v>16.899999999999999</v>
      </c>
      <c r="L560" s="16">
        <v>3132</v>
      </c>
      <c r="N560" s="16">
        <v>18534</v>
      </c>
      <c r="O560" s="15">
        <v>34.6</v>
      </c>
      <c r="P560" s="15">
        <v>6.86</v>
      </c>
      <c r="Q560" s="15">
        <v>46.1</v>
      </c>
      <c r="R560" s="15">
        <v>56.1</v>
      </c>
      <c r="T560" s="15"/>
      <c r="U560" s="15">
        <v>35.4</v>
      </c>
      <c r="V560" s="15">
        <v>3.1</v>
      </c>
      <c r="W560" s="12">
        <v>0.71</v>
      </c>
      <c r="X560" s="15"/>
      <c r="Y560" s="15"/>
      <c r="Z560" s="12">
        <v>1.53</v>
      </c>
      <c r="AB560" s="16"/>
      <c r="AD560" s="16"/>
      <c r="AE560" s="1">
        <v>1</v>
      </c>
    </row>
    <row r="561" spans="1:31" x14ac:dyDescent="0.2">
      <c r="A561" s="1">
        <v>560</v>
      </c>
      <c r="B561" s="1">
        <v>2018</v>
      </c>
      <c r="C561" s="1" t="s">
        <v>88</v>
      </c>
      <c r="D561" s="28" t="s">
        <v>914</v>
      </c>
      <c r="E561" s="1" t="s">
        <v>680</v>
      </c>
      <c r="F561" s="1" t="s">
        <v>32</v>
      </c>
      <c r="I561" s="12">
        <v>5.6317957305070703</v>
      </c>
      <c r="J561" s="12">
        <v>16.0908449443059</v>
      </c>
      <c r="L561" s="16">
        <v>3134.75</v>
      </c>
      <c r="N561" s="16">
        <v>17662.028560198101</v>
      </c>
      <c r="O561" s="15">
        <v>35.071495572805397</v>
      </c>
      <c r="P561" s="15">
        <v>9.6724999999999994</v>
      </c>
      <c r="Q561" s="15">
        <v>48.58</v>
      </c>
      <c r="R561" s="15">
        <v>46.67</v>
      </c>
      <c r="S561" s="12">
        <v>16.407500000000002</v>
      </c>
      <c r="U561" s="15">
        <v>18.8125</v>
      </c>
      <c r="V561" s="15">
        <v>7.1025</v>
      </c>
      <c r="W561" s="12">
        <v>0.65754999999999997</v>
      </c>
      <c r="X561" s="15"/>
      <c r="Y561" s="15">
        <v>61.352499999999999</v>
      </c>
      <c r="Z561" s="12">
        <v>0.56889029062865604</v>
      </c>
      <c r="AA561" s="16">
        <v>2.25</v>
      </c>
      <c r="AB561" s="16">
        <f>AA561*33.334</f>
        <v>75.001500000000007</v>
      </c>
      <c r="AC561" s="16">
        <v>0.5</v>
      </c>
      <c r="AD561" s="16">
        <f>AC561*33.334</f>
        <v>16.667000000000002</v>
      </c>
      <c r="AE561" s="1">
        <v>1</v>
      </c>
    </row>
    <row r="562" spans="1:31" x14ac:dyDescent="0.2">
      <c r="A562" s="1">
        <v>561</v>
      </c>
      <c r="B562" s="1">
        <v>2018</v>
      </c>
      <c r="C562" s="1" t="s">
        <v>31</v>
      </c>
      <c r="D562" s="1" t="s">
        <v>71</v>
      </c>
      <c r="E562" s="1" t="s">
        <v>626</v>
      </c>
      <c r="F562" s="1" t="s">
        <v>32</v>
      </c>
      <c r="G562" s="1">
        <v>114</v>
      </c>
      <c r="I562" s="12">
        <v>7.6</v>
      </c>
      <c r="J562" s="3">
        <v>21.579797899999999</v>
      </c>
      <c r="L562" s="5">
        <v>3138</v>
      </c>
      <c r="N562" s="5">
        <v>23699.144599999901</v>
      </c>
      <c r="O562" s="6">
        <v>29.642499999999998</v>
      </c>
      <c r="P562" s="18">
        <v>8</v>
      </c>
      <c r="Q562" s="6">
        <v>47.5</v>
      </c>
      <c r="R562" s="6">
        <v>55.092500000000001</v>
      </c>
      <c r="S562" s="3"/>
      <c r="T562" s="6">
        <v>29.4</v>
      </c>
      <c r="U562" s="6">
        <v>25.614999999999998</v>
      </c>
      <c r="V562" s="6">
        <v>7.3</v>
      </c>
      <c r="W562" s="3">
        <v>0.6833499999999999</v>
      </c>
      <c r="X562" s="6"/>
      <c r="Y562" s="6">
        <v>66.260000000000005</v>
      </c>
      <c r="Z562" s="3">
        <v>1.97</v>
      </c>
      <c r="AB562" s="16"/>
      <c r="AD562" s="16"/>
      <c r="AE562" s="1">
        <v>1</v>
      </c>
    </row>
    <row r="563" spans="1:31" x14ac:dyDescent="0.2">
      <c r="A563" s="1">
        <v>562</v>
      </c>
      <c r="B563" s="1">
        <v>2015</v>
      </c>
      <c r="C563" s="8" t="s">
        <v>88</v>
      </c>
      <c r="D563" s="8" t="s">
        <v>187</v>
      </c>
      <c r="E563" s="8">
        <v>2120</v>
      </c>
      <c r="F563" s="1" t="s">
        <v>83</v>
      </c>
      <c r="I563" s="12">
        <v>5.92</v>
      </c>
      <c r="J563" s="7">
        <v>16.914285714285715</v>
      </c>
      <c r="K563" s="1" t="s">
        <v>34</v>
      </c>
      <c r="L563" s="14">
        <v>3139</v>
      </c>
      <c r="N563" s="14">
        <v>18605</v>
      </c>
      <c r="O563" s="13">
        <v>28.5</v>
      </c>
      <c r="P563" s="13">
        <v>7.3</v>
      </c>
      <c r="Q563" s="13">
        <v>53.3</v>
      </c>
      <c r="R563" s="13">
        <v>47.8</v>
      </c>
      <c r="S563" s="8"/>
      <c r="T563" s="13" t="s">
        <v>89</v>
      </c>
      <c r="U563" s="13">
        <v>10.8</v>
      </c>
      <c r="V563" s="13">
        <v>13</v>
      </c>
      <c r="W563" s="7">
        <v>0.69</v>
      </c>
      <c r="X563" s="13"/>
      <c r="Y563" s="13">
        <v>61</v>
      </c>
      <c r="Z563" s="7">
        <v>1.51</v>
      </c>
      <c r="AA563" s="13">
        <v>1</v>
      </c>
      <c r="AB563" s="16">
        <f>AA563*10</f>
        <v>10</v>
      </c>
      <c r="AC563" s="13">
        <v>1</v>
      </c>
      <c r="AD563" s="16">
        <f>AC563*10</f>
        <v>10</v>
      </c>
      <c r="AE563" s="1">
        <v>1</v>
      </c>
    </row>
    <row r="564" spans="1:31" x14ac:dyDescent="0.2">
      <c r="A564" s="1">
        <v>563</v>
      </c>
      <c r="B564" s="1">
        <v>2016</v>
      </c>
      <c r="C564" s="1" t="s">
        <v>88</v>
      </c>
      <c r="D564" s="8" t="s">
        <v>459</v>
      </c>
      <c r="E564" s="8" t="s">
        <v>566</v>
      </c>
      <c r="F564" s="1" t="s">
        <v>32</v>
      </c>
      <c r="H564" s="1" t="s">
        <v>34</v>
      </c>
      <c r="I564" s="12">
        <v>11.62</v>
      </c>
      <c r="J564" s="7">
        <v>33.200000000000003</v>
      </c>
      <c r="L564" s="5">
        <v>3140.25</v>
      </c>
      <c r="M564" s="1" t="s">
        <v>34</v>
      </c>
      <c r="N564" s="5">
        <v>36523</v>
      </c>
      <c r="O564" s="6">
        <v>29.14</v>
      </c>
      <c r="P564" s="6">
        <v>4.5425000000000004</v>
      </c>
      <c r="Q564" s="6">
        <v>53.817500000000003</v>
      </c>
      <c r="R564" s="6">
        <v>48.997500000000002</v>
      </c>
      <c r="S564" s="6"/>
      <c r="T564" s="6">
        <v>35.327500000000001</v>
      </c>
      <c r="U564" s="6">
        <v>7.9074999999999998</v>
      </c>
      <c r="V564" s="6">
        <v>19.7</v>
      </c>
      <c r="W564" s="7">
        <v>0.64</v>
      </c>
      <c r="X564" s="13"/>
      <c r="Y564" s="6">
        <v>61.22</v>
      </c>
      <c r="Z564" s="3">
        <v>3.06</v>
      </c>
      <c r="AA564" s="6">
        <v>1.37</v>
      </c>
      <c r="AB564" s="16">
        <f>AA564*10</f>
        <v>13.700000000000001</v>
      </c>
      <c r="AC564" s="6">
        <v>1</v>
      </c>
      <c r="AD564" s="16">
        <f>AC564*10</f>
        <v>10</v>
      </c>
      <c r="AE564" s="1">
        <v>1</v>
      </c>
    </row>
    <row r="565" spans="1:31" x14ac:dyDescent="0.2">
      <c r="A565" s="1">
        <v>564</v>
      </c>
      <c r="B565" s="1">
        <v>2019</v>
      </c>
      <c r="C565" s="1" t="s">
        <v>88</v>
      </c>
      <c r="D565" s="8" t="s">
        <v>187</v>
      </c>
      <c r="E565" s="8">
        <v>19174</v>
      </c>
      <c r="F565" s="1" t="s">
        <v>32</v>
      </c>
      <c r="I565" s="12">
        <v>6.42</v>
      </c>
      <c r="J565" s="3">
        <v>18.343333300000001</v>
      </c>
      <c r="L565" s="5">
        <v>3143.6666700000001</v>
      </c>
      <c r="N565" s="5">
        <v>20089.333299999998</v>
      </c>
      <c r="O565" s="6">
        <v>40</v>
      </c>
      <c r="P565" s="6">
        <v>5.95</v>
      </c>
      <c r="Q565" s="6">
        <v>46.966666699999998</v>
      </c>
      <c r="R565" s="6">
        <v>41.26</v>
      </c>
      <c r="S565" s="3"/>
      <c r="T565" s="6">
        <v>33.103333300000003</v>
      </c>
      <c r="U565" s="6">
        <v>21.51</v>
      </c>
      <c r="V565" s="6">
        <v>7.36</v>
      </c>
      <c r="W565" s="3">
        <v>0.70189999999999997</v>
      </c>
      <c r="X565" s="6"/>
      <c r="Y565" s="6">
        <v>60.483333299999998</v>
      </c>
      <c r="Z565" s="3">
        <v>1.24666667</v>
      </c>
      <c r="AB565" s="16"/>
      <c r="AC565" s="18">
        <v>0</v>
      </c>
      <c r="AD565" s="16">
        <f>AC565*10</f>
        <v>0</v>
      </c>
      <c r="AE565" s="1">
        <v>1</v>
      </c>
    </row>
    <row r="566" spans="1:31" x14ac:dyDescent="0.2">
      <c r="A566" s="1">
        <v>565</v>
      </c>
      <c r="B566" s="1">
        <v>2015</v>
      </c>
      <c r="C566" s="8" t="s">
        <v>88</v>
      </c>
      <c r="D566" s="8" t="s">
        <v>187</v>
      </c>
      <c r="E566" s="8" t="s">
        <v>512</v>
      </c>
      <c r="F566" s="1" t="s">
        <v>32</v>
      </c>
      <c r="I566" s="12">
        <v>6.75</v>
      </c>
      <c r="J566" s="7">
        <v>19.285714285714288</v>
      </c>
      <c r="L566" s="14">
        <v>3144</v>
      </c>
      <c r="N566" s="14">
        <v>21203</v>
      </c>
      <c r="O566" s="13">
        <v>29.8</v>
      </c>
      <c r="P566" s="13">
        <v>9.3000000000000007</v>
      </c>
      <c r="Q566" s="13">
        <v>49.6</v>
      </c>
      <c r="R566" s="13">
        <v>53.1</v>
      </c>
      <c r="S566" s="8"/>
      <c r="T566" s="15" t="s">
        <v>89</v>
      </c>
      <c r="U566" s="13">
        <v>24.1</v>
      </c>
      <c r="V566" s="13">
        <v>4.3</v>
      </c>
      <c r="W566" s="7">
        <v>0.64</v>
      </c>
      <c r="X566" s="13"/>
      <c r="Y566" s="13">
        <v>62.3</v>
      </c>
      <c r="Z566" s="7">
        <v>1.79</v>
      </c>
      <c r="AA566" s="13">
        <v>1.7</v>
      </c>
      <c r="AB566" s="16">
        <f>AA566*10</f>
        <v>17</v>
      </c>
      <c r="AC566" s="13">
        <v>4.7</v>
      </c>
      <c r="AD566" s="16">
        <f>AC566*10</f>
        <v>47</v>
      </c>
      <c r="AE566" s="1">
        <v>1</v>
      </c>
    </row>
    <row r="567" spans="1:31" x14ac:dyDescent="0.2">
      <c r="A567" s="1">
        <v>566</v>
      </c>
      <c r="B567" s="1">
        <v>2008</v>
      </c>
      <c r="C567" s="1" t="s">
        <v>31</v>
      </c>
      <c r="D567" s="8" t="s">
        <v>35</v>
      </c>
      <c r="E567" s="8">
        <v>9938</v>
      </c>
      <c r="F567" s="8" t="s">
        <v>32</v>
      </c>
      <c r="G567" s="8"/>
      <c r="H567" s="8"/>
      <c r="I567" s="12">
        <v>7.47</v>
      </c>
      <c r="J567" s="7">
        <v>21.342857142857145</v>
      </c>
      <c r="K567" s="13"/>
      <c r="L567" s="14">
        <v>3144</v>
      </c>
      <c r="M567" s="14"/>
      <c r="N567" s="14">
        <v>23539</v>
      </c>
      <c r="O567" s="13">
        <v>30.3</v>
      </c>
      <c r="P567" s="13">
        <v>8.5</v>
      </c>
      <c r="Q567" s="13">
        <v>53.2</v>
      </c>
      <c r="R567" s="13">
        <v>64.400000000000006</v>
      </c>
      <c r="S567" s="13"/>
      <c r="T567" s="13"/>
      <c r="U567" s="13">
        <v>19.899999999999999</v>
      </c>
      <c r="V567" s="13"/>
      <c r="W567" s="13"/>
      <c r="X567" s="15"/>
      <c r="Y567" s="13">
        <v>70.3</v>
      </c>
      <c r="Z567" s="7">
        <v>2.54</v>
      </c>
      <c r="AB567" s="16"/>
      <c r="AD567" s="16"/>
      <c r="AE567" s="1">
        <v>1</v>
      </c>
    </row>
    <row r="568" spans="1:31" x14ac:dyDescent="0.2">
      <c r="A568" s="1">
        <v>567</v>
      </c>
      <c r="B568" s="1">
        <v>2016</v>
      </c>
      <c r="C568" s="1" t="s">
        <v>31</v>
      </c>
      <c r="D568" s="8" t="s">
        <v>71</v>
      </c>
      <c r="E568" s="8" t="s">
        <v>559</v>
      </c>
      <c r="F568" s="1" t="s">
        <v>32</v>
      </c>
      <c r="G568" s="8">
        <v>117</v>
      </c>
      <c r="I568" s="12">
        <v>8.85</v>
      </c>
      <c r="J568" s="7">
        <v>25.3</v>
      </c>
      <c r="L568" s="14">
        <v>3147</v>
      </c>
      <c r="N568" s="14">
        <v>27857</v>
      </c>
      <c r="O568" s="13">
        <v>30.8</v>
      </c>
      <c r="P568" s="13">
        <v>7.7</v>
      </c>
      <c r="Q568" s="13">
        <v>48.1</v>
      </c>
      <c r="R568" s="13">
        <v>51.8</v>
      </c>
      <c r="S568" s="13"/>
      <c r="T568" s="13">
        <v>28.8</v>
      </c>
      <c r="U568" s="13">
        <v>25.5</v>
      </c>
      <c r="V568" s="13">
        <v>3.6</v>
      </c>
      <c r="W568" s="7">
        <v>0.68</v>
      </c>
      <c r="X568" s="13"/>
      <c r="Y568" s="13">
        <v>68</v>
      </c>
      <c r="Z568" s="7">
        <v>2.2000000000000002</v>
      </c>
      <c r="AA568" s="15" t="s">
        <v>89</v>
      </c>
      <c r="AB568" s="16"/>
      <c r="AD568" s="16"/>
      <c r="AE568" s="1">
        <v>1</v>
      </c>
    </row>
    <row r="569" spans="1:31" x14ac:dyDescent="0.2">
      <c r="A569" s="1">
        <v>568</v>
      </c>
      <c r="B569" s="1">
        <v>2018</v>
      </c>
      <c r="C569" s="1" t="s">
        <v>88</v>
      </c>
      <c r="D569" s="8" t="s">
        <v>246</v>
      </c>
      <c r="E569" s="8" t="s">
        <v>580</v>
      </c>
      <c r="F569" s="1" t="s">
        <v>83</v>
      </c>
      <c r="I569" s="12">
        <v>3.6979511399999998</v>
      </c>
      <c r="J569" s="3">
        <v>10.565574700000001</v>
      </c>
      <c r="K569" s="1" t="s">
        <v>34</v>
      </c>
      <c r="L569" s="5">
        <v>3147.3</v>
      </c>
      <c r="N569" s="5">
        <v>11635.665999999999</v>
      </c>
      <c r="O569" s="6">
        <v>30.85</v>
      </c>
      <c r="P569" s="18">
        <v>10.1525</v>
      </c>
      <c r="Q569" s="6">
        <v>46.087499999999999</v>
      </c>
      <c r="R569" s="6">
        <v>40.159999999999997</v>
      </c>
      <c r="S569" s="3">
        <v>16.512499999999999</v>
      </c>
      <c r="U569" s="6">
        <v>18.68</v>
      </c>
      <c r="V569" s="6">
        <v>9.6325000000000003</v>
      </c>
      <c r="W569" s="3">
        <v>0.68650000000000011</v>
      </c>
      <c r="X569" s="6"/>
      <c r="Y569" s="6">
        <v>60.86</v>
      </c>
      <c r="Z569" s="3">
        <v>0.70028005999999998</v>
      </c>
      <c r="AA569" s="5">
        <v>2</v>
      </c>
      <c r="AB569" s="16">
        <f>AA569*33.334</f>
        <v>66.668000000000006</v>
      </c>
      <c r="AD569" s="16"/>
      <c r="AE569" s="1">
        <v>1</v>
      </c>
    </row>
    <row r="570" spans="1:31" x14ac:dyDescent="0.2">
      <c r="A570" s="1">
        <v>569</v>
      </c>
      <c r="B570" s="1">
        <v>2020</v>
      </c>
      <c r="C570" s="1" t="s">
        <v>31</v>
      </c>
      <c r="D570" s="28" t="s">
        <v>914</v>
      </c>
      <c r="E570" s="1" t="s">
        <v>482</v>
      </c>
      <c r="F570" s="1" t="s">
        <v>32</v>
      </c>
      <c r="G570" s="1">
        <v>117</v>
      </c>
      <c r="H570" s="1" t="s">
        <v>34</v>
      </c>
      <c r="I570" s="12">
        <v>9.635398529841499</v>
      </c>
      <c r="J570" s="12">
        <v>27.558627132000002</v>
      </c>
      <c r="K570" s="1" t="s">
        <v>754</v>
      </c>
      <c r="L570" s="16">
        <v>3148.4315914829999</v>
      </c>
      <c r="M570" s="16" t="s">
        <v>754</v>
      </c>
      <c r="N570" s="16">
        <v>22809.839723918001</v>
      </c>
      <c r="O570" s="10">
        <v>44.813761599999999</v>
      </c>
      <c r="P570" s="15">
        <v>8.35</v>
      </c>
      <c r="Q570" s="15">
        <v>47.677500000000002</v>
      </c>
      <c r="R570" s="15">
        <v>49.504229623000001</v>
      </c>
      <c r="S570" s="15"/>
      <c r="T570" s="15">
        <v>26.89</v>
      </c>
      <c r="U570" s="15">
        <v>22.532499999999999</v>
      </c>
      <c r="V570" s="15">
        <v>6.7857304000000003</v>
      </c>
      <c r="W570" s="12">
        <v>0.66639349199999998</v>
      </c>
      <c r="X570" s="15"/>
      <c r="Y570" s="15">
        <v>71.441543429999996</v>
      </c>
      <c r="Z570" s="12"/>
      <c r="AA570" s="15">
        <v>0.875</v>
      </c>
      <c r="AB570" s="16">
        <f>AA570*33.334</f>
        <v>29.167250000000003</v>
      </c>
      <c r="AD570" s="16"/>
      <c r="AE570" s="1">
        <v>1</v>
      </c>
    </row>
    <row r="571" spans="1:31" x14ac:dyDescent="0.2">
      <c r="A571" s="1">
        <v>570</v>
      </c>
      <c r="B571" s="1">
        <v>2019</v>
      </c>
      <c r="C571" s="1" t="s">
        <v>88</v>
      </c>
      <c r="D571" s="8" t="s">
        <v>187</v>
      </c>
      <c r="E571" s="8">
        <v>18122</v>
      </c>
      <c r="F571" s="1" t="s">
        <v>32</v>
      </c>
      <c r="I571" s="12">
        <v>6.5674999999999999</v>
      </c>
      <c r="J571" s="3">
        <v>18.767499999999998</v>
      </c>
      <c r="L571" s="5">
        <v>3148.75</v>
      </c>
      <c r="N571" s="5">
        <v>20751.25</v>
      </c>
      <c r="O571" s="6">
        <v>36.292499999999997</v>
      </c>
      <c r="P571" s="6">
        <v>6.2450000000000001</v>
      </c>
      <c r="Q571" s="6">
        <v>46.604999999999997</v>
      </c>
      <c r="R571" s="6">
        <v>44.2</v>
      </c>
      <c r="S571" s="3"/>
      <c r="T571" s="6">
        <v>32.229999999999997</v>
      </c>
      <c r="U571" s="6">
        <v>15.7575</v>
      </c>
      <c r="V571" s="6">
        <v>15.145</v>
      </c>
      <c r="W571" s="3">
        <v>0.69530000000000003</v>
      </c>
      <c r="X571" s="6"/>
      <c r="Y571" s="6">
        <v>61.094999999999999</v>
      </c>
      <c r="Z571" s="3">
        <v>1.34</v>
      </c>
      <c r="AB571" s="16"/>
      <c r="AC571" s="6">
        <v>0</v>
      </c>
      <c r="AD571" s="16">
        <f>AC571*10</f>
        <v>0</v>
      </c>
      <c r="AE571" s="1">
        <v>1</v>
      </c>
    </row>
    <row r="572" spans="1:31" x14ac:dyDescent="0.2">
      <c r="A572" s="1">
        <v>571</v>
      </c>
      <c r="B572" s="1">
        <v>2018</v>
      </c>
      <c r="C572" s="1" t="s">
        <v>31</v>
      </c>
      <c r="D572" s="1" t="s">
        <v>37</v>
      </c>
      <c r="E572" s="1" t="s">
        <v>668</v>
      </c>
      <c r="F572" s="1" t="s">
        <v>32</v>
      </c>
      <c r="G572" s="1">
        <v>118</v>
      </c>
      <c r="H572" s="1" t="s">
        <v>34</v>
      </c>
      <c r="I572" s="12">
        <v>8.1</v>
      </c>
      <c r="J572" s="3">
        <v>23.2</v>
      </c>
      <c r="L572" s="5">
        <v>3148.75</v>
      </c>
      <c r="N572" s="5">
        <v>25501.9643</v>
      </c>
      <c r="O572" s="6">
        <v>36.314999999999998</v>
      </c>
      <c r="P572" s="18">
        <v>7.6749999999999998</v>
      </c>
      <c r="Q572" s="6">
        <v>44.045000000000002</v>
      </c>
      <c r="R572" s="6">
        <v>56.484999999999999</v>
      </c>
      <c r="S572" s="3"/>
      <c r="T572" s="6">
        <v>27.147500000000001</v>
      </c>
      <c r="U572" s="6">
        <v>32.167499999999997</v>
      </c>
      <c r="V572" s="6">
        <v>4.9400000000000004</v>
      </c>
      <c r="W572" s="3">
        <v>0.712175</v>
      </c>
      <c r="X572" s="6"/>
      <c r="Y572" s="6">
        <v>68.847499999999997</v>
      </c>
      <c r="Z572" s="3">
        <v>2.0099999999999998</v>
      </c>
      <c r="AB572" s="16"/>
      <c r="AD572" s="16"/>
      <c r="AE572" s="1">
        <v>1</v>
      </c>
    </row>
    <row r="573" spans="1:31" x14ac:dyDescent="0.2">
      <c r="A573" s="1">
        <v>572</v>
      </c>
      <c r="B573" s="1">
        <v>2014</v>
      </c>
      <c r="C573" s="1" t="s">
        <v>31</v>
      </c>
      <c r="D573" s="1" t="s">
        <v>108</v>
      </c>
      <c r="E573" s="1" t="s">
        <v>431</v>
      </c>
      <c r="F573" s="1" t="s">
        <v>83</v>
      </c>
      <c r="G573" s="1">
        <v>116</v>
      </c>
      <c r="I573" s="12">
        <v>5.4</v>
      </c>
      <c r="J573" s="12">
        <v>15.4</v>
      </c>
      <c r="K573" s="1" t="s">
        <v>34</v>
      </c>
      <c r="L573" s="16">
        <v>3150</v>
      </c>
      <c r="N573" s="16">
        <v>17008</v>
      </c>
      <c r="O573" s="15">
        <v>29.4</v>
      </c>
      <c r="P573" s="15">
        <v>7.39</v>
      </c>
      <c r="Q573" s="15">
        <v>46.6</v>
      </c>
      <c r="R573" s="15">
        <v>53.3</v>
      </c>
      <c r="T573" s="15"/>
      <c r="U573" s="15">
        <v>29.6</v>
      </c>
      <c r="V573" s="15">
        <v>3.3</v>
      </c>
      <c r="W573" s="12">
        <v>0.69</v>
      </c>
      <c r="X573" s="15"/>
      <c r="Y573" s="15">
        <v>66.8</v>
      </c>
      <c r="Z573" s="12">
        <v>1.35</v>
      </c>
      <c r="AA573" s="1">
        <v>6</v>
      </c>
      <c r="AB573" s="16">
        <f>AA573*10</f>
        <v>60</v>
      </c>
      <c r="AD573" s="16"/>
      <c r="AE573" s="1">
        <v>1</v>
      </c>
    </row>
    <row r="574" spans="1:31" ht="17" x14ac:dyDescent="0.2">
      <c r="A574" s="1">
        <v>573</v>
      </c>
      <c r="B574" s="1">
        <v>2019</v>
      </c>
      <c r="C574" s="1" t="s">
        <v>88</v>
      </c>
      <c r="D574" s="9" t="s">
        <v>719</v>
      </c>
      <c r="E574" s="9" t="s">
        <v>745</v>
      </c>
      <c r="F574" s="1" t="s">
        <v>83</v>
      </c>
      <c r="H574" s="1" t="s">
        <v>34</v>
      </c>
      <c r="I574" s="12">
        <v>6.9</v>
      </c>
      <c r="J574" s="3">
        <v>19.68</v>
      </c>
      <c r="K574" s="1" t="s">
        <v>34</v>
      </c>
      <c r="L574" s="5">
        <v>3150</v>
      </c>
      <c r="M574" s="1" t="s">
        <v>34</v>
      </c>
      <c r="N574" s="5">
        <v>21832.6</v>
      </c>
      <c r="O574" s="6">
        <v>32.479999999999997</v>
      </c>
      <c r="P574" s="6">
        <v>8.8375000000000004</v>
      </c>
      <c r="Q574" s="6">
        <v>43.07</v>
      </c>
      <c r="R574" s="6">
        <v>35.594999999999999</v>
      </c>
      <c r="S574" s="3"/>
      <c r="T574" s="6">
        <v>28.987500000000001</v>
      </c>
      <c r="U574" s="6">
        <v>19.63</v>
      </c>
      <c r="V574" s="6">
        <v>7.415</v>
      </c>
      <c r="W574" s="3">
        <v>0.7016</v>
      </c>
      <c r="X574" s="6"/>
      <c r="Y574" s="6">
        <v>67.900000000000006</v>
      </c>
      <c r="Z574" s="3">
        <v>1.0575000000000001</v>
      </c>
      <c r="AB574" s="16"/>
      <c r="AC574" s="4">
        <v>3</v>
      </c>
      <c r="AD574" s="16">
        <f>AC574*10</f>
        <v>30</v>
      </c>
      <c r="AE574" s="1">
        <v>1</v>
      </c>
    </row>
    <row r="575" spans="1:31" ht="17" x14ac:dyDescent="0.2">
      <c r="A575" s="1">
        <v>574</v>
      </c>
      <c r="B575" s="1">
        <v>2019</v>
      </c>
      <c r="C575" s="1" t="s">
        <v>88</v>
      </c>
      <c r="D575" s="8" t="s">
        <v>738</v>
      </c>
      <c r="E575" s="8" t="s">
        <v>741</v>
      </c>
      <c r="F575" s="1" t="s">
        <v>32</v>
      </c>
      <c r="H575" s="1" t="s">
        <v>34</v>
      </c>
      <c r="I575" s="12">
        <v>8.1</v>
      </c>
      <c r="J575" s="3">
        <v>23.2</v>
      </c>
      <c r="L575" s="5">
        <v>3152</v>
      </c>
      <c r="M575" s="6" t="s">
        <v>34</v>
      </c>
      <c r="N575" s="5">
        <v>25497</v>
      </c>
      <c r="O575" s="6">
        <v>34.024999999999999</v>
      </c>
      <c r="P575" s="6">
        <v>6.88</v>
      </c>
      <c r="Q575" s="6">
        <v>45.424999999999997</v>
      </c>
      <c r="R575" s="6">
        <v>40.770000000000003</v>
      </c>
      <c r="S575" s="3"/>
      <c r="T575" s="6">
        <v>32.685000000000002</v>
      </c>
      <c r="U575" s="6">
        <v>13.9</v>
      </c>
      <c r="V575" s="6">
        <v>18.655000000000001</v>
      </c>
      <c r="W575" s="3">
        <v>0.69969999999999999</v>
      </c>
      <c r="X575" s="6"/>
      <c r="Y575" s="6">
        <v>60.835000000000001</v>
      </c>
      <c r="Z575" s="3">
        <v>1.5349999999999999</v>
      </c>
      <c r="AB575" s="16"/>
      <c r="AC575" s="6">
        <v>3</v>
      </c>
      <c r="AD575" s="16">
        <f>AC575*10</f>
        <v>30</v>
      </c>
      <c r="AE575" s="1">
        <v>1</v>
      </c>
    </row>
    <row r="576" spans="1:31" x14ac:dyDescent="0.2">
      <c r="A576" s="1">
        <v>575</v>
      </c>
      <c r="B576" s="1">
        <v>2020</v>
      </c>
      <c r="C576" s="1" t="s">
        <v>31</v>
      </c>
      <c r="D576" s="8" t="s">
        <v>874</v>
      </c>
      <c r="E576" s="1" t="s">
        <v>782</v>
      </c>
      <c r="F576" s="1" t="s">
        <v>83</v>
      </c>
      <c r="G576" s="1">
        <v>118</v>
      </c>
      <c r="H576" s="1" t="s">
        <v>754</v>
      </c>
      <c r="I576" s="12">
        <v>4.6548744965709998</v>
      </c>
      <c r="J576" s="12">
        <v>13.299641419</v>
      </c>
      <c r="L576" s="16">
        <v>3152.8105807040001</v>
      </c>
      <c r="M576" s="16" t="s">
        <v>754</v>
      </c>
      <c r="N576" s="16">
        <v>14733.987316928</v>
      </c>
      <c r="O576" s="15">
        <v>27.9457308</v>
      </c>
      <c r="P576" s="15">
        <v>8.5649999999999995</v>
      </c>
      <c r="Q576" s="15">
        <v>49.642499999999998</v>
      </c>
      <c r="R576" s="15">
        <v>43.524999999999999</v>
      </c>
      <c r="S576" s="15"/>
      <c r="T576" s="15">
        <v>28.177499999999998</v>
      </c>
      <c r="U576" s="15">
        <v>22.9375</v>
      </c>
      <c r="V576" s="15">
        <v>6.5625</v>
      </c>
      <c r="W576" s="12">
        <v>0.67933055499999995</v>
      </c>
      <c r="X576" s="15"/>
      <c r="Y576" s="15">
        <v>69.486092749999997</v>
      </c>
      <c r="Z576" s="12"/>
      <c r="AA576" s="15">
        <v>1.25</v>
      </c>
      <c r="AB576" s="16">
        <f>AA576*33.334</f>
        <v>41.667500000000004</v>
      </c>
      <c r="AD576" s="16"/>
      <c r="AE576" s="1">
        <v>1</v>
      </c>
    </row>
    <row r="577" spans="1:31" x14ac:dyDescent="0.2">
      <c r="A577" s="1">
        <v>576</v>
      </c>
      <c r="B577" s="1">
        <v>2016</v>
      </c>
      <c r="C577" s="1" t="s">
        <v>88</v>
      </c>
      <c r="D577" s="8" t="s">
        <v>1023</v>
      </c>
      <c r="E577" s="8" t="s">
        <v>337</v>
      </c>
      <c r="F577" s="1" t="s">
        <v>32</v>
      </c>
      <c r="I577" s="12">
        <v>5.65</v>
      </c>
      <c r="J577" s="7">
        <v>16.1428571428571</v>
      </c>
      <c r="L577" s="5">
        <v>3153.25</v>
      </c>
      <c r="N577" s="5">
        <v>17925.224999999999</v>
      </c>
      <c r="O577" s="6">
        <v>22.377500000000001</v>
      </c>
      <c r="P577" s="6">
        <v>8</v>
      </c>
      <c r="Q577" s="6">
        <v>52.76</v>
      </c>
      <c r="R577" s="6">
        <v>54.9</v>
      </c>
      <c r="S577" s="6"/>
      <c r="T577" s="6">
        <v>32.46</v>
      </c>
      <c r="U577" s="6">
        <v>17.824999999999999</v>
      </c>
      <c r="V577" s="6">
        <v>10.3225</v>
      </c>
      <c r="W577" s="7">
        <v>0.64</v>
      </c>
      <c r="X577" s="13"/>
      <c r="Y577" s="6">
        <v>62.844999999999999</v>
      </c>
      <c r="Z577" s="3">
        <v>1.62838668</v>
      </c>
      <c r="AA577" s="6">
        <v>1</v>
      </c>
      <c r="AB577" s="16">
        <f>AA577*10</f>
        <v>10</v>
      </c>
      <c r="AC577" s="6">
        <v>0.25</v>
      </c>
      <c r="AD577" s="16">
        <f>AC577*10</f>
        <v>2.5</v>
      </c>
      <c r="AE577" s="1">
        <v>1</v>
      </c>
    </row>
    <row r="578" spans="1:31" x14ac:dyDescent="0.2">
      <c r="A578" s="1">
        <v>577</v>
      </c>
      <c r="B578" s="1">
        <v>2011</v>
      </c>
      <c r="C578" s="1" t="s">
        <v>96</v>
      </c>
      <c r="D578" s="1" t="s">
        <v>916</v>
      </c>
      <c r="E578" s="8" t="s">
        <v>252</v>
      </c>
      <c r="F578" s="1" t="s">
        <v>83</v>
      </c>
      <c r="I578" s="12">
        <v>4</v>
      </c>
      <c r="J578" s="12">
        <v>28.171428571428599</v>
      </c>
      <c r="K578" s="13" t="s">
        <v>34</v>
      </c>
      <c r="L578" s="14">
        <v>3154</v>
      </c>
      <c r="M578" s="14"/>
      <c r="N578" s="14">
        <v>12622</v>
      </c>
      <c r="O578" s="13">
        <v>31.7</v>
      </c>
      <c r="P578" s="13">
        <v>7.1</v>
      </c>
      <c r="Q578" s="13">
        <v>56.4</v>
      </c>
      <c r="R578" s="13">
        <v>51.6</v>
      </c>
      <c r="S578" s="13"/>
      <c r="T578" s="13"/>
      <c r="U578" s="13">
        <v>10.6</v>
      </c>
      <c r="V578" s="13">
        <v>1.6</v>
      </c>
      <c r="W578" s="7" t="s">
        <v>89</v>
      </c>
      <c r="X578" s="13" t="s">
        <v>89</v>
      </c>
      <c r="Y578" s="13">
        <v>62.8</v>
      </c>
      <c r="Z578" s="7">
        <v>1.1599999999999999</v>
      </c>
      <c r="AA578" s="8">
        <v>0</v>
      </c>
      <c r="AB578" s="16">
        <f>AA578*10</f>
        <v>0</v>
      </c>
      <c r="AC578" s="13">
        <v>2</v>
      </c>
      <c r="AD578" s="16">
        <f>AC578*10</f>
        <v>20</v>
      </c>
      <c r="AE578" s="1">
        <v>0</v>
      </c>
    </row>
    <row r="579" spans="1:31" x14ac:dyDescent="0.2">
      <c r="A579" s="1">
        <v>578</v>
      </c>
      <c r="B579" s="1">
        <v>2015</v>
      </c>
      <c r="C579" s="8" t="s">
        <v>88</v>
      </c>
      <c r="D579" s="8" t="s">
        <v>874</v>
      </c>
      <c r="E579" s="8" t="s">
        <v>510</v>
      </c>
      <c r="F579" s="1" t="s">
        <v>83</v>
      </c>
      <c r="I579" s="12">
        <v>6.3</v>
      </c>
      <c r="J579" s="7">
        <v>18</v>
      </c>
      <c r="K579" s="1" t="s">
        <v>34</v>
      </c>
      <c r="L579" s="14">
        <v>3154</v>
      </c>
      <c r="N579" s="14">
        <v>19844</v>
      </c>
      <c r="O579" s="13">
        <v>27.6</v>
      </c>
      <c r="P579" s="13">
        <v>7.9</v>
      </c>
      <c r="Q579" s="13">
        <v>58.4</v>
      </c>
      <c r="R579" s="13">
        <v>59.7</v>
      </c>
      <c r="S579" s="8"/>
      <c r="T579" s="13" t="s">
        <v>89</v>
      </c>
      <c r="U579" s="13">
        <v>7.3</v>
      </c>
      <c r="V579" s="13">
        <v>13.4</v>
      </c>
      <c r="W579" s="7">
        <v>0.68</v>
      </c>
      <c r="X579" s="13"/>
      <c r="Y579" s="13">
        <v>63.7</v>
      </c>
      <c r="Z579" s="7">
        <v>2.19</v>
      </c>
      <c r="AA579" s="13">
        <v>4.0999999999999996</v>
      </c>
      <c r="AB579" s="16">
        <f>AA579*10</f>
        <v>41</v>
      </c>
      <c r="AC579" s="13">
        <v>1</v>
      </c>
      <c r="AD579" s="16">
        <f>AC579*10</f>
        <v>10</v>
      </c>
      <c r="AE579" s="1">
        <v>1</v>
      </c>
    </row>
    <row r="580" spans="1:31" x14ac:dyDescent="0.2">
      <c r="A580" s="1">
        <v>579</v>
      </c>
      <c r="B580" s="1">
        <v>2018</v>
      </c>
      <c r="C580" s="1" t="s">
        <v>31</v>
      </c>
      <c r="D580" s="1" t="s">
        <v>805</v>
      </c>
      <c r="E580" s="1" t="s">
        <v>663</v>
      </c>
      <c r="F580" s="1" t="s">
        <v>32</v>
      </c>
      <c r="G580" s="1">
        <v>118</v>
      </c>
      <c r="I580" s="12">
        <v>7.7</v>
      </c>
      <c r="J580" s="3">
        <v>22.056831800000001</v>
      </c>
      <c r="L580" s="5">
        <v>3154</v>
      </c>
      <c r="N580" s="5">
        <v>24483.1113</v>
      </c>
      <c r="O580" s="6">
        <v>38.1</v>
      </c>
      <c r="P580" s="18">
        <v>7.19</v>
      </c>
      <c r="Q580" s="6">
        <v>41.3466667</v>
      </c>
      <c r="R580" s="6">
        <v>56.41</v>
      </c>
      <c r="S580" s="3"/>
      <c r="T580" s="6">
        <v>25.123333299999999</v>
      </c>
      <c r="U580" s="6">
        <v>36.799999999999997</v>
      </c>
      <c r="V580" s="6">
        <v>4.7666666700000002</v>
      </c>
      <c r="W580" s="3">
        <v>0.73699999999999999</v>
      </c>
      <c r="X580" s="6"/>
      <c r="Y580" s="6">
        <v>71.099999999999994</v>
      </c>
      <c r="Z580" s="3">
        <v>1.7909110800000001</v>
      </c>
      <c r="AB580" s="16"/>
      <c r="AD580" s="16"/>
      <c r="AE580" s="1">
        <v>1</v>
      </c>
    </row>
    <row r="581" spans="1:31" x14ac:dyDescent="0.2">
      <c r="A581" s="1">
        <v>580</v>
      </c>
      <c r="B581" s="1">
        <v>2009</v>
      </c>
      <c r="C581" s="1" t="s">
        <v>31</v>
      </c>
      <c r="D581" s="1" t="s">
        <v>916</v>
      </c>
      <c r="E581" s="8" t="s">
        <v>143</v>
      </c>
      <c r="F581" s="1" t="s">
        <v>83</v>
      </c>
      <c r="I581" s="12">
        <v>7.1</v>
      </c>
      <c r="J581" s="7">
        <v>20.3</v>
      </c>
      <c r="L581" s="14">
        <v>3155</v>
      </c>
      <c r="M581" s="14"/>
      <c r="N581" s="14">
        <v>22410</v>
      </c>
      <c r="O581" s="13">
        <v>32.9</v>
      </c>
      <c r="P581" s="13">
        <v>8.7200000000000006</v>
      </c>
      <c r="Q581" s="13">
        <v>43.3</v>
      </c>
      <c r="R581" s="13">
        <v>45.1</v>
      </c>
      <c r="S581" s="8"/>
      <c r="T581" s="13">
        <v>26.5</v>
      </c>
      <c r="U581" s="13">
        <v>37.200000000000003</v>
      </c>
      <c r="V581" s="15"/>
      <c r="W581" s="7" t="s">
        <v>89</v>
      </c>
      <c r="X581" s="13"/>
      <c r="Y581" s="13">
        <v>68.8</v>
      </c>
      <c r="Z581" s="7">
        <v>1.39</v>
      </c>
      <c r="AB581" s="16"/>
      <c r="AD581" s="16"/>
      <c r="AE581" s="1">
        <v>1</v>
      </c>
    </row>
    <row r="582" spans="1:31" x14ac:dyDescent="0.2">
      <c r="A582" s="1">
        <v>581</v>
      </c>
      <c r="B582" s="1">
        <v>2015</v>
      </c>
      <c r="C582" s="8" t="s">
        <v>88</v>
      </c>
      <c r="D582" s="8" t="s">
        <v>874</v>
      </c>
      <c r="E582" s="8" t="s">
        <v>510</v>
      </c>
      <c r="F582" s="1" t="s">
        <v>32</v>
      </c>
      <c r="I582" s="12">
        <v>7.45</v>
      </c>
      <c r="J582" s="7">
        <v>21.285714285714288</v>
      </c>
      <c r="L582" s="14">
        <v>3155</v>
      </c>
      <c r="N582" s="14">
        <v>23511</v>
      </c>
      <c r="O582" s="13">
        <v>28.9</v>
      </c>
      <c r="P582" s="13">
        <v>10.199999999999999</v>
      </c>
      <c r="Q582" s="13">
        <v>47.2</v>
      </c>
      <c r="R582" s="13">
        <v>52</v>
      </c>
      <c r="S582" s="8"/>
      <c r="T582" s="15" t="s">
        <v>89</v>
      </c>
      <c r="U582" s="13">
        <v>27.3</v>
      </c>
      <c r="V582" s="13">
        <v>3.1</v>
      </c>
      <c r="W582" s="7">
        <v>0.64</v>
      </c>
      <c r="X582" s="13"/>
      <c r="Y582" s="13">
        <v>62.4</v>
      </c>
      <c r="Z582" s="7">
        <v>1.83</v>
      </c>
      <c r="AA582" s="13">
        <v>3</v>
      </c>
      <c r="AB582" s="16">
        <f>AA582*10</f>
        <v>30</v>
      </c>
      <c r="AC582" s="13">
        <v>4</v>
      </c>
      <c r="AD582" s="16">
        <f>AC582*10</f>
        <v>40</v>
      </c>
      <c r="AE582" s="1">
        <v>1</v>
      </c>
    </row>
    <row r="583" spans="1:31" x14ac:dyDescent="0.2">
      <c r="A583" s="1">
        <v>582</v>
      </c>
      <c r="B583" s="1">
        <v>2009</v>
      </c>
      <c r="C583" s="1" t="s">
        <v>31</v>
      </c>
      <c r="D583" s="8" t="s">
        <v>67</v>
      </c>
      <c r="E583" s="8" t="s">
        <v>134</v>
      </c>
      <c r="F583" s="1" t="s">
        <v>32</v>
      </c>
      <c r="I583" s="12">
        <v>7.47</v>
      </c>
      <c r="J583" s="7">
        <v>21.342857142857099</v>
      </c>
      <c r="L583" s="14">
        <v>3155</v>
      </c>
      <c r="N583" s="14">
        <v>23558</v>
      </c>
      <c r="O583" s="13">
        <v>30.8</v>
      </c>
      <c r="P583" s="13">
        <v>9.9</v>
      </c>
      <c r="Q583" s="13">
        <v>49.8</v>
      </c>
      <c r="R583" s="13">
        <v>56.1</v>
      </c>
      <c r="S583" s="13"/>
      <c r="T583" s="13" t="s">
        <v>89</v>
      </c>
      <c r="U583" s="13">
        <v>23.5</v>
      </c>
      <c r="V583" s="13">
        <v>8.4</v>
      </c>
      <c r="W583" s="7" t="s">
        <v>89</v>
      </c>
      <c r="X583" s="13"/>
      <c r="Y583" s="13">
        <v>69.7</v>
      </c>
      <c r="Z583" s="7">
        <v>2.09</v>
      </c>
      <c r="AB583" s="16"/>
      <c r="AD583" s="16"/>
      <c r="AE583" s="1">
        <v>1</v>
      </c>
    </row>
    <row r="584" spans="1:31" x14ac:dyDescent="0.2">
      <c r="A584" s="1">
        <v>583</v>
      </c>
      <c r="B584" s="1">
        <v>2012</v>
      </c>
      <c r="C584" s="1" t="s">
        <v>31</v>
      </c>
      <c r="D584" s="1" t="s">
        <v>291</v>
      </c>
      <c r="E584" s="1" t="s">
        <v>295</v>
      </c>
      <c r="F584" s="1" t="s">
        <v>83</v>
      </c>
      <c r="I584" s="12">
        <v>5.94</v>
      </c>
      <c r="J584" s="12">
        <v>17</v>
      </c>
      <c r="L584" s="16">
        <v>3156</v>
      </c>
      <c r="N584" s="16">
        <v>18746</v>
      </c>
      <c r="O584" s="15">
        <v>34.5</v>
      </c>
      <c r="P584" s="15">
        <v>7.28</v>
      </c>
      <c r="Q584" s="15">
        <v>45.7</v>
      </c>
      <c r="R584" s="15">
        <v>57.1</v>
      </c>
      <c r="T584" s="15"/>
      <c r="U584" s="15">
        <v>36</v>
      </c>
      <c r="V584" s="15">
        <v>3.4</v>
      </c>
      <c r="W584" s="12">
        <v>0.71</v>
      </c>
      <c r="X584" s="15"/>
      <c r="Y584" s="15"/>
      <c r="Z584" s="12">
        <v>1.55</v>
      </c>
      <c r="AB584" s="16"/>
      <c r="AD584" s="16"/>
      <c r="AE584" s="1">
        <v>1</v>
      </c>
    </row>
    <row r="585" spans="1:31" x14ac:dyDescent="0.2">
      <c r="A585" s="1">
        <v>584</v>
      </c>
      <c r="B585" s="1">
        <v>2013</v>
      </c>
      <c r="C585" s="1" t="s">
        <v>31</v>
      </c>
      <c r="D585" s="8" t="s">
        <v>291</v>
      </c>
      <c r="E585" s="8" t="s">
        <v>350</v>
      </c>
      <c r="F585" s="1" t="s">
        <v>32</v>
      </c>
      <c r="G585" s="8">
        <v>117</v>
      </c>
      <c r="H585" s="8"/>
      <c r="I585" s="12">
        <v>8.49</v>
      </c>
      <c r="J585" s="7">
        <v>24.257142857142899</v>
      </c>
      <c r="K585" s="13"/>
      <c r="L585" s="14">
        <v>3156</v>
      </c>
      <c r="M585" s="14"/>
      <c r="N585" s="14">
        <v>26799</v>
      </c>
      <c r="O585" s="13">
        <v>30.5</v>
      </c>
      <c r="P585" s="13">
        <v>7.8</v>
      </c>
      <c r="Q585" s="13">
        <v>44</v>
      </c>
      <c r="R585" s="13">
        <v>49.2</v>
      </c>
      <c r="S585" s="13"/>
      <c r="T585" s="13"/>
      <c r="U585" s="13">
        <v>29.9</v>
      </c>
      <c r="V585" s="13">
        <v>4.0999999999999996</v>
      </c>
      <c r="W585" s="7">
        <v>0.71</v>
      </c>
      <c r="X585" s="15"/>
      <c r="Y585" s="15"/>
      <c r="Z585" s="7">
        <v>1.84</v>
      </c>
      <c r="AB585" s="16"/>
      <c r="AD585" s="16"/>
      <c r="AE585" s="1">
        <v>1</v>
      </c>
    </row>
    <row r="586" spans="1:31" x14ac:dyDescent="0.2">
      <c r="A586" s="1">
        <v>585</v>
      </c>
      <c r="B586" s="1">
        <v>2010</v>
      </c>
      <c r="C586" s="1" t="s">
        <v>31</v>
      </c>
      <c r="D586" s="8" t="s">
        <v>67</v>
      </c>
      <c r="E586" s="8">
        <v>524</v>
      </c>
      <c r="F586" s="1" t="s">
        <v>32</v>
      </c>
      <c r="I586" s="12">
        <v>10.77</v>
      </c>
      <c r="J586" s="7">
        <v>30.771428571428601</v>
      </c>
      <c r="L586" s="14">
        <v>3156</v>
      </c>
      <c r="N586" s="14">
        <v>33961</v>
      </c>
      <c r="O586" s="13">
        <v>34.4</v>
      </c>
      <c r="P586" s="13">
        <v>9.6999999999999993</v>
      </c>
      <c r="Q586" s="13">
        <v>49.6</v>
      </c>
      <c r="R586" s="13">
        <v>56.1</v>
      </c>
      <c r="S586" s="13"/>
      <c r="T586" s="15"/>
      <c r="U586" s="13">
        <v>26.9</v>
      </c>
      <c r="V586" s="13">
        <v>6.6</v>
      </c>
      <c r="W586" s="12"/>
      <c r="X586" s="15"/>
      <c r="Y586" s="13">
        <v>68.599999999999994</v>
      </c>
      <c r="Z586" s="7">
        <v>2.99</v>
      </c>
      <c r="AB586" s="16"/>
      <c r="AD586" s="16"/>
      <c r="AE586" s="1">
        <v>1</v>
      </c>
    </row>
    <row r="587" spans="1:31" x14ac:dyDescent="0.2">
      <c r="A587" s="1">
        <v>586</v>
      </c>
      <c r="B587" s="1">
        <v>2017</v>
      </c>
      <c r="C587" s="1" t="s">
        <v>88</v>
      </c>
      <c r="D587" s="1" t="s">
        <v>246</v>
      </c>
      <c r="E587" s="1" t="s">
        <v>643</v>
      </c>
      <c r="F587" s="1" t="s">
        <v>32</v>
      </c>
      <c r="I587" s="12">
        <v>5.6156878499999996</v>
      </c>
      <c r="J587" s="3">
        <v>16.044822400000001</v>
      </c>
      <c r="L587" s="5">
        <v>3157</v>
      </c>
      <c r="M587" s="1" t="s">
        <v>34</v>
      </c>
      <c r="N587" s="5">
        <v>17697</v>
      </c>
      <c r="O587" s="6">
        <v>28.1203258</v>
      </c>
      <c r="P587" s="6">
        <v>5.09</v>
      </c>
      <c r="Q587" s="6">
        <v>53.344999999999999</v>
      </c>
      <c r="R587" s="15">
        <v>48.6175</v>
      </c>
      <c r="S587" s="15">
        <v>20.7</v>
      </c>
      <c r="U587" s="6">
        <v>15.664999999999999</v>
      </c>
      <c r="V587" s="6">
        <v>14.8</v>
      </c>
      <c r="W587" s="3">
        <v>0.64987499999999998</v>
      </c>
      <c r="X587" s="6"/>
      <c r="Y587" s="15">
        <v>61.4375</v>
      </c>
      <c r="Z587" s="3">
        <v>1.4354805900000001</v>
      </c>
      <c r="AB587" s="16"/>
      <c r="AD587" s="16"/>
      <c r="AE587" s="1">
        <v>1</v>
      </c>
    </row>
    <row r="588" spans="1:31" x14ac:dyDescent="0.2">
      <c r="A588" s="1">
        <v>587</v>
      </c>
      <c r="B588" s="1">
        <v>2009</v>
      </c>
      <c r="C588" s="1" t="s">
        <v>31</v>
      </c>
      <c r="D588" s="1" t="s">
        <v>805</v>
      </c>
      <c r="E588" s="8" t="s">
        <v>138</v>
      </c>
      <c r="F588" s="1" t="s">
        <v>83</v>
      </c>
      <c r="I588" s="12">
        <v>7.9</v>
      </c>
      <c r="J588" s="7">
        <v>22.6</v>
      </c>
      <c r="L588" s="14">
        <v>3158</v>
      </c>
      <c r="M588" s="14"/>
      <c r="N588" s="14">
        <v>24945</v>
      </c>
      <c r="O588" s="13">
        <v>31.7</v>
      </c>
      <c r="P588" s="13">
        <v>9.1199999999999992</v>
      </c>
      <c r="Q588" s="13">
        <v>45.3</v>
      </c>
      <c r="R588" s="13">
        <v>46.6</v>
      </c>
      <c r="S588" s="8"/>
      <c r="T588" s="13">
        <v>28</v>
      </c>
      <c r="U588" s="13">
        <v>34.4</v>
      </c>
      <c r="V588" s="15"/>
      <c r="W588" s="7" t="s">
        <v>89</v>
      </c>
      <c r="X588" s="13"/>
      <c r="Y588" s="13">
        <v>69</v>
      </c>
      <c r="Z588" s="7">
        <v>1.67</v>
      </c>
      <c r="AB588" s="16"/>
      <c r="AD588" s="16"/>
      <c r="AE588" s="1">
        <v>1</v>
      </c>
    </row>
    <row r="589" spans="1:31" x14ac:dyDescent="0.2">
      <c r="A589" s="1">
        <v>588</v>
      </c>
      <c r="B589" s="1">
        <v>2013</v>
      </c>
      <c r="C589" s="1" t="s">
        <v>31</v>
      </c>
      <c r="D589" s="8" t="s">
        <v>874</v>
      </c>
      <c r="E589" s="8" t="s">
        <v>163</v>
      </c>
      <c r="F589" s="1" t="s">
        <v>32</v>
      </c>
      <c r="G589" s="8">
        <v>125</v>
      </c>
      <c r="H589" s="8"/>
      <c r="I589" s="12">
        <v>9.18</v>
      </c>
      <c r="J589" s="7">
        <v>26.228571428571399</v>
      </c>
      <c r="K589" s="13"/>
      <c r="L589" s="14">
        <v>3162</v>
      </c>
      <c r="M589" s="14"/>
      <c r="N589" s="14">
        <v>29031</v>
      </c>
      <c r="O589" s="13">
        <v>32.299999999999997</v>
      </c>
      <c r="P589" s="13">
        <v>8</v>
      </c>
      <c r="Q589" s="13">
        <v>43.9</v>
      </c>
      <c r="R589" s="13">
        <v>48</v>
      </c>
      <c r="S589" s="13" t="s">
        <v>89</v>
      </c>
      <c r="T589" s="13"/>
      <c r="U589" s="13">
        <v>26.9</v>
      </c>
      <c r="V589" s="13">
        <v>6.2</v>
      </c>
      <c r="W589" s="7">
        <v>0.71</v>
      </c>
      <c r="X589" s="15" t="s">
        <v>89</v>
      </c>
      <c r="Y589" s="15" t="s">
        <v>89</v>
      </c>
      <c r="Z589" s="7">
        <v>1.94</v>
      </c>
      <c r="AB589" s="16"/>
      <c r="AD589" s="16"/>
      <c r="AE589" s="1">
        <v>1</v>
      </c>
    </row>
    <row r="590" spans="1:31" x14ac:dyDescent="0.2">
      <c r="A590" s="1">
        <v>589</v>
      </c>
      <c r="B590" s="1">
        <v>2018</v>
      </c>
      <c r="C590" s="1" t="s">
        <v>88</v>
      </c>
      <c r="D590" s="28" t="s">
        <v>914</v>
      </c>
      <c r="E590" s="1" t="s">
        <v>683</v>
      </c>
      <c r="F590" s="1" t="s">
        <v>32</v>
      </c>
      <c r="I590" s="12">
        <v>5.2080904237951904</v>
      </c>
      <c r="J590" s="12">
        <v>14.880258353700601</v>
      </c>
      <c r="L590" s="16">
        <v>3164</v>
      </c>
      <c r="N590" s="16">
        <v>16518.060493577701</v>
      </c>
      <c r="O590" s="15">
        <v>32.164227226820699</v>
      </c>
      <c r="P590" s="15">
        <v>9.7249999999999996</v>
      </c>
      <c r="Q590" s="15">
        <v>47.83</v>
      </c>
      <c r="R590" s="15">
        <v>39.1875</v>
      </c>
      <c r="S590" s="12">
        <v>17.8325</v>
      </c>
      <c r="U590" s="15">
        <v>20.92</v>
      </c>
      <c r="V590" s="15">
        <v>7.7450000000000001</v>
      </c>
      <c r="W590" s="12">
        <v>0.67949999999999999</v>
      </c>
      <c r="X590" s="15"/>
      <c r="Y590" s="15">
        <v>60.517499999999998</v>
      </c>
      <c r="Z590" s="12">
        <v>0.440543906917641</v>
      </c>
      <c r="AA590" s="16">
        <v>2.25</v>
      </c>
      <c r="AB590" s="16">
        <f>AA590*33.334</f>
        <v>75.001500000000007</v>
      </c>
      <c r="AC590" s="16">
        <v>0.5</v>
      </c>
      <c r="AD590" s="16">
        <f>AC590*33.334</f>
        <v>16.667000000000002</v>
      </c>
      <c r="AE590" s="1">
        <v>1</v>
      </c>
    </row>
    <row r="591" spans="1:31" x14ac:dyDescent="0.2">
      <c r="A591" s="1">
        <v>590</v>
      </c>
      <c r="B591" s="1">
        <v>2012</v>
      </c>
      <c r="C591" s="1" t="s">
        <v>88</v>
      </c>
      <c r="D591" s="1" t="s">
        <v>916</v>
      </c>
      <c r="E591" s="8" t="s">
        <v>331</v>
      </c>
      <c r="F591" s="1" t="s">
        <v>32</v>
      </c>
      <c r="I591" s="12">
        <v>6.67</v>
      </c>
      <c r="J591" s="7">
        <v>19.0571428571429</v>
      </c>
      <c r="K591" s="13"/>
      <c r="L591" s="14">
        <v>3165</v>
      </c>
      <c r="M591" s="14"/>
      <c r="N591" s="14">
        <v>21109</v>
      </c>
      <c r="O591" s="13">
        <v>31.2</v>
      </c>
      <c r="P591" s="13">
        <v>8.1999999999999993</v>
      </c>
      <c r="Q591" s="13">
        <v>49.6</v>
      </c>
      <c r="R591" s="13">
        <v>57.8</v>
      </c>
      <c r="S591" s="13"/>
      <c r="T591" s="13"/>
      <c r="U591" s="13">
        <v>24.3</v>
      </c>
      <c r="V591" s="13">
        <v>2.9</v>
      </c>
      <c r="W591" s="7">
        <v>0.67</v>
      </c>
      <c r="X591" s="15"/>
      <c r="Y591" s="15"/>
      <c r="Z591" s="7">
        <v>1.91</v>
      </c>
      <c r="AA591" s="7">
        <v>2</v>
      </c>
      <c r="AB591" s="16">
        <f>AA591*10</f>
        <v>20</v>
      </c>
      <c r="AC591" s="7">
        <v>0</v>
      </c>
      <c r="AD591" s="16">
        <f>AC591*10</f>
        <v>0</v>
      </c>
      <c r="AE591" s="1">
        <v>1</v>
      </c>
    </row>
    <row r="592" spans="1:31" x14ac:dyDescent="0.2">
      <c r="A592" s="1">
        <v>591</v>
      </c>
      <c r="B592" s="1">
        <v>2021</v>
      </c>
      <c r="C592" s="1" t="s">
        <v>88</v>
      </c>
      <c r="D592" s="28" t="s">
        <v>914</v>
      </c>
      <c r="E592" s="1" t="s">
        <v>693</v>
      </c>
      <c r="F592" s="1" t="s">
        <v>83</v>
      </c>
      <c r="H592" s="1" t="s">
        <v>89</v>
      </c>
      <c r="I592" s="12">
        <v>6.0814567227870002</v>
      </c>
      <c r="J592" s="12">
        <v>17.375590636999998</v>
      </c>
      <c r="K592" s="1" t="s">
        <v>89</v>
      </c>
      <c r="L592" s="16">
        <v>3165.25</v>
      </c>
      <c r="N592" s="16">
        <v>19248.928049890001</v>
      </c>
      <c r="O592" s="15">
        <v>30.715850799999998</v>
      </c>
      <c r="P592" s="15">
        <v>8.5075000000000003</v>
      </c>
      <c r="Q592" s="15">
        <v>51.64</v>
      </c>
      <c r="R592" s="15">
        <v>50.272500000000001</v>
      </c>
      <c r="U592" s="15">
        <v>16.532499999999999</v>
      </c>
      <c r="V592" s="15">
        <v>8.0425000000000004</v>
      </c>
      <c r="W592" s="12">
        <v>0.69112499999999999</v>
      </c>
      <c r="X592" s="15"/>
      <c r="Y592" s="15">
        <v>62.08</v>
      </c>
      <c r="Z592" s="12"/>
      <c r="AA592" s="15">
        <v>1.75</v>
      </c>
      <c r="AB592" s="16">
        <f>AA592*33.334</f>
        <v>58.334500000000006</v>
      </c>
      <c r="AC592" s="1">
        <v>0.125</v>
      </c>
      <c r="AD592" s="16">
        <f>AC592*33.334</f>
        <v>4.1667500000000004</v>
      </c>
      <c r="AE592" s="1">
        <v>1</v>
      </c>
    </row>
    <row r="593" spans="1:31" x14ac:dyDescent="0.2">
      <c r="A593" s="1">
        <v>592</v>
      </c>
      <c r="B593" s="1">
        <v>2014</v>
      </c>
      <c r="C593" s="1" t="s">
        <v>31</v>
      </c>
      <c r="D593" s="1" t="s">
        <v>108</v>
      </c>
      <c r="E593" s="1" t="s">
        <v>432</v>
      </c>
      <c r="F593" s="1" t="s">
        <v>83</v>
      </c>
      <c r="G593" s="1">
        <v>116</v>
      </c>
      <c r="I593" s="12">
        <v>4.29</v>
      </c>
      <c r="J593" s="12">
        <v>12.3</v>
      </c>
      <c r="K593" s="1" t="s">
        <v>34</v>
      </c>
      <c r="L593" s="16">
        <v>3166</v>
      </c>
      <c r="N593" s="16">
        <v>13560</v>
      </c>
      <c r="O593" s="15">
        <v>30.6</v>
      </c>
      <c r="P593" s="15">
        <v>8.4700000000000006</v>
      </c>
      <c r="Q593" s="15">
        <v>44.8</v>
      </c>
      <c r="R593" s="15">
        <v>53.4</v>
      </c>
      <c r="T593" s="15"/>
      <c r="U593" s="15">
        <v>30.6</v>
      </c>
      <c r="V593" s="15">
        <v>3.9</v>
      </c>
      <c r="W593" s="12">
        <v>0.69</v>
      </c>
      <c r="X593" s="15"/>
      <c r="Y593" s="15">
        <v>67.2</v>
      </c>
      <c r="Z593" s="12">
        <v>1.03</v>
      </c>
      <c r="AA593" s="1">
        <v>4</v>
      </c>
      <c r="AB593" s="16">
        <f>AA593*10</f>
        <v>40</v>
      </c>
      <c r="AD593" s="16"/>
      <c r="AE593" s="1">
        <v>1</v>
      </c>
    </row>
    <row r="594" spans="1:31" x14ac:dyDescent="0.2">
      <c r="A594" s="1">
        <v>593</v>
      </c>
      <c r="B594" s="1">
        <v>2018</v>
      </c>
      <c r="C594" s="1" t="s">
        <v>31</v>
      </c>
      <c r="D594" s="1" t="s">
        <v>805</v>
      </c>
      <c r="E594" s="1" t="s">
        <v>662</v>
      </c>
      <c r="F594" s="1" t="s">
        <v>32</v>
      </c>
      <c r="G594" s="1">
        <v>117</v>
      </c>
      <c r="H594" s="1" t="s">
        <v>34</v>
      </c>
      <c r="I594" s="12">
        <v>8.5</v>
      </c>
      <c r="J594" s="3">
        <v>24.2</v>
      </c>
      <c r="L594" s="5">
        <v>3168.5</v>
      </c>
      <c r="M594" s="1" t="s">
        <v>34</v>
      </c>
      <c r="N594" s="5">
        <v>26890</v>
      </c>
      <c r="O594" s="6">
        <v>39.5</v>
      </c>
      <c r="P594" s="18">
        <v>7.9</v>
      </c>
      <c r="Q594" s="6">
        <v>40.975000000000001</v>
      </c>
      <c r="R594" s="6">
        <v>60.1</v>
      </c>
      <c r="S594" s="3"/>
      <c r="T594" s="6">
        <v>24.79</v>
      </c>
      <c r="U594" s="6">
        <v>36.484999999999999</v>
      </c>
      <c r="V594" s="6">
        <v>4.7925000000000004</v>
      </c>
      <c r="W594" s="3">
        <v>0.73699999999999999</v>
      </c>
      <c r="X594" s="6"/>
      <c r="Y594" s="6">
        <v>71</v>
      </c>
      <c r="Z594" s="3">
        <v>2.08</v>
      </c>
      <c r="AB594" s="16"/>
      <c r="AD594" s="16"/>
      <c r="AE594" s="1">
        <v>1</v>
      </c>
    </row>
    <row r="595" spans="1:31" x14ac:dyDescent="0.2">
      <c r="A595" s="1">
        <v>594</v>
      </c>
      <c r="B595" s="1">
        <v>2020</v>
      </c>
      <c r="C595" s="1" t="s">
        <v>31</v>
      </c>
      <c r="D595" s="1" t="s">
        <v>755</v>
      </c>
      <c r="E595" s="1" t="s">
        <v>757</v>
      </c>
      <c r="F595" s="1" t="s">
        <v>32</v>
      </c>
      <c r="G595" s="1">
        <v>115</v>
      </c>
      <c r="H595" s="1" t="s">
        <v>34</v>
      </c>
      <c r="I595" s="12">
        <v>10.053588033597</v>
      </c>
      <c r="J595" s="12">
        <v>28.719179586999999</v>
      </c>
      <c r="K595" s="1" t="s">
        <v>754</v>
      </c>
      <c r="L595" s="16">
        <v>3168.6463391789998</v>
      </c>
      <c r="M595" s="16" t="s">
        <v>34</v>
      </c>
      <c r="N595" s="16">
        <v>31906.165933275999</v>
      </c>
      <c r="O595" s="10">
        <v>43.820702099999998</v>
      </c>
      <c r="P595" s="15">
        <v>6.5149999999999997</v>
      </c>
      <c r="Q595" s="15">
        <v>45.924999999999997</v>
      </c>
      <c r="R595" s="15">
        <v>52.059229623</v>
      </c>
      <c r="S595" s="15"/>
      <c r="T595" s="15">
        <v>26.195</v>
      </c>
      <c r="U595" s="15">
        <v>30.28</v>
      </c>
      <c r="V595" s="15">
        <v>4.3832304000000004</v>
      </c>
      <c r="W595" s="12">
        <v>0.67379700200000003</v>
      </c>
      <c r="X595" s="15"/>
      <c r="Y595" s="15">
        <v>70.840368885000004</v>
      </c>
      <c r="Z595" s="12"/>
      <c r="AA595" s="15">
        <v>1.25</v>
      </c>
      <c r="AB595" s="16">
        <f>AA595*33.334</f>
        <v>41.667500000000004</v>
      </c>
      <c r="AD595" s="16"/>
      <c r="AE595" s="1">
        <v>1</v>
      </c>
    </row>
    <row r="596" spans="1:31" x14ac:dyDescent="0.2">
      <c r="A596" s="1">
        <v>595</v>
      </c>
      <c r="B596" s="1">
        <v>2012</v>
      </c>
      <c r="C596" s="1" t="s">
        <v>31</v>
      </c>
      <c r="D596" s="1" t="s">
        <v>291</v>
      </c>
      <c r="E596" s="1" t="s">
        <v>292</v>
      </c>
      <c r="F596" s="1" t="s">
        <v>83</v>
      </c>
      <c r="I596" s="12">
        <v>5.78</v>
      </c>
      <c r="J596" s="12">
        <v>16.5</v>
      </c>
      <c r="L596" s="16">
        <v>3169</v>
      </c>
      <c r="N596" s="16">
        <v>18216</v>
      </c>
      <c r="O596" s="15">
        <v>30.3</v>
      </c>
      <c r="P596" s="15">
        <v>8.26</v>
      </c>
      <c r="Q596" s="15">
        <v>48.8</v>
      </c>
      <c r="R596" s="15">
        <v>57</v>
      </c>
      <c r="T596" s="15"/>
      <c r="U596" s="15">
        <v>30.7</v>
      </c>
      <c r="V596" s="15">
        <v>3.7</v>
      </c>
      <c r="W596" s="12">
        <v>0.69</v>
      </c>
      <c r="X596" s="15"/>
      <c r="Y596" s="15"/>
      <c r="Z596" s="12">
        <v>1.61</v>
      </c>
      <c r="AB596" s="16"/>
      <c r="AD596" s="16"/>
      <c r="AE596" s="1">
        <v>1</v>
      </c>
    </row>
    <row r="597" spans="1:31" x14ac:dyDescent="0.2">
      <c r="A597" s="1">
        <v>596</v>
      </c>
      <c r="B597" s="1">
        <v>2009</v>
      </c>
      <c r="C597" s="1" t="s">
        <v>31</v>
      </c>
      <c r="D597" s="1" t="s">
        <v>916</v>
      </c>
      <c r="E597" s="8" t="s">
        <v>140</v>
      </c>
      <c r="F597" s="1" t="s">
        <v>83</v>
      </c>
      <c r="I597" s="12">
        <v>7.15</v>
      </c>
      <c r="J597" s="7">
        <v>20.399999999999999</v>
      </c>
      <c r="L597" s="14">
        <v>3169</v>
      </c>
      <c r="M597" s="14"/>
      <c r="N597" s="14">
        <v>22668</v>
      </c>
      <c r="O597" s="13">
        <v>27.7</v>
      </c>
      <c r="P597" s="13">
        <v>10.07</v>
      </c>
      <c r="Q597" s="13">
        <v>47.2</v>
      </c>
      <c r="R597" s="13">
        <v>49.1</v>
      </c>
      <c r="S597" s="8"/>
      <c r="T597" s="13">
        <v>29.5</v>
      </c>
      <c r="U597" s="13">
        <v>26.1</v>
      </c>
      <c r="V597" s="15"/>
      <c r="W597" s="7" t="s">
        <v>89</v>
      </c>
      <c r="X597" s="13"/>
      <c r="Y597" s="13">
        <v>69.5</v>
      </c>
      <c r="Z597" s="7">
        <v>1.66</v>
      </c>
      <c r="AB597" s="16"/>
      <c r="AD597" s="16"/>
      <c r="AE597" s="1">
        <v>1</v>
      </c>
    </row>
    <row r="598" spans="1:31" x14ac:dyDescent="0.2">
      <c r="A598" s="1">
        <v>597</v>
      </c>
      <c r="B598" s="1">
        <v>2013</v>
      </c>
      <c r="C598" s="1" t="s">
        <v>31</v>
      </c>
      <c r="D598" s="1" t="s">
        <v>805</v>
      </c>
      <c r="E598" s="8" t="s">
        <v>169</v>
      </c>
      <c r="F598" s="1" t="s">
        <v>32</v>
      </c>
      <c r="G598" s="8">
        <v>117</v>
      </c>
      <c r="H598" s="8"/>
      <c r="I598" s="12">
        <v>8.2899999999999991</v>
      </c>
      <c r="J598" s="7">
        <v>23.685714285714301</v>
      </c>
      <c r="K598" s="13"/>
      <c r="L598" s="14">
        <v>3169</v>
      </c>
      <c r="M598" s="8"/>
      <c r="N598" s="14">
        <v>26282</v>
      </c>
      <c r="O598" s="13">
        <v>28.5</v>
      </c>
      <c r="P598" s="13">
        <v>7.4</v>
      </c>
      <c r="Q598" s="13">
        <v>42.6</v>
      </c>
      <c r="R598" s="13">
        <v>48.8</v>
      </c>
      <c r="S598" s="13" t="s">
        <v>89</v>
      </c>
      <c r="T598" s="13"/>
      <c r="U598" s="13">
        <v>31.5</v>
      </c>
      <c r="V598" s="13">
        <v>4.5999999999999996</v>
      </c>
      <c r="W598" s="7">
        <v>0.71</v>
      </c>
      <c r="X598" s="15" t="s">
        <v>89</v>
      </c>
      <c r="Y598" s="15" t="s">
        <v>89</v>
      </c>
      <c r="Z598" s="7">
        <v>1.72</v>
      </c>
      <c r="AB598" s="16"/>
      <c r="AD598" s="16"/>
      <c r="AE598" s="1">
        <v>1</v>
      </c>
    </row>
    <row r="599" spans="1:31" x14ac:dyDescent="0.2">
      <c r="A599" s="1">
        <v>598</v>
      </c>
      <c r="B599" s="1">
        <v>2014</v>
      </c>
      <c r="C599" s="1" t="s">
        <v>88</v>
      </c>
      <c r="D599" s="8" t="s">
        <v>187</v>
      </c>
      <c r="E599" s="8" t="s">
        <v>462</v>
      </c>
      <c r="F599" s="8" t="s">
        <v>83</v>
      </c>
      <c r="G599" s="8"/>
      <c r="H599" s="8"/>
      <c r="I599" s="12">
        <v>7.6</v>
      </c>
      <c r="J599" s="7">
        <v>21.714285714285701</v>
      </c>
      <c r="K599" s="13"/>
      <c r="L599" s="14">
        <v>3171</v>
      </c>
      <c r="M599" s="14"/>
      <c r="N599" s="14">
        <v>24095</v>
      </c>
      <c r="O599" s="13">
        <v>30.8</v>
      </c>
      <c r="P599" s="13">
        <v>8.1</v>
      </c>
      <c r="Q599" s="13">
        <v>50.7</v>
      </c>
      <c r="R599" s="13">
        <v>53.8</v>
      </c>
      <c r="S599" s="13"/>
      <c r="T599" s="13"/>
      <c r="U599" s="13">
        <v>21.4</v>
      </c>
      <c r="V599" s="13">
        <v>2.1</v>
      </c>
      <c r="W599" s="7">
        <v>0.64</v>
      </c>
      <c r="X599" s="15"/>
      <c r="Y599" s="13">
        <v>62.2</v>
      </c>
      <c r="Z599" s="7">
        <v>2.08</v>
      </c>
      <c r="AA599" s="13">
        <v>7.9</v>
      </c>
      <c r="AB599" s="16">
        <f>AA599*10</f>
        <v>79</v>
      </c>
      <c r="AC599" s="8">
        <v>1.3</v>
      </c>
      <c r="AD599" s="16">
        <f>AC599*10</f>
        <v>13</v>
      </c>
      <c r="AE599" s="1">
        <v>1</v>
      </c>
    </row>
    <row r="600" spans="1:31" x14ac:dyDescent="0.2">
      <c r="A600" s="1">
        <v>599</v>
      </c>
      <c r="B600" s="1">
        <v>2016</v>
      </c>
      <c r="C600" s="1" t="s">
        <v>88</v>
      </c>
      <c r="D600" s="8" t="s">
        <v>459</v>
      </c>
      <c r="E600" s="8" t="s">
        <v>571</v>
      </c>
      <c r="F600" s="1" t="s">
        <v>32</v>
      </c>
      <c r="I600" s="12">
        <v>7.4249999999999998</v>
      </c>
      <c r="J600" s="7">
        <v>21.214285714285701</v>
      </c>
      <c r="L600" s="5">
        <v>3171.25</v>
      </c>
      <c r="N600" s="5">
        <v>23728.3</v>
      </c>
      <c r="O600" s="6">
        <v>22.4575</v>
      </c>
      <c r="P600" s="6">
        <v>6.6875</v>
      </c>
      <c r="Q600" s="6">
        <v>54.077500000000001</v>
      </c>
      <c r="R600" s="6">
        <v>50.862499999999997</v>
      </c>
      <c r="S600" s="6"/>
      <c r="T600" s="6">
        <v>36.9375</v>
      </c>
      <c r="U600" s="6">
        <v>9.9250000000000007</v>
      </c>
      <c r="V600" s="6">
        <v>11.1075</v>
      </c>
      <c r="W600" s="7">
        <v>0.62</v>
      </c>
      <c r="X600" s="13"/>
      <c r="Y600" s="6">
        <v>61.98</v>
      </c>
      <c r="Z600" s="3">
        <v>2.0172745500000002</v>
      </c>
      <c r="AA600" s="6">
        <v>1</v>
      </c>
      <c r="AB600" s="16">
        <f>AA600*10</f>
        <v>10</v>
      </c>
      <c r="AC600" s="6">
        <v>1</v>
      </c>
      <c r="AD600" s="16">
        <f>AC600*10</f>
        <v>10</v>
      </c>
      <c r="AE600" s="1">
        <v>1</v>
      </c>
    </row>
    <row r="601" spans="1:31" x14ac:dyDescent="0.2">
      <c r="A601" s="1">
        <v>600</v>
      </c>
      <c r="B601" s="1">
        <v>2014</v>
      </c>
      <c r="C601" s="1" t="s">
        <v>96</v>
      </c>
      <c r="D601" s="8" t="s">
        <v>1023</v>
      </c>
      <c r="E601" s="8" t="s">
        <v>394</v>
      </c>
      <c r="F601" s="8" t="s">
        <v>32</v>
      </c>
      <c r="I601" s="12">
        <v>7.25</v>
      </c>
      <c r="J601" s="7">
        <v>20.714285714285701</v>
      </c>
      <c r="K601" s="13" t="s">
        <v>34</v>
      </c>
      <c r="L601" s="14">
        <v>3172</v>
      </c>
      <c r="M601" s="8" t="s">
        <v>34</v>
      </c>
      <c r="N601" s="14">
        <v>22986</v>
      </c>
      <c r="O601" s="13">
        <v>29.2</v>
      </c>
      <c r="P601" s="13">
        <v>10.199999999999999</v>
      </c>
      <c r="Q601" s="13">
        <v>48.4</v>
      </c>
      <c r="R601" s="13">
        <v>48.8</v>
      </c>
      <c r="T601" s="15"/>
      <c r="U601" s="13">
        <v>21.8</v>
      </c>
      <c r="V601" s="13">
        <v>2.4</v>
      </c>
      <c r="W601" s="7">
        <v>0.64</v>
      </c>
      <c r="X601" s="15"/>
      <c r="Y601" s="13">
        <v>62.4</v>
      </c>
      <c r="Z601" s="7">
        <v>1.71</v>
      </c>
      <c r="AA601" s="13">
        <v>1</v>
      </c>
      <c r="AB601" s="16">
        <f>AA601*10</f>
        <v>10</v>
      </c>
      <c r="AC601" s="8">
        <v>2.1</v>
      </c>
      <c r="AD601" s="16">
        <f>AC601*10</f>
        <v>21</v>
      </c>
      <c r="AE601" s="1">
        <v>0</v>
      </c>
    </row>
    <row r="602" spans="1:31" x14ac:dyDescent="0.2">
      <c r="A602" s="1">
        <v>601</v>
      </c>
      <c r="B602" s="1">
        <v>2012</v>
      </c>
      <c r="C602" s="1" t="s">
        <v>31</v>
      </c>
      <c r="D602" s="8" t="s">
        <v>874</v>
      </c>
      <c r="E602" s="1" t="s">
        <v>163</v>
      </c>
      <c r="F602" s="1" t="s">
        <v>83</v>
      </c>
      <c r="H602" s="1" t="s">
        <v>34</v>
      </c>
      <c r="I602" s="12">
        <v>6.54</v>
      </c>
      <c r="J602" s="12">
        <v>18.7</v>
      </c>
      <c r="L602" s="16">
        <v>3173</v>
      </c>
      <c r="N602" s="16">
        <v>20743</v>
      </c>
      <c r="O602" s="15">
        <v>34.5</v>
      </c>
      <c r="P602" s="15">
        <v>7.44</v>
      </c>
      <c r="Q602" s="15">
        <v>47.6</v>
      </c>
      <c r="R602" s="15">
        <v>56.9</v>
      </c>
      <c r="T602" s="15"/>
      <c r="U602" s="15">
        <v>32.9</v>
      </c>
      <c r="V602" s="15">
        <v>3.6</v>
      </c>
      <c r="W602" s="12">
        <v>0.72</v>
      </c>
      <c r="X602" s="15"/>
      <c r="Y602" s="15"/>
      <c r="Z602" s="12">
        <v>1.77</v>
      </c>
      <c r="AB602" s="16"/>
      <c r="AD602" s="16"/>
      <c r="AE602" s="1">
        <v>1</v>
      </c>
    </row>
    <row r="603" spans="1:31" x14ac:dyDescent="0.2">
      <c r="A603" s="1">
        <v>602</v>
      </c>
      <c r="B603" s="1">
        <v>2013</v>
      </c>
      <c r="C603" s="1" t="s">
        <v>31</v>
      </c>
      <c r="D603" s="8" t="s">
        <v>874</v>
      </c>
      <c r="E603" s="8" t="s">
        <v>358</v>
      </c>
      <c r="F603" s="1" t="s">
        <v>32</v>
      </c>
      <c r="G603" s="8">
        <v>118</v>
      </c>
      <c r="H603" s="8"/>
      <c r="I603" s="12">
        <v>9.1</v>
      </c>
      <c r="J603" s="7">
        <v>26</v>
      </c>
      <c r="K603" s="13"/>
      <c r="L603" s="14">
        <v>3173</v>
      </c>
      <c r="M603" s="14"/>
      <c r="N603" s="14">
        <v>28878</v>
      </c>
      <c r="O603" s="13">
        <v>32.700000000000003</v>
      </c>
      <c r="P603" s="13">
        <v>7.4</v>
      </c>
      <c r="Q603" s="13">
        <v>40.200000000000003</v>
      </c>
      <c r="R603" s="13">
        <v>48.7</v>
      </c>
      <c r="S603" s="13" t="s">
        <v>89</v>
      </c>
      <c r="T603" s="13"/>
      <c r="U603" s="13">
        <v>34.5</v>
      </c>
      <c r="V603" s="13">
        <v>3.4</v>
      </c>
      <c r="W603" s="7">
        <v>0.71</v>
      </c>
      <c r="X603" s="15" t="s">
        <v>89</v>
      </c>
      <c r="Y603" s="15" t="s">
        <v>89</v>
      </c>
      <c r="Z603" s="7">
        <v>1.79</v>
      </c>
      <c r="AB603" s="16"/>
      <c r="AD603" s="16"/>
      <c r="AE603" s="1">
        <v>1</v>
      </c>
    </row>
    <row r="604" spans="1:31" x14ac:dyDescent="0.2">
      <c r="A604" s="1">
        <v>603</v>
      </c>
      <c r="B604" s="1">
        <v>2010</v>
      </c>
      <c r="C604" s="1" t="s">
        <v>96</v>
      </c>
      <c r="D604" s="8" t="s">
        <v>187</v>
      </c>
      <c r="E604" s="8" t="s">
        <v>192</v>
      </c>
      <c r="F604" s="8" t="s">
        <v>32</v>
      </c>
      <c r="G604" s="8"/>
      <c r="H604" s="8"/>
      <c r="I604" s="12">
        <v>6.14</v>
      </c>
      <c r="J604" s="7">
        <v>17.600000000000001</v>
      </c>
      <c r="K604" s="13" t="s">
        <v>34</v>
      </c>
      <c r="L604" s="14">
        <v>3175</v>
      </c>
      <c r="M604" s="14" t="s">
        <v>34</v>
      </c>
      <c r="N604" s="14">
        <v>19481</v>
      </c>
      <c r="O604" s="13">
        <v>26.8</v>
      </c>
      <c r="P604" s="13">
        <v>9.5</v>
      </c>
      <c r="Q604" s="13">
        <v>51</v>
      </c>
      <c r="R604" s="13">
        <v>56.6</v>
      </c>
      <c r="S604" s="13"/>
      <c r="T604" s="13">
        <v>34</v>
      </c>
      <c r="U604" s="15"/>
      <c r="V604" s="15"/>
      <c r="W604" s="12"/>
      <c r="X604" s="15"/>
      <c r="Y604" s="13">
        <v>62.6</v>
      </c>
      <c r="Z604" s="7">
        <v>1.77</v>
      </c>
      <c r="AA604" s="13">
        <v>1</v>
      </c>
      <c r="AB604" s="16">
        <f>AA604*10</f>
        <v>10</v>
      </c>
      <c r="AC604" s="13">
        <v>1.2</v>
      </c>
      <c r="AD604" s="16">
        <f>AC604*10</f>
        <v>12</v>
      </c>
      <c r="AE604" s="1">
        <v>0</v>
      </c>
    </row>
    <row r="605" spans="1:31" x14ac:dyDescent="0.2">
      <c r="A605" s="1">
        <v>604</v>
      </c>
      <c r="B605" s="1">
        <v>2018</v>
      </c>
      <c r="C605" s="1" t="s">
        <v>88</v>
      </c>
      <c r="D605" s="28" t="s">
        <v>914</v>
      </c>
      <c r="E605" s="1" t="s">
        <v>684</v>
      </c>
      <c r="F605" s="1" t="s">
        <v>32</v>
      </c>
      <c r="I605" s="12">
        <v>4.21119354068259</v>
      </c>
      <c r="J605" s="12">
        <v>12.031981544807399</v>
      </c>
      <c r="L605" s="16">
        <v>3178.5</v>
      </c>
      <c r="N605" s="16">
        <v>13398.4889206641</v>
      </c>
      <c r="O605" s="15">
        <v>30.329191814718701</v>
      </c>
      <c r="P605" s="15">
        <v>9.24</v>
      </c>
      <c r="Q605" s="15">
        <v>48.027500000000003</v>
      </c>
      <c r="R605" s="15">
        <v>40.549999999999997</v>
      </c>
      <c r="S605" s="12">
        <v>18.422499999999999</v>
      </c>
      <c r="U605" s="15">
        <v>20.95</v>
      </c>
      <c r="V605" s="15">
        <v>6.97</v>
      </c>
      <c r="W605" s="12">
        <v>0.67562500000000003</v>
      </c>
      <c r="X605" s="15"/>
      <c r="Y605" s="15">
        <v>60.767499999999998</v>
      </c>
      <c r="Z605" s="12">
        <v>0.37115880145890601</v>
      </c>
      <c r="AA605" s="16">
        <v>2.5</v>
      </c>
      <c r="AB605" s="16">
        <f>AA605*33.334</f>
        <v>83.335000000000008</v>
      </c>
      <c r="AC605" s="16">
        <v>0</v>
      </c>
      <c r="AD605" s="16">
        <f>AC605*33.334</f>
        <v>0</v>
      </c>
      <c r="AE605" s="1">
        <v>1</v>
      </c>
    </row>
    <row r="606" spans="1:31" x14ac:dyDescent="0.2">
      <c r="A606" s="1">
        <v>605</v>
      </c>
      <c r="B606" s="1">
        <v>2017</v>
      </c>
      <c r="C606" s="1" t="s">
        <v>31</v>
      </c>
      <c r="D606" s="1" t="s">
        <v>916</v>
      </c>
      <c r="E606" s="8" t="s">
        <v>404</v>
      </c>
      <c r="F606" s="1" t="s">
        <v>32</v>
      </c>
      <c r="G606" s="1">
        <v>130</v>
      </c>
      <c r="H606" s="1" t="s">
        <v>34</v>
      </c>
      <c r="I606" s="12">
        <v>9.94</v>
      </c>
      <c r="J606" s="3">
        <v>28.39</v>
      </c>
      <c r="L606" s="5">
        <v>3178.5</v>
      </c>
      <c r="N606" s="5">
        <v>31606.286100000001</v>
      </c>
      <c r="O606" s="6">
        <v>31.767393599999998</v>
      </c>
      <c r="P606" s="6">
        <v>7.96</v>
      </c>
      <c r="Q606" s="6">
        <v>43.4</v>
      </c>
      <c r="R606" s="6">
        <v>47.832500000000003</v>
      </c>
      <c r="S606" s="3"/>
      <c r="T606" s="6">
        <v>27.28</v>
      </c>
      <c r="U606" s="6">
        <v>29.83</v>
      </c>
      <c r="V606" s="6">
        <v>3.2925</v>
      </c>
      <c r="W606" s="3">
        <v>0.73966929999999986</v>
      </c>
      <c r="X606" s="6"/>
      <c r="Y606" s="6">
        <v>68.872500000000002</v>
      </c>
      <c r="Z606" s="3">
        <v>2.0603179599999999</v>
      </c>
      <c r="AB606" s="16"/>
      <c r="AD606" s="16"/>
      <c r="AE606" s="1">
        <v>1</v>
      </c>
    </row>
    <row r="607" spans="1:31" x14ac:dyDescent="0.2">
      <c r="A607" s="1">
        <v>606</v>
      </c>
      <c r="B607" s="1">
        <v>2016</v>
      </c>
      <c r="C607" s="1" t="s">
        <v>31</v>
      </c>
      <c r="D607" s="8" t="s">
        <v>402</v>
      </c>
      <c r="E607" s="8" t="s">
        <v>536</v>
      </c>
      <c r="F607" s="1" t="s">
        <v>32</v>
      </c>
      <c r="G607" s="8">
        <v>124</v>
      </c>
      <c r="I607" s="12">
        <v>7.27</v>
      </c>
      <c r="J607" s="7">
        <v>20.771428571428601</v>
      </c>
      <c r="L607" s="14">
        <v>3179</v>
      </c>
      <c r="N607" s="14">
        <v>23140</v>
      </c>
      <c r="O607" s="13">
        <v>30.9</v>
      </c>
      <c r="P607" s="13">
        <v>7.8</v>
      </c>
      <c r="Q607" s="13">
        <v>46.1</v>
      </c>
      <c r="R607" s="13">
        <v>48.3</v>
      </c>
      <c r="S607" s="13"/>
      <c r="T607" s="13">
        <v>27.7</v>
      </c>
      <c r="U607" s="13">
        <v>26.4</v>
      </c>
      <c r="V607" s="13">
        <v>3.6</v>
      </c>
      <c r="W607" s="7">
        <v>0.69</v>
      </c>
      <c r="X607" s="13"/>
      <c r="Y607" s="13">
        <v>69.400000000000006</v>
      </c>
      <c r="Z607" s="7">
        <v>1.6</v>
      </c>
      <c r="AA607" s="15" t="s">
        <v>89</v>
      </c>
      <c r="AB607" s="16"/>
      <c r="AD607" s="16"/>
      <c r="AE607" s="1">
        <v>1</v>
      </c>
    </row>
    <row r="608" spans="1:31" ht="17" x14ac:dyDescent="0.2">
      <c r="A608" s="1">
        <v>607</v>
      </c>
      <c r="B608" s="1">
        <v>2019</v>
      </c>
      <c r="C608" s="1" t="s">
        <v>88</v>
      </c>
      <c r="D608" s="28" t="s">
        <v>914</v>
      </c>
      <c r="E608" s="9" t="s">
        <v>680</v>
      </c>
      <c r="F608" s="1" t="s">
        <v>83</v>
      </c>
      <c r="I608" s="12">
        <v>5.3250000000000002</v>
      </c>
      <c r="J608" s="3">
        <v>15.225</v>
      </c>
      <c r="K608" s="1" t="s">
        <v>34</v>
      </c>
      <c r="L608" s="5">
        <v>3179.5</v>
      </c>
      <c r="N608" s="5">
        <v>16916.224999999999</v>
      </c>
      <c r="O608" s="6">
        <v>25.9</v>
      </c>
      <c r="P608" s="6">
        <v>9.6</v>
      </c>
      <c r="Q608" s="6">
        <v>44.6875</v>
      </c>
      <c r="R608" s="6">
        <v>44.01</v>
      </c>
      <c r="S608" s="3"/>
      <c r="T608" s="6">
        <v>30.655000000000001</v>
      </c>
      <c r="U608" s="6">
        <v>18.317499999999999</v>
      </c>
      <c r="V608" s="6">
        <v>8.0449999999999999</v>
      </c>
      <c r="W608" s="3">
        <v>0.68299999999999994</v>
      </c>
      <c r="X608" s="6"/>
      <c r="Y608" s="6">
        <v>66.23</v>
      </c>
      <c r="Z608" s="3">
        <v>1.06</v>
      </c>
      <c r="AB608" s="16"/>
      <c r="AC608" s="4">
        <v>1</v>
      </c>
      <c r="AD608" s="16">
        <f>AC608*10</f>
        <v>10</v>
      </c>
      <c r="AE608" s="1">
        <v>1</v>
      </c>
    </row>
    <row r="609" spans="1:31" x14ac:dyDescent="0.2">
      <c r="A609" s="1">
        <v>608</v>
      </c>
      <c r="B609" s="1">
        <v>2008</v>
      </c>
      <c r="C609" s="8" t="s">
        <v>88</v>
      </c>
      <c r="D609" s="1" t="s">
        <v>916</v>
      </c>
      <c r="E609" s="8" t="s">
        <v>92</v>
      </c>
      <c r="F609" s="8" t="s">
        <v>32</v>
      </c>
      <c r="G609" s="8"/>
      <c r="H609" s="8"/>
      <c r="I609" s="12">
        <v>7.46</v>
      </c>
      <c r="J609" s="7">
        <v>21.3</v>
      </c>
      <c r="K609" s="13" t="s">
        <v>34</v>
      </c>
      <c r="L609" s="14">
        <v>3180</v>
      </c>
      <c r="M609" s="14" t="s">
        <v>34</v>
      </c>
      <c r="N609" s="14">
        <v>23812</v>
      </c>
      <c r="O609" s="13">
        <v>29.9</v>
      </c>
      <c r="P609" s="13">
        <v>9.3000000000000007</v>
      </c>
      <c r="Q609" s="13">
        <v>42.9</v>
      </c>
      <c r="R609" s="13">
        <v>56.6</v>
      </c>
      <c r="S609" s="13"/>
      <c r="T609" s="13"/>
      <c r="U609" s="13">
        <v>27.8</v>
      </c>
      <c r="V609" s="15" t="s">
        <v>89</v>
      </c>
      <c r="X609" s="15"/>
      <c r="Y609" s="13">
        <v>70.8</v>
      </c>
      <c r="Z609" s="7">
        <v>1.8</v>
      </c>
      <c r="AB609" s="16"/>
      <c r="AD609" s="16"/>
      <c r="AE609" s="1">
        <v>1</v>
      </c>
    </row>
    <row r="610" spans="1:31" x14ac:dyDescent="0.2">
      <c r="A610" s="1">
        <v>609</v>
      </c>
      <c r="B610" s="1">
        <v>2010</v>
      </c>
      <c r="C610" s="1" t="s">
        <v>31</v>
      </c>
      <c r="D610" s="8" t="s">
        <v>67</v>
      </c>
      <c r="E610" s="8">
        <v>527</v>
      </c>
      <c r="F610" s="1" t="s">
        <v>32</v>
      </c>
      <c r="I610" s="12">
        <v>10.85</v>
      </c>
      <c r="J610" s="7">
        <v>31</v>
      </c>
      <c r="L610" s="14">
        <v>3180</v>
      </c>
      <c r="N610" s="14">
        <v>34513</v>
      </c>
      <c r="O610" s="13">
        <v>33</v>
      </c>
      <c r="P610" s="13">
        <v>10.199999999999999</v>
      </c>
      <c r="Q610" s="13">
        <v>47.5</v>
      </c>
      <c r="R610" s="13">
        <v>55.2</v>
      </c>
      <c r="S610" s="13"/>
      <c r="T610" s="15"/>
      <c r="U610" s="13">
        <v>27.8</v>
      </c>
      <c r="V610" s="13">
        <v>9.1999999999999993</v>
      </c>
      <c r="W610" s="12"/>
      <c r="X610" s="15"/>
      <c r="Y610" s="13">
        <v>68.8</v>
      </c>
      <c r="Z610" s="7">
        <v>2.86</v>
      </c>
      <c r="AB610" s="16"/>
      <c r="AD610" s="16"/>
      <c r="AE610" s="1">
        <v>1</v>
      </c>
    </row>
    <row r="611" spans="1:31" x14ac:dyDescent="0.2">
      <c r="A611" s="1">
        <v>610</v>
      </c>
      <c r="B611" s="1">
        <v>2019</v>
      </c>
      <c r="C611" s="1" t="s">
        <v>88</v>
      </c>
      <c r="D611" s="8" t="s">
        <v>731</v>
      </c>
      <c r="E611" s="8">
        <v>19178</v>
      </c>
      <c r="F611" s="1" t="s">
        <v>32</v>
      </c>
      <c r="I611" s="12">
        <v>5.9</v>
      </c>
      <c r="J611" s="3">
        <v>16.855</v>
      </c>
      <c r="L611" s="5">
        <v>3180.25</v>
      </c>
      <c r="N611" s="5">
        <v>18848.5</v>
      </c>
      <c r="O611" s="6">
        <v>34.365000000000002</v>
      </c>
      <c r="P611" s="6">
        <v>6.5650000000000004</v>
      </c>
      <c r="Q611" s="6">
        <v>44.842500000000001</v>
      </c>
      <c r="R611" s="6">
        <v>38.087499999999999</v>
      </c>
      <c r="S611" s="3"/>
      <c r="T611" s="6">
        <v>32.072499999999998</v>
      </c>
      <c r="U611" s="6">
        <v>23.512499999999999</v>
      </c>
      <c r="V611" s="6">
        <v>9.0150000000000006</v>
      </c>
      <c r="W611" s="3">
        <v>0.70594999999999997</v>
      </c>
      <c r="X611" s="6"/>
      <c r="Y611" s="6">
        <v>60.7575</v>
      </c>
      <c r="Z611" s="3">
        <v>0.995</v>
      </c>
      <c r="AB611" s="16"/>
      <c r="AC611" s="6">
        <v>3.5</v>
      </c>
      <c r="AD611" s="16">
        <f>AC611*10</f>
        <v>35</v>
      </c>
      <c r="AE611" s="1">
        <v>1</v>
      </c>
    </row>
    <row r="612" spans="1:31" x14ac:dyDescent="0.2">
      <c r="A612" s="1">
        <v>611</v>
      </c>
      <c r="B612" s="1">
        <v>2012</v>
      </c>
      <c r="C612" s="1" t="s">
        <v>31</v>
      </c>
      <c r="D612" s="19" t="s">
        <v>861</v>
      </c>
      <c r="E612" s="1" t="s">
        <v>329</v>
      </c>
      <c r="F612" s="1" t="s">
        <v>83</v>
      </c>
      <c r="I612" s="12">
        <v>6.21</v>
      </c>
      <c r="J612" s="12">
        <v>17.7</v>
      </c>
      <c r="L612" s="16">
        <v>3181</v>
      </c>
      <c r="N612" s="16">
        <v>19721</v>
      </c>
      <c r="O612" s="15">
        <v>32.299999999999997</v>
      </c>
      <c r="P612" s="15">
        <v>7.49</v>
      </c>
      <c r="Q612" s="15">
        <v>46.5</v>
      </c>
      <c r="R612" s="15">
        <v>57.1</v>
      </c>
      <c r="T612" s="15"/>
      <c r="U612" s="15">
        <v>34</v>
      </c>
      <c r="V612" s="15">
        <v>3.6</v>
      </c>
      <c r="W612" s="12">
        <v>0.7</v>
      </c>
      <c r="X612" s="15"/>
      <c r="Y612" s="15"/>
      <c r="Z612" s="12">
        <v>1.65</v>
      </c>
      <c r="AB612" s="16"/>
      <c r="AD612" s="16"/>
      <c r="AE612" s="1">
        <v>1</v>
      </c>
    </row>
    <row r="613" spans="1:31" x14ac:dyDescent="0.2">
      <c r="A613" s="1">
        <v>612</v>
      </c>
      <c r="B613" s="1">
        <v>2014</v>
      </c>
      <c r="C613" s="1" t="s">
        <v>31</v>
      </c>
      <c r="D613" s="1" t="s">
        <v>71</v>
      </c>
      <c r="E613" s="1" t="s">
        <v>441</v>
      </c>
      <c r="F613" s="1" t="s">
        <v>83</v>
      </c>
      <c r="G613" s="1">
        <v>113</v>
      </c>
      <c r="I613" s="12">
        <v>4.01</v>
      </c>
      <c r="J613" s="12">
        <v>11.5</v>
      </c>
      <c r="K613" s="1" t="s">
        <v>34</v>
      </c>
      <c r="L613" s="16">
        <v>3182</v>
      </c>
      <c r="N613" s="16">
        <v>12730</v>
      </c>
      <c r="O613" s="15">
        <v>30.7</v>
      </c>
      <c r="P613" s="15">
        <v>6.35</v>
      </c>
      <c r="Q613" s="15">
        <v>46.9</v>
      </c>
      <c r="R613" s="15">
        <v>55.5</v>
      </c>
      <c r="T613" s="15"/>
      <c r="U613" s="15">
        <v>27.5</v>
      </c>
      <c r="V613" s="15">
        <v>4.7</v>
      </c>
      <c r="W613" s="12">
        <v>0.69</v>
      </c>
      <c r="X613" s="15"/>
      <c r="Y613" s="15">
        <v>67.3</v>
      </c>
      <c r="Z613" s="12">
        <v>1.05</v>
      </c>
      <c r="AA613" s="1">
        <v>4</v>
      </c>
      <c r="AB613" s="16">
        <f>AA613*10</f>
        <v>40</v>
      </c>
      <c r="AD613" s="16"/>
      <c r="AE613" s="1">
        <v>1</v>
      </c>
    </row>
    <row r="614" spans="1:31" x14ac:dyDescent="0.2">
      <c r="A614" s="1">
        <v>613</v>
      </c>
      <c r="B614" s="1">
        <v>2015</v>
      </c>
      <c r="C614" s="8" t="s">
        <v>88</v>
      </c>
      <c r="D614" s="8" t="s">
        <v>1023</v>
      </c>
      <c r="E614" s="8" t="s">
        <v>387</v>
      </c>
      <c r="F614" s="1" t="s">
        <v>83</v>
      </c>
      <c r="I614" s="12">
        <v>5.42</v>
      </c>
      <c r="J614" s="7">
        <v>15.485714285714286</v>
      </c>
      <c r="K614" s="1" t="s">
        <v>34</v>
      </c>
      <c r="L614" s="14">
        <v>3183</v>
      </c>
      <c r="N614" s="14">
        <v>17268</v>
      </c>
      <c r="O614" s="13">
        <v>28.2</v>
      </c>
      <c r="P614" s="13">
        <v>8.6999999999999993</v>
      </c>
      <c r="Q614" s="13">
        <v>50.6</v>
      </c>
      <c r="R614" s="13">
        <v>47.7</v>
      </c>
      <c r="S614" s="8"/>
      <c r="T614" s="13" t="s">
        <v>89</v>
      </c>
      <c r="U614" s="13">
        <v>21.1</v>
      </c>
      <c r="V614" s="13">
        <v>7.1</v>
      </c>
      <c r="W614" s="7">
        <v>0.7</v>
      </c>
      <c r="X614" s="13"/>
      <c r="Y614" s="13">
        <v>61.8</v>
      </c>
      <c r="Z614" s="7">
        <v>1.31</v>
      </c>
      <c r="AA614" s="13">
        <v>2.5</v>
      </c>
      <c r="AB614" s="16">
        <f>AA614*10</f>
        <v>25</v>
      </c>
      <c r="AC614" s="13">
        <v>1</v>
      </c>
      <c r="AD614" s="16">
        <f>AC614*10</f>
        <v>10</v>
      </c>
      <c r="AE614" s="1">
        <v>1</v>
      </c>
    </row>
    <row r="615" spans="1:31" x14ac:dyDescent="0.2">
      <c r="A615" s="1">
        <v>614</v>
      </c>
      <c r="B615" s="1">
        <v>2016</v>
      </c>
      <c r="C615" s="1" t="s">
        <v>31</v>
      </c>
      <c r="D615" s="8" t="s">
        <v>402</v>
      </c>
      <c r="E615" s="8" t="s">
        <v>524</v>
      </c>
      <c r="F615" s="1" t="s">
        <v>32</v>
      </c>
      <c r="G615" s="8">
        <v>117</v>
      </c>
      <c r="I615" s="12">
        <v>8.1</v>
      </c>
      <c r="J615" s="7">
        <v>23.1428571428571</v>
      </c>
      <c r="L615" s="14">
        <v>3185</v>
      </c>
      <c r="N615" s="14">
        <v>26173</v>
      </c>
      <c r="O615" s="13">
        <v>32.700000000000003</v>
      </c>
      <c r="P615" s="13">
        <v>9.1</v>
      </c>
      <c r="Q615" s="13">
        <v>40.9</v>
      </c>
      <c r="R615" s="13">
        <v>56.8</v>
      </c>
      <c r="S615" s="13"/>
      <c r="T615" s="13">
        <v>23.7</v>
      </c>
      <c r="U615" s="13">
        <v>28.9</v>
      </c>
      <c r="V615" s="13">
        <v>5.2</v>
      </c>
      <c r="W615" s="7">
        <v>0.69</v>
      </c>
      <c r="X615" s="13"/>
      <c r="Y615" s="13">
        <v>70.599999999999994</v>
      </c>
      <c r="Z615" s="7">
        <v>1.86</v>
      </c>
      <c r="AA615" s="15" t="s">
        <v>89</v>
      </c>
      <c r="AB615" s="16"/>
      <c r="AD615" s="16"/>
      <c r="AE615" s="1">
        <v>1</v>
      </c>
    </row>
    <row r="616" spans="1:31" ht="17" x14ac:dyDescent="0.2">
      <c r="A616" s="1">
        <v>615</v>
      </c>
      <c r="B616" s="1">
        <v>2019</v>
      </c>
      <c r="C616" s="1" t="s">
        <v>88</v>
      </c>
      <c r="D616" s="9" t="s">
        <v>738</v>
      </c>
      <c r="E616" s="9" t="s">
        <v>741</v>
      </c>
      <c r="F616" s="1" t="s">
        <v>83</v>
      </c>
      <c r="I616" s="12">
        <v>5.5</v>
      </c>
      <c r="J616" s="3">
        <v>15.6</v>
      </c>
      <c r="K616" s="1" t="s">
        <v>34</v>
      </c>
      <c r="L616" s="5">
        <v>3187</v>
      </c>
      <c r="N616" s="5">
        <v>17581.3</v>
      </c>
      <c r="O616" s="6">
        <v>29.56</v>
      </c>
      <c r="P616" s="6">
        <v>9.7774999999999999</v>
      </c>
      <c r="Q616" s="6">
        <v>43.982500000000002</v>
      </c>
      <c r="R616" s="6">
        <v>42.13</v>
      </c>
      <c r="S616" s="3"/>
      <c r="T616" s="6">
        <v>29.4</v>
      </c>
      <c r="U616" s="6">
        <v>20.32</v>
      </c>
      <c r="V616" s="6">
        <v>5.7074999999999996</v>
      </c>
      <c r="W616" s="3">
        <v>0.68389999999999995</v>
      </c>
      <c r="X616" s="6"/>
      <c r="Y616" s="6">
        <v>66.31</v>
      </c>
      <c r="Z616" s="3">
        <v>1.0075000000000001</v>
      </c>
      <c r="AB616" s="16"/>
      <c r="AC616" s="19">
        <v>0</v>
      </c>
      <c r="AD616" s="16">
        <f>AC616*10</f>
        <v>0</v>
      </c>
      <c r="AE616" s="1">
        <v>1</v>
      </c>
    </row>
    <row r="617" spans="1:31" x14ac:dyDescent="0.2">
      <c r="A617" s="1">
        <v>616</v>
      </c>
      <c r="B617" s="1">
        <v>2016</v>
      </c>
      <c r="C617" s="1" t="s">
        <v>31</v>
      </c>
      <c r="D617" s="8" t="s">
        <v>125</v>
      </c>
      <c r="E617" s="8" t="s">
        <v>548</v>
      </c>
      <c r="F617" s="1" t="s">
        <v>32</v>
      </c>
      <c r="G617" s="8">
        <v>117</v>
      </c>
      <c r="I617" s="12">
        <v>8.4499999999999993</v>
      </c>
      <c r="J617" s="7">
        <v>24.1428571428571</v>
      </c>
      <c r="L617" s="14">
        <v>3187</v>
      </c>
      <c r="N617" s="14">
        <v>27121</v>
      </c>
      <c r="O617" s="13">
        <v>31.4</v>
      </c>
      <c r="P617" s="13">
        <v>8.3000000000000007</v>
      </c>
      <c r="Q617" s="13">
        <v>47</v>
      </c>
      <c r="R617" s="13">
        <v>54.6</v>
      </c>
      <c r="S617" s="13"/>
      <c r="T617" s="13">
        <v>27.4</v>
      </c>
      <c r="U617" s="13">
        <v>25.7</v>
      </c>
      <c r="V617" s="13">
        <v>3.7</v>
      </c>
      <c r="W617" s="7">
        <v>0.69</v>
      </c>
      <c r="X617" s="13"/>
      <c r="Y617" s="13">
        <v>68.400000000000006</v>
      </c>
      <c r="Z617" s="7">
        <v>2.14</v>
      </c>
      <c r="AA617" s="15" t="s">
        <v>89</v>
      </c>
      <c r="AB617" s="16"/>
      <c r="AD617" s="16"/>
      <c r="AE617" s="1">
        <v>1</v>
      </c>
    </row>
    <row r="618" spans="1:31" x14ac:dyDescent="0.2">
      <c r="A618" s="1">
        <v>617</v>
      </c>
      <c r="B618" s="1">
        <v>2016</v>
      </c>
      <c r="C618" s="1" t="s">
        <v>96</v>
      </c>
      <c r="D618" s="8" t="s">
        <v>187</v>
      </c>
      <c r="E618" s="8" t="s">
        <v>258</v>
      </c>
      <c r="F618" s="1" t="s">
        <v>32</v>
      </c>
      <c r="I618" s="12">
        <v>6.8250000000000002</v>
      </c>
      <c r="J618" s="7">
        <v>19.5</v>
      </c>
      <c r="K618" s="1" t="s">
        <v>34</v>
      </c>
      <c r="L618" s="5">
        <v>3188</v>
      </c>
      <c r="N618" s="5">
        <v>21769.75</v>
      </c>
      <c r="O618" s="6">
        <v>32.167499999999997</v>
      </c>
      <c r="P618" s="6">
        <v>7.8</v>
      </c>
      <c r="Q618" s="6">
        <v>48.692500000000003</v>
      </c>
      <c r="R618" s="6">
        <v>42.667499999999997</v>
      </c>
      <c r="S618" s="6"/>
      <c r="T618" s="6">
        <v>32.607500000000002</v>
      </c>
      <c r="U618" s="6">
        <v>22.5</v>
      </c>
      <c r="V618" s="6">
        <v>5.1100000000000003</v>
      </c>
      <c r="W618" s="3">
        <v>0.66</v>
      </c>
      <c r="X618" s="6"/>
      <c r="Y618" s="6">
        <v>61.1</v>
      </c>
      <c r="Z618" s="3">
        <v>1.4211605300000001</v>
      </c>
      <c r="AA618" s="6">
        <v>0.5</v>
      </c>
      <c r="AB618" s="16">
        <f>AA618*10</f>
        <v>5</v>
      </c>
      <c r="AC618" s="6">
        <v>0.5</v>
      </c>
      <c r="AD618" s="16">
        <f>AC618*10</f>
        <v>5</v>
      </c>
      <c r="AE618" s="1">
        <v>0</v>
      </c>
    </row>
    <row r="619" spans="1:31" x14ac:dyDescent="0.2">
      <c r="A619" s="1">
        <v>618</v>
      </c>
      <c r="B619" s="1">
        <v>2018</v>
      </c>
      <c r="C619" s="1" t="s">
        <v>88</v>
      </c>
      <c r="D619" s="1" t="s">
        <v>246</v>
      </c>
      <c r="E619" s="1" t="s">
        <v>580</v>
      </c>
      <c r="F619" s="1" t="s">
        <v>32</v>
      </c>
      <c r="I619" s="12">
        <v>4.1068952457948296</v>
      </c>
      <c r="J619" s="3">
        <v>11.7339864165567</v>
      </c>
      <c r="L619" s="5">
        <v>3190</v>
      </c>
      <c r="N619" s="5">
        <v>13096.6874456069</v>
      </c>
      <c r="O619" s="6">
        <v>30.777700530783299</v>
      </c>
      <c r="P619" s="18">
        <v>9.4375</v>
      </c>
      <c r="Q619" s="6">
        <v>49.215000000000003</v>
      </c>
      <c r="R619" s="6">
        <v>42.89</v>
      </c>
      <c r="S619" s="3">
        <v>17.004999999999999</v>
      </c>
      <c r="U619" s="6">
        <v>18.4925</v>
      </c>
      <c r="V619" s="6">
        <v>9.4525000000000006</v>
      </c>
      <c r="W619" s="3">
        <v>0.6805500000000001</v>
      </c>
      <c r="X619" s="6"/>
      <c r="Y619" s="6">
        <v>61.155000000000001</v>
      </c>
      <c r="Z619" s="3">
        <v>0.39249893445001799</v>
      </c>
      <c r="AA619" s="5">
        <v>2.5</v>
      </c>
      <c r="AB619" s="16">
        <f>AA619*33.334</f>
        <v>83.335000000000008</v>
      </c>
      <c r="AC619" s="5">
        <v>0.25</v>
      </c>
      <c r="AD619" s="16">
        <f>AC619*33.334</f>
        <v>8.3335000000000008</v>
      </c>
      <c r="AE619" s="1">
        <v>1</v>
      </c>
    </row>
    <row r="620" spans="1:31" x14ac:dyDescent="0.2">
      <c r="A620" s="1">
        <v>619</v>
      </c>
      <c r="B620" s="1">
        <v>2011</v>
      </c>
      <c r="C620" s="1" t="s">
        <v>96</v>
      </c>
      <c r="D620" s="8" t="s">
        <v>90</v>
      </c>
      <c r="E620" s="8" t="s">
        <v>260</v>
      </c>
      <c r="F620" s="1" t="s">
        <v>83</v>
      </c>
      <c r="I620" s="12">
        <v>5.15</v>
      </c>
      <c r="J620" s="12">
        <v>16.036685847000001</v>
      </c>
      <c r="K620" s="8" t="s">
        <v>34</v>
      </c>
      <c r="L620" s="14">
        <v>3190</v>
      </c>
      <c r="M620" s="8"/>
      <c r="N620" s="14">
        <v>16370</v>
      </c>
      <c r="O620" s="13">
        <v>25.8</v>
      </c>
      <c r="P620" s="13">
        <v>7.1</v>
      </c>
      <c r="Q620" s="13">
        <v>58.9</v>
      </c>
      <c r="R620" s="13">
        <v>54.4</v>
      </c>
      <c r="S620" s="13"/>
      <c r="T620" s="13"/>
      <c r="U620" s="13">
        <v>6.7</v>
      </c>
      <c r="V620" s="13">
        <v>1.6</v>
      </c>
      <c r="W620" s="7" t="s">
        <v>89</v>
      </c>
      <c r="X620" s="13" t="s">
        <v>89</v>
      </c>
      <c r="Y620" s="13">
        <v>63.8</v>
      </c>
      <c r="Z620" s="7">
        <v>1.65</v>
      </c>
      <c r="AA620" s="8">
        <v>3</v>
      </c>
      <c r="AB620" s="16">
        <f>AA620*10</f>
        <v>30</v>
      </c>
      <c r="AC620" s="13">
        <v>2</v>
      </c>
      <c r="AD620" s="16">
        <f>AC620*10</f>
        <v>20</v>
      </c>
      <c r="AE620" s="1">
        <v>0</v>
      </c>
    </row>
    <row r="621" spans="1:31" ht="17" x14ac:dyDescent="0.2">
      <c r="A621" s="1">
        <v>620</v>
      </c>
      <c r="B621" s="1">
        <v>2019</v>
      </c>
      <c r="C621" s="1" t="s">
        <v>88</v>
      </c>
      <c r="D621" s="9" t="s">
        <v>747</v>
      </c>
      <c r="E621" s="9" t="s">
        <v>748</v>
      </c>
      <c r="F621" s="1" t="s">
        <v>83</v>
      </c>
      <c r="I621" s="12">
        <v>6.1</v>
      </c>
      <c r="J621" s="3">
        <v>17.475000000000001</v>
      </c>
      <c r="K621" s="1" t="s">
        <v>34</v>
      </c>
      <c r="L621" s="5">
        <v>3192</v>
      </c>
      <c r="M621" s="1" t="s">
        <v>34</v>
      </c>
      <c r="N621" s="5">
        <v>19565.8</v>
      </c>
      <c r="O621" s="6">
        <v>28.67</v>
      </c>
      <c r="P621" s="6">
        <v>10.78</v>
      </c>
      <c r="Q621" s="6">
        <v>46</v>
      </c>
      <c r="R621" s="6">
        <v>41.582500000000003</v>
      </c>
      <c r="S621" s="3"/>
      <c r="T621" s="6">
        <v>29.1325</v>
      </c>
      <c r="U621" s="6">
        <v>17.61</v>
      </c>
      <c r="V621" s="6">
        <v>7.6725000000000003</v>
      </c>
      <c r="W621" s="3">
        <v>0.69079999999999997</v>
      </c>
      <c r="X621" s="6"/>
      <c r="Y621" s="6">
        <v>66.930000000000007</v>
      </c>
      <c r="Z621" s="3">
        <v>1.155</v>
      </c>
      <c r="AB621" s="16"/>
      <c r="AC621" s="4">
        <v>1</v>
      </c>
      <c r="AD621" s="16">
        <f>AC621*10</f>
        <v>10</v>
      </c>
      <c r="AE621" s="1">
        <v>1</v>
      </c>
    </row>
    <row r="622" spans="1:31" x14ac:dyDescent="0.2">
      <c r="A622" s="1">
        <v>621</v>
      </c>
      <c r="B622" s="1">
        <v>2008</v>
      </c>
      <c r="C622" s="1" t="s">
        <v>31</v>
      </c>
      <c r="D622" s="1" t="s">
        <v>805</v>
      </c>
      <c r="E622" s="8" t="s">
        <v>53</v>
      </c>
      <c r="F622" s="8" t="s">
        <v>32</v>
      </c>
      <c r="G622" s="8"/>
      <c r="H622" s="8"/>
      <c r="I622" s="12">
        <v>10.14</v>
      </c>
      <c r="J622" s="7">
        <v>28.971428571428575</v>
      </c>
      <c r="K622" s="13"/>
      <c r="L622" s="14">
        <v>3192</v>
      </c>
      <c r="M622" s="14"/>
      <c r="N622" s="14">
        <v>32367</v>
      </c>
      <c r="O622" s="13">
        <v>36.299999999999997</v>
      </c>
      <c r="P622" s="13">
        <v>8</v>
      </c>
      <c r="Q622" s="13">
        <v>44.9</v>
      </c>
      <c r="R622" s="13">
        <v>63</v>
      </c>
      <c r="S622" s="13"/>
      <c r="T622" s="13"/>
      <c r="U622" s="13">
        <v>31.1</v>
      </c>
      <c r="V622" s="13"/>
      <c r="W622" s="13"/>
      <c r="X622" s="15"/>
      <c r="Y622" s="13">
        <v>70.5</v>
      </c>
      <c r="Z622" s="7">
        <v>2.87</v>
      </c>
      <c r="AB622" s="16"/>
      <c r="AD622" s="16"/>
      <c r="AE622" s="1">
        <v>1</v>
      </c>
    </row>
    <row r="623" spans="1:31" x14ac:dyDescent="0.2">
      <c r="A623" s="1">
        <v>622</v>
      </c>
      <c r="B623" s="1">
        <v>2020</v>
      </c>
      <c r="C623" s="1" t="s">
        <v>31</v>
      </c>
      <c r="D623" s="1" t="s">
        <v>108</v>
      </c>
      <c r="E623" s="1" t="s">
        <v>781</v>
      </c>
      <c r="F623" s="1" t="s">
        <v>32</v>
      </c>
      <c r="G623" s="1">
        <v>116</v>
      </c>
      <c r="H623" s="1" t="s">
        <v>754</v>
      </c>
      <c r="I623" s="12">
        <v>9.0074660855429993</v>
      </c>
      <c r="J623" s="12">
        <v>25.730259735000001</v>
      </c>
      <c r="K623" s="1" t="s">
        <v>754</v>
      </c>
      <c r="L623" s="16">
        <v>3193.3333903600001</v>
      </c>
      <c r="M623" s="16" t="s">
        <v>34</v>
      </c>
      <c r="N623" s="16">
        <v>28750.901767318999</v>
      </c>
      <c r="O623" s="10">
        <v>48.962112600000005</v>
      </c>
      <c r="P623" s="15">
        <v>7.32</v>
      </c>
      <c r="Q623" s="15">
        <v>48.1</v>
      </c>
      <c r="R623" s="15">
        <v>50.319229622999998</v>
      </c>
      <c r="S623" s="15"/>
      <c r="T623" s="15">
        <v>26.977499999999999</v>
      </c>
      <c r="U623" s="15">
        <v>26.682500000000001</v>
      </c>
      <c r="V623" s="15">
        <v>5.1032304000000002</v>
      </c>
      <c r="W623" s="12">
        <v>0.6750745600000001</v>
      </c>
      <c r="X623" s="15"/>
      <c r="Y623" s="15">
        <v>71.696913499999994</v>
      </c>
      <c r="Z623" s="12"/>
      <c r="AA623" s="15">
        <v>1.5</v>
      </c>
      <c r="AB623" s="16">
        <f>AA623*33.334</f>
        <v>50.001000000000005</v>
      </c>
      <c r="AD623" s="16"/>
      <c r="AE623" s="1">
        <v>1</v>
      </c>
    </row>
    <row r="624" spans="1:31" x14ac:dyDescent="0.2">
      <c r="A624" s="1">
        <v>623</v>
      </c>
      <c r="B624" s="1">
        <v>2020</v>
      </c>
      <c r="C624" s="1" t="s">
        <v>31</v>
      </c>
      <c r="D624" s="1" t="s">
        <v>555</v>
      </c>
      <c r="E624" s="1" t="s">
        <v>786</v>
      </c>
      <c r="F624" s="1" t="s">
        <v>32</v>
      </c>
      <c r="G624" s="1">
        <v>117</v>
      </c>
      <c r="H624" s="1" t="s">
        <v>754</v>
      </c>
      <c r="I624" s="12">
        <v>9.2491564251859995</v>
      </c>
      <c r="J624" s="12">
        <v>26.420803563</v>
      </c>
      <c r="K624" s="1" t="s">
        <v>754</v>
      </c>
      <c r="L624" s="16">
        <v>3193.9903648220002</v>
      </c>
      <c r="M624" s="16" t="s">
        <v>34</v>
      </c>
      <c r="N624" s="16">
        <v>29523.310427944001</v>
      </c>
      <c r="O624" s="10">
        <v>48.0607063</v>
      </c>
      <c r="P624" s="15">
        <v>7.7</v>
      </c>
      <c r="Q624" s="15">
        <v>47.765000000000001</v>
      </c>
      <c r="R624" s="15">
        <v>51.809229623</v>
      </c>
      <c r="S624" s="15"/>
      <c r="T624" s="15">
        <v>26.395</v>
      </c>
      <c r="U624" s="15">
        <v>26.342500000000001</v>
      </c>
      <c r="V624" s="15">
        <v>5.5432303999999997</v>
      </c>
      <c r="W624" s="12">
        <v>0.67527437300000004</v>
      </c>
      <c r="X624" s="15"/>
      <c r="Y624" s="15">
        <v>71.676579000000004</v>
      </c>
      <c r="Z624" s="12"/>
      <c r="AA624" s="15">
        <v>1.25</v>
      </c>
      <c r="AB624" s="16">
        <f>AA624*33.334</f>
        <v>41.667500000000004</v>
      </c>
      <c r="AD624" s="16"/>
      <c r="AE624" s="1">
        <v>1</v>
      </c>
    </row>
    <row r="625" spans="1:31" x14ac:dyDescent="0.2">
      <c r="A625" s="1">
        <v>624</v>
      </c>
      <c r="B625" s="1">
        <v>2020</v>
      </c>
      <c r="C625" s="1" t="s">
        <v>31</v>
      </c>
      <c r="D625" s="1" t="s">
        <v>916</v>
      </c>
      <c r="E625" s="1" t="s">
        <v>601</v>
      </c>
      <c r="F625" s="1" t="s">
        <v>32</v>
      </c>
      <c r="H625" s="1" t="s">
        <v>754</v>
      </c>
      <c r="I625" s="12">
        <v>9.4942604104004999</v>
      </c>
      <c r="J625" s="12">
        <v>27.121100663</v>
      </c>
      <c r="K625" s="1" t="s">
        <v>754</v>
      </c>
      <c r="L625" s="16">
        <v>3194.1303542760002</v>
      </c>
      <c r="M625" s="16" t="s">
        <v>34</v>
      </c>
      <c r="N625" s="16">
        <v>30368.548664507001</v>
      </c>
      <c r="O625" s="10">
        <v>46.986275800000001</v>
      </c>
      <c r="P625" s="15">
        <v>7.58</v>
      </c>
      <c r="Q625" s="15">
        <v>48.3</v>
      </c>
      <c r="R625" s="15">
        <v>50.236729623000002</v>
      </c>
      <c r="S625" s="15"/>
      <c r="T625" s="15">
        <v>26.85</v>
      </c>
      <c r="U625" s="15">
        <v>25.267499999999998</v>
      </c>
      <c r="V625" s="15">
        <v>5.9807303999999997</v>
      </c>
      <c r="W625" s="12">
        <v>0.67644817599999996</v>
      </c>
      <c r="X625" s="15"/>
      <c r="Y625" s="15">
        <v>71.508352451999997</v>
      </c>
      <c r="Z625" s="12"/>
      <c r="AA625" s="15">
        <v>1</v>
      </c>
      <c r="AB625" s="16">
        <f>AA625*33.334</f>
        <v>33.334000000000003</v>
      </c>
      <c r="AD625" s="16"/>
      <c r="AE625" s="1">
        <v>1</v>
      </c>
    </row>
    <row r="626" spans="1:31" x14ac:dyDescent="0.2">
      <c r="A626" s="1">
        <v>625</v>
      </c>
      <c r="B626" s="1">
        <v>2020</v>
      </c>
      <c r="C626" s="1" t="s">
        <v>31</v>
      </c>
      <c r="D626" s="1" t="s">
        <v>67</v>
      </c>
      <c r="E626" s="1" t="s">
        <v>788</v>
      </c>
      <c r="F626" s="1" t="s">
        <v>32</v>
      </c>
      <c r="G626" s="1">
        <v>125</v>
      </c>
      <c r="H626" s="1" t="s">
        <v>754</v>
      </c>
      <c r="I626" s="12">
        <v>7.1665748713860005</v>
      </c>
      <c r="J626" s="12">
        <v>20.470570552000002</v>
      </c>
      <c r="K626" s="1" t="s">
        <v>754</v>
      </c>
      <c r="L626" s="16">
        <v>3195.9144227719999</v>
      </c>
      <c r="M626" s="16" t="s">
        <v>754</v>
      </c>
      <c r="N626" s="16">
        <v>22885.192103665999</v>
      </c>
      <c r="O626" s="15">
        <v>45.192439200000003</v>
      </c>
      <c r="P626" s="15">
        <v>8.4625000000000004</v>
      </c>
      <c r="Q626" s="15">
        <v>54.07</v>
      </c>
      <c r="R626" s="15">
        <v>51.751729623000003</v>
      </c>
      <c r="S626" s="15"/>
      <c r="T626" s="15">
        <v>30.182500000000001</v>
      </c>
      <c r="U626" s="15">
        <v>16.6175</v>
      </c>
      <c r="V626" s="15">
        <v>6.4907304000000003</v>
      </c>
      <c r="W626" s="12">
        <v>0.67216685099999995</v>
      </c>
      <c r="X626" s="15"/>
      <c r="Y626" s="15">
        <v>72.792814320999994</v>
      </c>
      <c r="Z626" s="12"/>
      <c r="AA626" s="15">
        <v>0.875</v>
      </c>
      <c r="AB626" s="16">
        <f>AA626*33.334</f>
        <v>29.167250000000003</v>
      </c>
      <c r="AD626" s="16"/>
      <c r="AE626" s="1">
        <v>1</v>
      </c>
    </row>
    <row r="627" spans="1:31" ht="17" x14ac:dyDescent="0.2">
      <c r="A627" s="1">
        <v>626</v>
      </c>
      <c r="B627" s="1">
        <v>2018</v>
      </c>
      <c r="C627" s="1" t="s">
        <v>31</v>
      </c>
      <c r="D627" s="8" t="s">
        <v>402</v>
      </c>
      <c r="E627" s="1" t="s">
        <v>658</v>
      </c>
      <c r="F627" s="1" t="s">
        <v>83</v>
      </c>
      <c r="G627" s="8">
        <v>117</v>
      </c>
      <c r="H627" s="1" t="s">
        <v>34</v>
      </c>
      <c r="I627" s="12">
        <v>6.2</v>
      </c>
      <c r="J627" s="3">
        <v>17.600000000000001</v>
      </c>
      <c r="L627" s="5">
        <v>3197</v>
      </c>
      <c r="M627" s="6" t="s">
        <v>34</v>
      </c>
      <c r="N627" s="5">
        <v>19721</v>
      </c>
      <c r="O627" s="6">
        <v>36.664999999999999</v>
      </c>
      <c r="P627" s="18">
        <v>9</v>
      </c>
      <c r="Q627" s="6">
        <v>37.375</v>
      </c>
      <c r="R627" s="6">
        <v>52.5</v>
      </c>
      <c r="S627" s="3"/>
      <c r="T627" s="6">
        <v>23.422499999999999</v>
      </c>
      <c r="U627" s="6">
        <v>37.6</v>
      </c>
      <c r="V627" s="6">
        <v>7.73</v>
      </c>
      <c r="W627" s="3">
        <v>0.73599999999999999</v>
      </c>
      <c r="X627" s="6"/>
      <c r="Y627" s="6">
        <v>71</v>
      </c>
      <c r="Z627" s="3">
        <v>1.2119306700000001</v>
      </c>
      <c r="AB627" s="16"/>
      <c r="AD627" s="16"/>
      <c r="AE627" s="1">
        <v>1</v>
      </c>
    </row>
    <row r="628" spans="1:31" x14ac:dyDescent="0.2">
      <c r="A628" s="1">
        <v>627</v>
      </c>
      <c r="B628" s="1">
        <v>2019</v>
      </c>
      <c r="C628" s="1" t="s">
        <v>88</v>
      </c>
      <c r="D628" s="8" t="s">
        <v>719</v>
      </c>
      <c r="E628" s="8" t="s">
        <v>739</v>
      </c>
      <c r="F628" s="1" t="s">
        <v>32</v>
      </c>
      <c r="I628" s="12">
        <v>6.1375000000000002</v>
      </c>
      <c r="J628" s="3">
        <v>17.537500000000001</v>
      </c>
      <c r="L628" s="5">
        <v>3198.25</v>
      </c>
      <c r="N628" s="5">
        <v>19658</v>
      </c>
      <c r="O628" s="6">
        <v>33.305</v>
      </c>
      <c r="P628" s="6">
        <v>7.9</v>
      </c>
      <c r="Q628" s="6">
        <v>40.872500000000002</v>
      </c>
      <c r="R628" s="6">
        <v>31.18</v>
      </c>
      <c r="S628" s="3"/>
      <c r="T628" s="6">
        <v>27.375</v>
      </c>
      <c r="U628" s="6">
        <v>27.5</v>
      </c>
      <c r="V628" s="6">
        <v>10.82</v>
      </c>
      <c r="W628" s="3">
        <v>0.71232499999999999</v>
      </c>
      <c r="X628" s="6"/>
      <c r="Y628" s="6">
        <v>60.93</v>
      </c>
      <c r="Z628" s="3">
        <v>0.78249999999999997</v>
      </c>
      <c r="AB628" s="16"/>
      <c r="AC628" s="6">
        <v>3.7</v>
      </c>
      <c r="AD628" s="16">
        <f>AC628*10</f>
        <v>37</v>
      </c>
      <c r="AE628" s="1">
        <v>1</v>
      </c>
    </row>
    <row r="629" spans="1:31" x14ac:dyDescent="0.2">
      <c r="A629" s="1">
        <v>628</v>
      </c>
      <c r="B629" s="1">
        <v>2013</v>
      </c>
      <c r="C629" s="1" t="s">
        <v>31</v>
      </c>
      <c r="D629" s="1" t="s">
        <v>805</v>
      </c>
      <c r="E629" s="8" t="s">
        <v>366</v>
      </c>
      <c r="F629" s="1" t="s">
        <v>32</v>
      </c>
      <c r="G629" s="8">
        <v>113</v>
      </c>
      <c r="H629" s="8"/>
      <c r="I629" s="12">
        <v>9.4600000000000009</v>
      </c>
      <c r="J629" s="7">
        <v>27.0285714285714</v>
      </c>
      <c r="K629" s="13"/>
      <c r="L629" s="14">
        <v>3203</v>
      </c>
      <c r="M629" s="14"/>
      <c r="N629" s="14">
        <v>30279</v>
      </c>
      <c r="O629" s="13">
        <v>32.6</v>
      </c>
      <c r="P629" s="13">
        <v>8.3000000000000007</v>
      </c>
      <c r="Q629" s="13">
        <v>43.1</v>
      </c>
      <c r="R629" s="13">
        <v>51.8</v>
      </c>
      <c r="S629" s="13" t="s">
        <v>89</v>
      </c>
      <c r="T629" s="13"/>
      <c r="U629" s="13">
        <v>31</v>
      </c>
      <c r="V629" s="13">
        <v>4.5</v>
      </c>
      <c r="W629" s="7">
        <v>0.71</v>
      </c>
      <c r="X629" s="15" t="s">
        <v>89</v>
      </c>
      <c r="Y629" s="15" t="s">
        <v>89</v>
      </c>
      <c r="Z629" s="7">
        <v>2.11</v>
      </c>
      <c r="AB629" s="16"/>
      <c r="AD629" s="16"/>
      <c r="AE629" s="1">
        <v>1</v>
      </c>
    </row>
    <row r="630" spans="1:31" x14ac:dyDescent="0.2">
      <c r="A630" s="1">
        <v>629</v>
      </c>
      <c r="B630" s="1">
        <v>2021</v>
      </c>
      <c r="C630" s="1" t="s">
        <v>31</v>
      </c>
      <c r="D630" s="1" t="s">
        <v>37</v>
      </c>
      <c r="E630" s="1" t="s">
        <v>789</v>
      </c>
      <c r="F630" s="1" t="s">
        <v>32</v>
      </c>
      <c r="G630" s="1">
        <v>135</v>
      </c>
      <c r="H630" s="1" t="s">
        <v>89</v>
      </c>
      <c r="I630" s="12">
        <v>8.6920797183154992</v>
      </c>
      <c r="J630" s="12">
        <v>24.834513480999998</v>
      </c>
      <c r="K630" s="1" t="s">
        <v>89</v>
      </c>
      <c r="L630" s="16">
        <v>3204.3962619980002</v>
      </c>
      <c r="M630" s="16" t="s">
        <v>89</v>
      </c>
      <c r="N630" s="16">
        <v>27819.268116035</v>
      </c>
      <c r="O630" s="15">
        <v>30.110030300000002</v>
      </c>
      <c r="P630" s="15">
        <v>8.0728476730000001</v>
      </c>
      <c r="Q630" s="15">
        <v>43.735718313</v>
      </c>
      <c r="R630" s="15">
        <v>59.041169738000001</v>
      </c>
      <c r="T630" s="15">
        <v>25.370010755999999</v>
      </c>
      <c r="U630" s="15">
        <v>34.992909869999998</v>
      </c>
      <c r="V630" s="15">
        <v>6.2725526599999997</v>
      </c>
      <c r="W630" s="12">
        <v>0.68326973868999996</v>
      </c>
      <c r="X630" s="15"/>
      <c r="Y630" s="15">
        <v>70.681574312999999</v>
      </c>
      <c r="Z630" s="12"/>
      <c r="AA630" s="15">
        <v>-3.9218999999999997E-2</v>
      </c>
      <c r="AB630" s="16">
        <v>0</v>
      </c>
      <c r="AD630" s="16"/>
      <c r="AE630" s="1">
        <v>1</v>
      </c>
    </row>
    <row r="631" spans="1:31" x14ac:dyDescent="0.2">
      <c r="A631" s="1">
        <v>630</v>
      </c>
      <c r="B631" s="1">
        <v>2012</v>
      </c>
      <c r="C631" s="1" t="s">
        <v>31</v>
      </c>
      <c r="D631" s="1" t="s">
        <v>916</v>
      </c>
      <c r="E631" s="1" t="s">
        <v>314</v>
      </c>
      <c r="F631" s="1" t="s">
        <v>83</v>
      </c>
      <c r="I631" s="12">
        <v>4.3899999999999997</v>
      </c>
      <c r="J631" s="12">
        <v>12.5</v>
      </c>
      <c r="L631" s="16">
        <v>3205</v>
      </c>
      <c r="N631" s="16">
        <v>14053</v>
      </c>
      <c r="O631" s="15">
        <v>34.6</v>
      </c>
      <c r="P631" s="15">
        <v>7.96</v>
      </c>
      <c r="Q631" s="15">
        <v>43.6</v>
      </c>
      <c r="R631" s="15">
        <v>58.8</v>
      </c>
      <c r="T631" s="15"/>
      <c r="U631" s="15">
        <v>37.5</v>
      </c>
      <c r="V631" s="15">
        <v>3.5</v>
      </c>
      <c r="W631" s="12">
        <v>0.72</v>
      </c>
      <c r="X631" s="15"/>
      <c r="Y631" s="15"/>
      <c r="Z631" s="12">
        <v>1.1299999999999999</v>
      </c>
      <c r="AB631" s="16"/>
      <c r="AD631" s="16"/>
      <c r="AE631" s="1">
        <v>1</v>
      </c>
    </row>
    <row r="632" spans="1:31" x14ac:dyDescent="0.2">
      <c r="A632" s="1">
        <v>631</v>
      </c>
      <c r="B632" s="1">
        <v>2012</v>
      </c>
      <c r="C632" s="1" t="s">
        <v>88</v>
      </c>
      <c r="D632" s="1" t="s">
        <v>916</v>
      </c>
      <c r="E632" s="8" t="s">
        <v>235</v>
      </c>
      <c r="F632" s="1" t="s">
        <v>83</v>
      </c>
      <c r="I632" s="12">
        <v>5.0599999999999996</v>
      </c>
      <c r="J632" s="7">
        <v>14.5</v>
      </c>
      <c r="K632" s="13" t="s">
        <v>34</v>
      </c>
      <c r="L632" s="14">
        <v>3205</v>
      </c>
      <c r="M632" s="14" t="s">
        <v>34</v>
      </c>
      <c r="N632" s="14">
        <v>16233</v>
      </c>
      <c r="O632" s="13">
        <v>34.6</v>
      </c>
      <c r="P632" s="13">
        <v>8.8699999999999992</v>
      </c>
      <c r="Q632" s="13">
        <v>50.3</v>
      </c>
      <c r="R632" s="13">
        <v>52.9</v>
      </c>
      <c r="S632" s="13"/>
      <c r="T632" s="13"/>
      <c r="U632" s="13">
        <v>24.2</v>
      </c>
      <c r="V632" s="13">
        <v>2.8</v>
      </c>
      <c r="W632" s="7">
        <v>0.64</v>
      </c>
      <c r="X632" s="15"/>
      <c r="Y632" s="15"/>
      <c r="Z632" s="7">
        <v>1.34</v>
      </c>
      <c r="AA632" s="7">
        <v>2</v>
      </c>
      <c r="AB632" s="16">
        <f>AA632*10</f>
        <v>20</v>
      </c>
      <c r="AC632" s="7">
        <v>0</v>
      </c>
      <c r="AD632" s="16">
        <f>AC632*10</f>
        <v>0</v>
      </c>
      <c r="AE632" s="1">
        <v>1</v>
      </c>
    </row>
    <row r="633" spans="1:31" x14ac:dyDescent="0.2">
      <c r="A633" s="1">
        <v>632</v>
      </c>
      <c r="B633" s="1">
        <v>2014</v>
      </c>
      <c r="C633" s="1" t="s">
        <v>31</v>
      </c>
      <c r="D633" s="1" t="s">
        <v>291</v>
      </c>
      <c r="E633" s="1" t="s">
        <v>440</v>
      </c>
      <c r="F633" s="1" t="s">
        <v>32</v>
      </c>
      <c r="G633" s="1">
        <v>119</v>
      </c>
      <c r="I633" s="12">
        <v>9.11</v>
      </c>
      <c r="J633" s="12">
        <v>26</v>
      </c>
      <c r="L633" s="16">
        <v>3205</v>
      </c>
      <c r="N633" s="16">
        <v>29143</v>
      </c>
      <c r="O633" s="15">
        <v>30.4</v>
      </c>
      <c r="P633" s="15">
        <v>7.6</v>
      </c>
      <c r="Q633" s="15">
        <v>45.6</v>
      </c>
      <c r="R633" s="15">
        <v>54</v>
      </c>
      <c r="T633" s="15"/>
      <c r="U633" s="15">
        <v>25.5</v>
      </c>
      <c r="V633" s="15">
        <v>6.6</v>
      </c>
      <c r="W633" s="12">
        <v>0.7</v>
      </c>
      <c r="X633" s="15"/>
      <c r="Y633" s="15">
        <v>67.400000000000006</v>
      </c>
      <c r="Z633" s="12">
        <v>2.25</v>
      </c>
      <c r="AB633" s="16"/>
      <c r="AD633" s="16"/>
      <c r="AE633" s="1">
        <v>1</v>
      </c>
    </row>
    <row r="634" spans="1:31" x14ac:dyDescent="0.2">
      <c r="A634" s="1">
        <v>633</v>
      </c>
      <c r="B634" s="1">
        <v>2014</v>
      </c>
      <c r="C634" s="1" t="s">
        <v>31</v>
      </c>
      <c r="D634" s="1" t="s">
        <v>291</v>
      </c>
      <c r="E634" s="1" t="s">
        <v>453</v>
      </c>
      <c r="F634" s="1" t="s">
        <v>83</v>
      </c>
      <c r="G634" s="1">
        <v>120</v>
      </c>
      <c r="I634" s="12">
        <v>5.5</v>
      </c>
      <c r="J634" s="12">
        <v>15.7</v>
      </c>
      <c r="K634" s="1" t="s">
        <v>34</v>
      </c>
      <c r="L634" s="16">
        <v>3206</v>
      </c>
      <c r="M634" s="1" t="s">
        <v>34</v>
      </c>
      <c r="N634" s="16">
        <v>17666</v>
      </c>
      <c r="O634" s="15">
        <v>35.1</v>
      </c>
      <c r="P634" s="15">
        <v>7.36</v>
      </c>
      <c r="Q634" s="15">
        <v>42.1</v>
      </c>
      <c r="R634" s="15">
        <v>51</v>
      </c>
      <c r="T634" s="15"/>
      <c r="U634" s="15">
        <v>33.6</v>
      </c>
      <c r="V634" s="15">
        <v>4</v>
      </c>
      <c r="W634" s="12">
        <v>0.72</v>
      </c>
      <c r="X634" s="15"/>
      <c r="Y634" s="15">
        <v>69.5</v>
      </c>
      <c r="Z634" s="12">
        <v>1.18</v>
      </c>
      <c r="AA634" s="1">
        <v>6</v>
      </c>
      <c r="AB634" s="16">
        <f>AA634*10</f>
        <v>60</v>
      </c>
      <c r="AD634" s="16"/>
      <c r="AE634" s="1">
        <v>1</v>
      </c>
    </row>
    <row r="635" spans="1:31" x14ac:dyDescent="0.2">
      <c r="A635" s="1">
        <v>634</v>
      </c>
      <c r="B635" s="1">
        <v>2016</v>
      </c>
      <c r="C635" s="1" t="s">
        <v>88</v>
      </c>
      <c r="D635" s="1" t="s">
        <v>459</v>
      </c>
      <c r="E635" s="1" t="s">
        <v>571</v>
      </c>
      <c r="F635" s="1" t="s">
        <v>83</v>
      </c>
      <c r="H635" s="1" t="s">
        <v>34</v>
      </c>
      <c r="I635" s="12">
        <v>7.2</v>
      </c>
      <c r="J635" s="3">
        <v>20.5</v>
      </c>
      <c r="K635" s="1" t="s">
        <v>34</v>
      </c>
      <c r="L635" s="5">
        <v>3206</v>
      </c>
      <c r="M635" s="1" t="s">
        <v>34</v>
      </c>
      <c r="N635" s="5">
        <v>22969</v>
      </c>
      <c r="O635" s="6">
        <v>29.2985699</v>
      </c>
      <c r="P635" s="6">
        <v>7.3250000000000002</v>
      </c>
      <c r="Q635" s="6">
        <v>55.337499999999999</v>
      </c>
      <c r="R635" s="15">
        <v>56.6</v>
      </c>
      <c r="S635" s="6">
        <v>18.5</v>
      </c>
      <c r="T635" s="6"/>
      <c r="U635" s="6">
        <v>8.67</v>
      </c>
      <c r="V635" s="6">
        <v>13.477499999999999</v>
      </c>
      <c r="W635" s="3">
        <v>0.64400000000000002</v>
      </c>
      <c r="X635" s="6"/>
      <c r="Y635" s="15">
        <v>63.6</v>
      </c>
      <c r="Z635" s="3">
        <v>2.2000000000000002</v>
      </c>
      <c r="AA635" s="6">
        <v>2</v>
      </c>
      <c r="AB635" s="16">
        <f>AA635*10</f>
        <v>20</v>
      </c>
      <c r="AC635" s="6">
        <v>1</v>
      </c>
      <c r="AD635" s="16">
        <f>AC635*10</f>
        <v>10</v>
      </c>
      <c r="AE635" s="1">
        <v>1</v>
      </c>
    </row>
    <row r="636" spans="1:31" x14ac:dyDescent="0.2">
      <c r="A636" s="1">
        <v>635</v>
      </c>
      <c r="B636" s="1">
        <v>2014</v>
      </c>
      <c r="C636" s="1" t="s">
        <v>31</v>
      </c>
      <c r="D636" s="1" t="s">
        <v>71</v>
      </c>
      <c r="E636" s="1" t="s">
        <v>441</v>
      </c>
      <c r="F636" s="1" t="s">
        <v>32</v>
      </c>
      <c r="G636" s="1">
        <v>115</v>
      </c>
      <c r="I636" s="12">
        <v>9.18</v>
      </c>
      <c r="J636" s="12">
        <v>26.2</v>
      </c>
      <c r="L636" s="16">
        <v>3206</v>
      </c>
      <c r="N636" s="16">
        <v>29404</v>
      </c>
      <c r="O636" s="15">
        <v>28.8</v>
      </c>
      <c r="P636" s="15">
        <v>8</v>
      </c>
      <c r="Q636" s="15">
        <v>45.8</v>
      </c>
      <c r="R636" s="15">
        <v>53.7</v>
      </c>
      <c r="T636" s="15"/>
      <c r="U636" s="15">
        <v>29</v>
      </c>
      <c r="V636" s="15">
        <v>5</v>
      </c>
      <c r="W636" s="12">
        <v>0.69</v>
      </c>
      <c r="X636" s="15"/>
      <c r="Y636" s="15">
        <v>67.099999999999994</v>
      </c>
      <c r="Z636" s="12">
        <v>2.25</v>
      </c>
      <c r="AB636" s="16"/>
      <c r="AD636" s="16"/>
      <c r="AE636" s="1">
        <v>1</v>
      </c>
    </row>
    <row r="637" spans="1:31" x14ac:dyDescent="0.2">
      <c r="A637" s="1">
        <v>636</v>
      </c>
      <c r="B637" s="1">
        <v>2020</v>
      </c>
      <c r="C637" s="1" t="s">
        <v>31</v>
      </c>
      <c r="D637" s="1" t="s">
        <v>755</v>
      </c>
      <c r="E637" s="1" t="s">
        <v>758</v>
      </c>
      <c r="F637" s="1" t="s">
        <v>32</v>
      </c>
      <c r="G637" s="1">
        <v>116</v>
      </c>
      <c r="H637" s="1" t="s">
        <v>34</v>
      </c>
      <c r="I637" s="12">
        <v>10.184089374810501</v>
      </c>
      <c r="J637" s="12">
        <v>29.092040562000001</v>
      </c>
      <c r="K637" s="1" t="s">
        <v>754</v>
      </c>
      <c r="L637" s="16">
        <v>3206.6522896199999</v>
      </c>
      <c r="M637" s="16" t="s">
        <v>34</v>
      </c>
      <c r="N637" s="16">
        <v>32679.480721959</v>
      </c>
      <c r="O637" s="10">
        <v>49.8139064</v>
      </c>
      <c r="P637" s="15">
        <v>7.5175000000000001</v>
      </c>
      <c r="Q637" s="15">
        <v>47.3675</v>
      </c>
      <c r="R637" s="15">
        <v>53.014229622999999</v>
      </c>
      <c r="S637" s="15"/>
      <c r="T637" s="15">
        <v>26.067499999999999</v>
      </c>
      <c r="U637" s="15">
        <v>27.447500000000002</v>
      </c>
      <c r="V637" s="15">
        <v>5.1532304</v>
      </c>
      <c r="W637" s="12">
        <v>0.67734860900000005</v>
      </c>
      <c r="X637" s="15"/>
      <c r="Y637" s="15">
        <v>71.82274425</v>
      </c>
      <c r="Z637" s="12"/>
      <c r="AA637" s="15">
        <v>1.125</v>
      </c>
      <c r="AB637" s="16">
        <f>AA637*33.334</f>
        <v>37.500750000000004</v>
      </c>
      <c r="AD637" s="16"/>
      <c r="AE637" s="1">
        <v>1</v>
      </c>
    </row>
    <row r="638" spans="1:31" x14ac:dyDescent="0.2">
      <c r="A638" s="1">
        <v>637</v>
      </c>
      <c r="B638" s="1">
        <v>2013</v>
      </c>
      <c r="C638" s="1" t="s">
        <v>88</v>
      </c>
      <c r="D638" s="8" t="s">
        <v>1023</v>
      </c>
      <c r="E638" s="8" t="s">
        <v>387</v>
      </c>
      <c r="F638" s="1" t="s">
        <v>83</v>
      </c>
      <c r="I638" s="12">
        <v>5.96</v>
      </c>
      <c r="J638" s="7">
        <v>17.0285714285714</v>
      </c>
      <c r="K638" s="13" t="s">
        <v>34</v>
      </c>
      <c r="L638" s="14">
        <v>3208</v>
      </c>
      <c r="M638" s="14" t="s">
        <v>34</v>
      </c>
      <c r="N638" s="14">
        <v>19126</v>
      </c>
      <c r="O638" s="13">
        <v>29.9</v>
      </c>
      <c r="P638" s="13">
        <v>9</v>
      </c>
      <c r="Q638" s="13">
        <v>49.6</v>
      </c>
      <c r="R638" s="13">
        <v>52.5</v>
      </c>
      <c r="S638" s="13"/>
      <c r="T638" s="13"/>
      <c r="U638" s="13">
        <v>24.4</v>
      </c>
      <c r="V638" s="13">
        <v>1.9</v>
      </c>
      <c r="W638" s="7">
        <v>0.62</v>
      </c>
      <c r="X638" s="13">
        <v>76.400000000000006</v>
      </c>
      <c r="Y638" s="13">
        <v>60.4</v>
      </c>
      <c r="Z638" s="7">
        <v>1.55</v>
      </c>
      <c r="AA638" s="13">
        <v>3</v>
      </c>
      <c r="AB638" s="16">
        <f>AA638*10</f>
        <v>30</v>
      </c>
      <c r="AC638" s="13">
        <v>1</v>
      </c>
      <c r="AD638" s="16">
        <f>AC638*10</f>
        <v>10</v>
      </c>
      <c r="AE638" s="1">
        <v>1</v>
      </c>
    </row>
    <row r="639" spans="1:31" x14ac:dyDescent="0.2">
      <c r="A639" s="1">
        <v>638</v>
      </c>
      <c r="B639" s="1">
        <v>2017</v>
      </c>
      <c r="C639" s="1" t="s">
        <v>31</v>
      </c>
      <c r="D639" s="8" t="s">
        <v>874</v>
      </c>
      <c r="E639" s="8" t="s">
        <v>651</v>
      </c>
      <c r="F639" s="1" t="s">
        <v>32</v>
      </c>
      <c r="G639" s="1">
        <v>119</v>
      </c>
      <c r="I639" s="12">
        <v>8.5734080800000001</v>
      </c>
      <c r="J639" s="3">
        <v>24.4954517</v>
      </c>
      <c r="L639" s="5">
        <v>3208</v>
      </c>
      <c r="N639" s="5">
        <v>27474.497200000002</v>
      </c>
      <c r="O639" s="6">
        <v>30.6524635</v>
      </c>
      <c r="P639" s="6">
        <v>7.2275</v>
      </c>
      <c r="Q639" s="6">
        <v>39.895000000000003</v>
      </c>
      <c r="R639" s="6">
        <v>49.844999999999999</v>
      </c>
      <c r="S639" s="3"/>
      <c r="T639" s="6">
        <v>24.82</v>
      </c>
      <c r="U639" s="6">
        <v>33.727499999999999</v>
      </c>
      <c r="V639" s="6">
        <v>3.415</v>
      </c>
      <c r="W639" s="3">
        <v>0.76590400000000003</v>
      </c>
      <c r="X639" s="6"/>
      <c r="Y639" s="6">
        <v>70.984999999999999</v>
      </c>
      <c r="Z639" s="3">
        <v>1.6986374799999999</v>
      </c>
      <c r="AB639" s="16"/>
      <c r="AD639" s="16"/>
      <c r="AE639" s="1">
        <v>1</v>
      </c>
    </row>
    <row r="640" spans="1:31" x14ac:dyDescent="0.2">
      <c r="A640" s="1">
        <v>639</v>
      </c>
      <c r="B640" s="1">
        <v>2016</v>
      </c>
      <c r="C640" s="1" t="s">
        <v>88</v>
      </c>
      <c r="D640" s="1" t="s">
        <v>246</v>
      </c>
      <c r="E640" s="1" t="s">
        <v>580</v>
      </c>
      <c r="F640" s="1" t="s">
        <v>83</v>
      </c>
      <c r="I640" s="12">
        <v>5.8247056400000004</v>
      </c>
      <c r="J640" s="3">
        <v>16.642016099999999</v>
      </c>
      <c r="K640" s="1" t="s">
        <v>34</v>
      </c>
      <c r="L640" s="5">
        <v>3209</v>
      </c>
      <c r="N640" s="5">
        <v>18685.046300000002</v>
      </c>
      <c r="O640" s="6">
        <v>30.880277700000001</v>
      </c>
      <c r="P640" s="6">
        <v>7.27</v>
      </c>
      <c r="Q640" s="6">
        <v>49.097499999999997</v>
      </c>
      <c r="R640" s="15">
        <v>42.21</v>
      </c>
      <c r="S640" s="6">
        <v>22.887499999999999</v>
      </c>
      <c r="T640" s="6"/>
      <c r="U640" s="6">
        <v>18.2</v>
      </c>
      <c r="V640" s="6">
        <v>12.137499999999999</v>
      </c>
      <c r="W640" s="3">
        <v>0.66599999999999993</v>
      </c>
      <c r="X640" s="6"/>
      <c r="Y640" s="15">
        <v>61.3</v>
      </c>
      <c r="Z640" s="3">
        <v>1.17248503</v>
      </c>
      <c r="AA640" s="6">
        <v>4</v>
      </c>
      <c r="AB640" s="16">
        <f>AA640*10</f>
        <v>40</v>
      </c>
      <c r="AC640" s="6">
        <v>1</v>
      </c>
      <c r="AD640" s="16">
        <f>AC640*10</f>
        <v>10</v>
      </c>
      <c r="AE640" s="1">
        <v>1</v>
      </c>
    </row>
    <row r="641" spans="1:31" x14ac:dyDescent="0.2">
      <c r="A641" s="1">
        <v>640</v>
      </c>
      <c r="B641" s="1">
        <v>2014</v>
      </c>
      <c r="C641" s="1" t="s">
        <v>31</v>
      </c>
      <c r="D641" s="1" t="s">
        <v>916</v>
      </c>
      <c r="E641" s="1" t="s">
        <v>407</v>
      </c>
      <c r="F641" s="1" t="s">
        <v>32</v>
      </c>
      <c r="G641" s="1">
        <v>115</v>
      </c>
      <c r="I641" s="12">
        <v>8.66</v>
      </c>
      <c r="J641" s="12">
        <v>24.7</v>
      </c>
      <c r="L641" s="16">
        <v>3209</v>
      </c>
      <c r="N641" s="16">
        <v>27829</v>
      </c>
      <c r="O641" s="15">
        <v>31.1</v>
      </c>
      <c r="P641" s="15">
        <v>8.5</v>
      </c>
      <c r="Q641" s="15">
        <v>46.2</v>
      </c>
      <c r="R641" s="15">
        <v>55.6</v>
      </c>
      <c r="T641" s="15"/>
      <c r="U641" s="15">
        <v>27.9</v>
      </c>
      <c r="V641" s="15">
        <v>5.6</v>
      </c>
      <c r="W641" s="12">
        <v>0.69</v>
      </c>
      <c r="X641" s="15"/>
      <c r="Y641" s="15">
        <v>67.099999999999994</v>
      </c>
      <c r="Z641" s="12">
        <v>2.21</v>
      </c>
      <c r="AB641" s="16"/>
      <c r="AD641" s="16"/>
      <c r="AE641" s="1">
        <v>1</v>
      </c>
    </row>
    <row r="642" spans="1:31" x14ac:dyDescent="0.2">
      <c r="A642" s="1">
        <v>641</v>
      </c>
      <c r="B642" s="1">
        <v>2018</v>
      </c>
      <c r="C642" s="1" t="s">
        <v>31</v>
      </c>
      <c r="D642" s="1" t="s">
        <v>37</v>
      </c>
      <c r="E642" s="1" t="s">
        <v>620</v>
      </c>
      <c r="F642" s="1" t="s">
        <v>32</v>
      </c>
      <c r="G642" s="1">
        <v>116</v>
      </c>
      <c r="I642" s="12">
        <v>7.7</v>
      </c>
      <c r="J642" s="3">
        <v>22.020219699999998</v>
      </c>
      <c r="L642" s="5">
        <v>3212</v>
      </c>
      <c r="N642" s="5">
        <v>24861.6839</v>
      </c>
      <c r="O642" s="6">
        <v>36.932499999999997</v>
      </c>
      <c r="P642" s="18">
        <v>8</v>
      </c>
      <c r="Q642" s="6">
        <v>41.35</v>
      </c>
      <c r="R642" s="6">
        <v>56.47</v>
      </c>
      <c r="S642" s="3"/>
      <c r="T642" s="6">
        <v>25.25</v>
      </c>
      <c r="U642" s="6">
        <v>34.932499999999997</v>
      </c>
      <c r="V642" s="6">
        <v>5.165</v>
      </c>
      <c r="W642" s="3">
        <v>0.73</v>
      </c>
      <c r="X642" s="6"/>
      <c r="Y642" s="6">
        <v>70.400000000000006</v>
      </c>
      <c r="Z642" s="3">
        <v>1.79</v>
      </c>
      <c r="AB642" s="16"/>
      <c r="AD642" s="16"/>
      <c r="AE642" s="1">
        <v>1</v>
      </c>
    </row>
    <row r="643" spans="1:31" x14ac:dyDescent="0.2">
      <c r="A643" s="1">
        <v>642</v>
      </c>
      <c r="B643" s="1">
        <v>2021</v>
      </c>
      <c r="C643" s="1" t="s">
        <v>31</v>
      </c>
      <c r="D643" s="1" t="s">
        <v>916</v>
      </c>
      <c r="E643" s="1" t="s">
        <v>830</v>
      </c>
      <c r="F643" s="1" t="s">
        <v>32</v>
      </c>
      <c r="G643" s="1">
        <v>120</v>
      </c>
      <c r="H643" s="1" t="s">
        <v>89</v>
      </c>
      <c r="I643" s="12">
        <v>7.3041681358790003</v>
      </c>
      <c r="J643" s="12">
        <v>20.869051816999999</v>
      </c>
      <c r="K643" s="1" t="s">
        <v>89</v>
      </c>
      <c r="L643" s="16">
        <v>3212.5853337889998</v>
      </c>
      <c r="M643" s="16" t="s">
        <v>89</v>
      </c>
      <c r="N643" s="16">
        <v>21138.766384185001</v>
      </c>
      <c r="O643" s="15">
        <v>41.045378200000002</v>
      </c>
      <c r="P643" s="15">
        <v>7.842978381</v>
      </c>
      <c r="Q643" s="15">
        <v>44.733967393</v>
      </c>
      <c r="R643" s="15">
        <v>60.130033402999999</v>
      </c>
      <c r="T643" s="15">
        <v>26.073381532999999</v>
      </c>
      <c r="U643" s="15">
        <v>34.518343860999998</v>
      </c>
      <c r="V643" s="15">
        <v>6.276879589</v>
      </c>
      <c r="W643" s="12">
        <v>0.6834136664899999</v>
      </c>
      <c r="X643" s="15"/>
      <c r="Y643" s="15">
        <v>70.925108933000004</v>
      </c>
      <c r="Z643" s="12"/>
      <c r="AA643" s="15">
        <v>1.3971874360000001</v>
      </c>
      <c r="AB643" s="16">
        <f>AA643*33.334</f>
        <v>46.573845991624005</v>
      </c>
      <c r="AD643" s="16"/>
      <c r="AE643" s="1">
        <v>1</v>
      </c>
    </row>
    <row r="644" spans="1:31" x14ac:dyDescent="0.2">
      <c r="A644" s="1">
        <v>643</v>
      </c>
      <c r="B644" s="1">
        <v>2019</v>
      </c>
      <c r="C644" s="1" t="s">
        <v>88</v>
      </c>
      <c r="D644" s="8" t="s">
        <v>187</v>
      </c>
      <c r="E644" s="8">
        <v>18119</v>
      </c>
      <c r="F644" s="1" t="s">
        <v>32</v>
      </c>
      <c r="I644" s="12">
        <v>5.6574999999999998</v>
      </c>
      <c r="J644" s="3">
        <v>16.164999999999999</v>
      </c>
      <c r="L644" s="5">
        <v>3213</v>
      </c>
      <c r="N644" s="5">
        <v>18195.75</v>
      </c>
      <c r="O644" s="6">
        <v>31.56</v>
      </c>
      <c r="P644" s="6">
        <v>6.1349999999999998</v>
      </c>
      <c r="Q644" s="6">
        <v>41.097499999999997</v>
      </c>
      <c r="R644" s="6">
        <v>33.2575</v>
      </c>
      <c r="S644" s="3"/>
      <c r="T644" s="6">
        <v>29.61</v>
      </c>
      <c r="U644" s="6">
        <v>23.725000000000001</v>
      </c>
      <c r="V644" s="6">
        <v>12.047499999999999</v>
      </c>
      <c r="W644" s="3">
        <v>0.71102500000000002</v>
      </c>
      <c r="X644" s="6"/>
      <c r="Y644" s="6">
        <v>61.307499999999997</v>
      </c>
      <c r="Z644" s="3">
        <v>0.78249999999999997</v>
      </c>
      <c r="AB644" s="16"/>
      <c r="AC644" s="6">
        <v>1</v>
      </c>
      <c r="AD644" s="16">
        <f>AC644*10</f>
        <v>10</v>
      </c>
      <c r="AE644" s="1">
        <v>1</v>
      </c>
    </row>
    <row r="645" spans="1:31" x14ac:dyDescent="0.2">
      <c r="A645" s="1">
        <v>644</v>
      </c>
      <c r="B645" s="1">
        <v>2017</v>
      </c>
      <c r="C645" s="1" t="s">
        <v>88</v>
      </c>
      <c r="D645" s="1" t="s">
        <v>246</v>
      </c>
      <c r="E645" s="1" t="s">
        <v>641</v>
      </c>
      <c r="F645" s="1" t="s">
        <v>32</v>
      </c>
      <c r="I645" s="12">
        <v>5.3286507299999997</v>
      </c>
      <c r="J645" s="3">
        <v>15.2247164</v>
      </c>
      <c r="L645" s="5">
        <v>3214.5</v>
      </c>
      <c r="N645" s="5">
        <v>17020.547200000001</v>
      </c>
      <c r="O645" s="6">
        <v>29.105564000000001</v>
      </c>
      <c r="P645" s="6">
        <v>4.2575000000000003</v>
      </c>
      <c r="Q645" s="6">
        <v>55.784999999999997</v>
      </c>
      <c r="R645" s="15">
        <v>53.9375</v>
      </c>
      <c r="S645" s="15">
        <v>29.6</v>
      </c>
      <c r="U645" s="6">
        <v>14.115</v>
      </c>
      <c r="V645" s="6">
        <v>14.4</v>
      </c>
      <c r="W645" s="3">
        <v>0.64485000000000003</v>
      </c>
      <c r="X645" s="6"/>
      <c r="Y645" s="15">
        <v>63.082500000000003</v>
      </c>
      <c r="Z645" s="3">
        <v>1.58449705</v>
      </c>
      <c r="AB645" s="16"/>
      <c r="AD645" s="16"/>
      <c r="AE645" s="1">
        <v>1</v>
      </c>
    </row>
    <row r="646" spans="1:31" x14ac:dyDescent="0.2">
      <c r="A646" s="1">
        <v>645</v>
      </c>
      <c r="B646" s="1">
        <v>2018</v>
      </c>
      <c r="C646" s="1" t="s">
        <v>31</v>
      </c>
      <c r="D646" s="1" t="s">
        <v>108</v>
      </c>
      <c r="E646" s="1" t="s">
        <v>667</v>
      </c>
      <c r="F646" s="1" t="s">
        <v>32</v>
      </c>
      <c r="G646" s="1">
        <v>118</v>
      </c>
      <c r="H646" s="1" t="s">
        <v>34</v>
      </c>
      <c r="I646" s="12">
        <v>8.5</v>
      </c>
      <c r="J646" s="3">
        <v>24.4</v>
      </c>
      <c r="L646" s="5">
        <v>3214.75</v>
      </c>
      <c r="M646" s="1" t="s">
        <v>34</v>
      </c>
      <c r="N646" s="5">
        <v>27516</v>
      </c>
      <c r="O646" s="6">
        <v>36</v>
      </c>
      <c r="P646" s="18">
        <v>7.68</v>
      </c>
      <c r="Q646" s="6">
        <v>41.552500000000002</v>
      </c>
      <c r="R646" s="6">
        <v>55.827500000000001</v>
      </c>
      <c r="S646" s="3"/>
      <c r="T646" s="6">
        <v>25.6175</v>
      </c>
      <c r="U646" s="6">
        <v>35.387500000000003</v>
      </c>
      <c r="V646" s="6">
        <v>5.3250000000000002</v>
      </c>
      <c r="W646" s="3">
        <v>0.72552499999999998</v>
      </c>
      <c r="X646" s="6"/>
      <c r="Y646" s="6">
        <v>70.047499999999999</v>
      </c>
      <c r="Z646" s="3">
        <v>1.98</v>
      </c>
      <c r="AB646" s="16"/>
      <c r="AD646" s="16"/>
      <c r="AE646" s="1">
        <v>1</v>
      </c>
    </row>
    <row r="647" spans="1:31" x14ac:dyDescent="0.2">
      <c r="A647" s="1">
        <v>646</v>
      </c>
      <c r="B647" s="1">
        <v>2014</v>
      </c>
      <c r="C647" s="1" t="s">
        <v>96</v>
      </c>
      <c r="D647" s="8" t="s">
        <v>1023</v>
      </c>
      <c r="E647" s="8" t="s">
        <v>464</v>
      </c>
      <c r="F647" s="8" t="s">
        <v>32</v>
      </c>
      <c r="I647" s="12">
        <v>6.57</v>
      </c>
      <c r="J647" s="7">
        <v>18.771428571428601</v>
      </c>
      <c r="K647" s="13"/>
      <c r="L647" s="14">
        <v>3215</v>
      </c>
      <c r="M647" s="8" t="s">
        <v>34</v>
      </c>
      <c r="N647" s="14">
        <v>21141</v>
      </c>
      <c r="O647" s="13">
        <v>32.4</v>
      </c>
      <c r="P647" s="13">
        <v>9.5</v>
      </c>
      <c r="Q647" s="13">
        <v>50</v>
      </c>
      <c r="R647" s="13">
        <v>53.6</v>
      </c>
      <c r="T647" s="15"/>
      <c r="U647" s="13">
        <v>21.5</v>
      </c>
      <c r="V647" s="13">
        <v>2.5</v>
      </c>
      <c r="W647" s="7">
        <v>0.64</v>
      </c>
      <c r="X647" s="15"/>
      <c r="Y647" s="13">
        <v>62.5</v>
      </c>
      <c r="Z647" s="7">
        <v>1.76</v>
      </c>
      <c r="AA647" s="13">
        <v>1</v>
      </c>
      <c r="AB647" s="16">
        <f>AA647*10</f>
        <v>10</v>
      </c>
      <c r="AC647" s="8">
        <v>1.3</v>
      </c>
      <c r="AD647" s="16">
        <f>AC647*10</f>
        <v>13</v>
      </c>
      <c r="AE647" s="1">
        <v>0</v>
      </c>
    </row>
    <row r="648" spans="1:31" x14ac:dyDescent="0.2">
      <c r="A648" s="1">
        <v>647</v>
      </c>
      <c r="B648" s="1">
        <v>2018</v>
      </c>
      <c r="C648" s="1" t="s">
        <v>31</v>
      </c>
      <c r="D648" s="1" t="s">
        <v>391</v>
      </c>
      <c r="E648" s="1" t="s">
        <v>670</v>
      </c>
      <c r="F648" s="1" t="s">
        <v>32</v>
      </c>
      <c r="G648" s="1">
        <v>115</v>
      </c>
      <c r="H648" s="1" t="s">
        <v>34</v>
      </c>
      <c r="I648" s="12">
        <v>8.1999999999999993</v>
      </c>
      <c r="J648" s="3">
        <v>23.5</v>
      </c>
      <c r="L648" s="5">
        <v>3216.25</v>
      </c>
      <c r="M648" s="1" t="s">
        <v>34</v>
      </c>
      <c r="N648" s="5">
        <v>26422</v>
      </c>
      <c r="O648" s="6">
        <v>38.200000000000003</v>
      </c>
      <c r="P648" s="18">
        <v>8</v>
      </c>
      <c r="Q648" s="6">
        <v>38.612499999999997</v>
      </c>
      <c r="R648" s="6">
        <v>56.945</v>
      </c>
      <c r="S648" s="3"/>
      <c r="T648" s="6">
        <v>23.692499999999999</v>
      </c>
      <c r="U648" s="6">
        <v>38.4</v>
      </c>
      <c r="V648" s="6">
        <v>5.2374999999999998</v>
      </c>
      <c r="W648" s="3">
        <v>0.74199999999999999</v>
      </c>
      <c r="X648" s="6"/>
      <c r="Y648" s="6">
        <v>71.5</v>
      </c>
      <c r="Z648" s="3">
        <v>1.80830275</v>
      </c>
      <c r="AB648" s="16"/>
      <c r="AD648" s="16"/>
      <c r="AE648" s="1">
        <v>1</v>
      </c>
    </row>
    <row r="649" spans="1:31" x14ac:dyDescent="0.2">
      <c r="A649" s="1">
        <v>648</v>
      </c>
      <c r="B649" s="1">
        <v>2018</v>
      </c>
      <c r="C649" s="1" t="s">
        <v>88</v>
      </c>
      <c r="D649" s="1" t="s">
        <v>246</v>
      </c>
      <c r="E649" s="1" t="s">
        <v>593</v>
      </c>
      <c r="F649" s="1" t="s">
        <v>32</v>
      </c>
      <c r="H649" s="1" t="s">
        <v>34</v>
      </c>
      <c r="I649" s="12">
        <v>8.6999999999999993</v>
      </c>
      <c r="J649" s="3">
        <v>24.84</v>
      </c>
      <c r="L649" s="5">
        <v>3217.25</v>
      </c>
      <c r="M649" s="1" t="s">
        <v>34</v>
      </c>
      <c r="N649" s="5">
        <v>27977.4</v>
      </c>
      <c r="O649" s="6">
        <v>39.274892092065599</v>
      </c>
      <c r="P649" s="18">
        <v>8.0924999999999994</v>
      </c>
      <c r="Q649" s="6">
        <v>44.66</v>
      </c>
      <c r="R649" s="6">
        <v>37.087499999999999</v>
      </c>
      <c r="S649" s="3">
        <v>17.7925</v>
      </c>
      <c r="U649" s="6">
        <v>22.55</v>
      </c>
      <c r="V649" s="6">
        <v>13.2425</v>
      </c>
      <c r="W649" s="3">
        <v>0.69169999999999998</v>
      </c>
      <c r="X649" s="6"/>
      <c r="Y649" s="6">
        <v>61.202500000000001</v>
      </c>
      <c r="Z649" s="3">
        <v>0.65057144572832304</v>
      </c>
      <c r="AA649" s="5">
        <v>2.5</v>
      </c>
      <c r="AB649" s="16">
        <f>AA649*33.334</f>
        <v>83.335000000000008</v>
      </c>
      <c r="AC649" s="5">
        <v>2.25</v>
      </c>
      <c r="AD649" s="16">
        <f>AC649*33.334</f>
        <v>75.001500000000007</v>
      </c>
      <c r="AE649" s="1">
        <v>1</v>
      </c>
    </row>
    <row r="650" spans="1:31" x14ac:dyDescent="0.2">
      <c r="A650" s="1">
        <v>649</v>
      </c>
      <c r="B650" s="1">
        <v>2012</v>
      </c>
      <c r="C650" s="1" t="s">
        <v>31</v>
      </c>
      <c r="D650" s="1" t="s">
        <v>125</v>
      </c>
      <c r="E650" s="1" t="s">
        <v>324</v>
      </c>
      <c r="F650" s="1" t="s">
        <v>83</v>
      </c>
      <c r="I650" s="12">
        <v>6.17</v>
      </c>
      <c r="J650" s="12">
        <v>17.600000000000001</v>
      </c>
      <c r="L650" s="16">
        <v>3218</v>
      </c>
      <c r="N650" s="16">
        <v>19839</v>
      </c>
      <c r="O650" s="15">
        <v>31.5</v>
      </c>
      <c r="P650" s="15">
        <v>6.99</v>
      </c>
      <c r="Q650" s="15">
        <v>45.6</v>
      </c>
      <c r="R650" s="15">
        <v>55.7</v>
      </c>
      <c r="T650" s="15"/>
      <c r="U650" s="15">
        <v>36.1</v>
      </c>
      <c r="V650" s="15">
        <v>3.1</v>
      </c>
      <c r="W650" s="12">
        <v>0.71</v>
      </c>
      <c r="X650" s="15"/>
      <c r="Y650" s="15"/>
      <c r="Z650" s="12">
        <v>1.57</v>
      </c>
      <c r="AB650" s="16"/>
      <c r="AD650" s="16"/>
      <c r="AE650" s="1">
        <v>1</v>
      </c>
    </row>
    <row r="651" spans="1:31" x14ac:dyDescent="0.2">
      <c r="A651" s="1">
        <v>650</v>
      </c>
      <c r="B651" s="1">
        <v>2012</v>
      </c>
      <c r="C651" s="1" t="s">
        <v>31</v>
      </c>
      <c r="D651" s="1" t="s">
        <v>108</v>
      </c>
      <c r="E651" s="1" t="s">
        <v>311</v>
      </c>
      <c r="F651" s="1" t="s">
        <v>83</v>
      </c>
      <c r="I651" s="12">
        <v>6.25</v>
      </c>
      <c r="J651" s="12">
        <v>17.899999999999999</v>
      </c>
      <c r="L651" s="16">
        <v>3218</v>
      </c>
      <c r="N651" s="16">
        <v>20132</v>
      </c>
      <c r="O651" s="15">
        <v>29.2</v>
      </c>
      <c r="P651" s="15">
        <v>7.62</v>
      </c>
      <c r="Q651" s="15">
        <v>47.9</v>
      </c>
      <c r="R651" s="15">
        <v>57.5</v>
      </c>
      <c r="T651" s="15"/>
      <c r="U651" s="15">
        <v>32.6</v>
      </c>
      <c r="V651" s="15">
        <v>3.6</v>
      </c>
      <c r="W651" s="12">
        <v>0.7</v>
      </c>
      <c r="X651" s="15"/>
      <c r="Y651" s="15"/>
      <c r="Z651" s="12">
        <v>1.72</v>
      </c>
      <c r="AB651" s="16"/>
      <c r="AD651" s="16"/>
      <c r="AE651" s="1">
        <v>1</v>
      </c>
    </row>
    <row r="652" spans="1:31" x14ac:dyDescent="0.2">
      <c r="A652" s="1">
        <v>651</v>
      </c>
      <c r="B652" s="1">
        <v>2016</v>
      </c>
      <c r="C652" s="1" t="s">
        <v>88</v>
      </c>
      <c r="D652" s="8" t="s">
        <v>187</v>
      </c>
      <c r="E652" s="8" t="s">
        <v>570</v>
      </c>
      <c r="F652" s="1" t="s">
        <v>32</v>
      </c>
      <c r="I652" s="12">
        <v>9.75</v>
      </c>
      <c r="J652" s="7">
        <v>27.8571428571429</v>
      </c>
      <c r="L652" s="5">
        <v>3219.25</v>
      </c>
      <c r="N652" s="5">
        <v>31364.424999999999</v>
      </c>
      <c r="O652" s="6">
        <v>29.655000000000001</v>
      </c>
      <c r="P652" s="6">
        <v>6.2374999999999998</v>
      </c>
      <c r="Q652" s="6">
        <v>48.4375</v>
      </c>
      <c r="R652" s="6">
        <v>41.94</v>
      </c>
      <c r="S652" s="6"/>
      <c r="T652" s="6">
        <v>32.725000000000001</v>
      </c>
      <c r="U652" s="6">
        <v>20.607500000000002</v>
      </c>
      <c r="V652" s="6">
        <v>10.7325</v>
      </c>
      <c r="W652" s="7">
        <v>0.66</v>
      </c>
      <c r="X652" s="13"/>
      <c r="Y652" s="6">
        <v>61.414999999999999</v>
      </c>
      <c r="Z652" s="3">
        <v>1.9646968600000001</v>
      </c>
      <c r="AA652" s="13">
        <v>1.75</v>
      </c>
      <c r="AB652" s="16">
        <f>AA652*10</f>
        <v>17.5</v>
      </c>
      <c r="AC652" s="13">
        <v>1.75</v>
      </c>
      <c r="AD652" s="16">
        <f>AC652*10</f>
        <v>17.5</v>
      </c>
      <c r="AE652" s="1">
        <v>1</v>
      </c>
    </row>
    <row r="653" spans="1:31" x14ac:dyDescent="0.2">
      <c r="A653" s="1">
        <v>652</v>
      </c>
      <c r="B653" s="1">
        <v>2010</v>
      </c>
      <c r="C653" s="1" t="s">
        <v>31</v>
      </c>
      <c r="D653" s="8" t="s">
        <v>54</v>
      </c>
      <c r="E653" s="8" t="s">
        <v>165</v>
      </c>
      <c r="F653" s="1" t="s">
        <v>83</v>
      </c>
      <c r="I653" s="12">
        <v>7.07</v>
      </c>
      <c r="J653" s="7">
        <v>20.2</v>
      </c>
      <c r="L653" s="14">
        <v>3220</v>
      </c>
      <c r="N653" s="14">
        <v>22664</v>
      </c>
      <c r="O653" s="13">
        <v>29.7</v>
      </c>
      <c r="P653" s="13">
        <v>8.5</v>
      </c>
      <c r="Q653" s="13">
        <v>43.7</v>
      </c>
      <c r="R653" s="13">
        <v>49.4</v>
      </c>
      <c r="S653" s="13"/>
      <c r="T653" s="15"/>
      <c r="U653" s="13">
        <v>28.8</v>
      </c>
      <c r="V653" s="13">
        <v>11</v>
      </c>
      <c r="W653" s="12"/>
      <c r="X653" s="15"/>
      <c r="Y653" s="13">
        <v>70.599999999999994</v>
      </c>
      <c r="Z653" s="7">
        <v>1.52</v>
      </c>
      <c r="AB653" s="16"/>
      <c r="AD653" s="16"/>
      <c r="AE653" s="1">
        <v>1</v>
      </c>
    </row>
    <row r="654" spans="1:31" x14ac:dyDescent="0.2">
      <c r="A654" s="1">
        <v>653</v>
      </c>
      <c r="B654" s="1">
        <v>2018</v>
      </c>
      <c r="C654" s="1" t="s">
        <v>88</v>
      </c>
      <c r="D654" s="28" t="s">
        <v>914</v>
      </c>
      <c r="E654" s="1" t="s">
        <v>687</v>
      </c>
      <c r="F654" s="1" t="s">
        <v>32</v>
      </c>
      <c r="I654" s="12">
        <v>5.5988404917650403</v>
      </c>
      <c r="J654" s="12">
        <v>15.996687119328699</v>
      </c>
      <c r="L654" s="16">
        <v>3220.5</v>
      </c>
      <c r="N654" s="16">
        <v>18088.102130462499</v>
      </c>
      <c r="O654" s="15">
        <v>38.7086905207344</v>
      </c>
      <c r="P654" s="15">
        <v>10.067500000000001</v>
      </c>
      <c r="Q654" s="15">
        <v>47.284999999999997</v>
      </c>
      <c r="R654" s="15">
        <v>45.94</v>
      </c>
      <c r="S654" s="12">
        <v>16.1325</v>
      </c>
      <c r="U654" s="15">
        <v>20.27</v>
      </c>
      <c r="V654" s="15">
        <v>7.1400000000000006</v>
      </c>
      <c r="W654" s="12">
        <v>0.67235</v>
      </c>
      <c r="X654" s="15"/>
      <c r="Y654" s="15">
        <v>62.29</v>
      </c>
      <c r="Z654" s="12">
        <v>0.54305454157726696</v>
      </c>
      <c r="AA654" s="16">
        <v>1.75</v>
      </c>
      <c r="AB654" s="16">
        <f>AA654*33.334</f>
        <v>58.334500000000006</v>
      </c>
      <c r="AC654" s="16">
        <v>1</v>
      </c>
      <c r="AD654" s="16">
        <f>AC654*33.334</f>
        <v>33.334000000000003</v>
      </c>
      <c r="AE654" s="1">
        <v>1</v>
      </c>
    </row>
    <row r="655" spans="1:31" x14ac:dyDescent="0.2">
      <c r="A655" s="1">
        <v>654</v>
      </c>
      <c r="B655" s="1">
        <v>2013</v>
      </c>
      <c r="C655" s="1" t="s">
        <v>31</v>
      </c>
      <c r="D655" s="28" t="s">
        <v>914</v>
      </c>
      <c r="E655" s="8" t="s">
        <v>364</v>
      </c>
      <c r="F655" s="1" t="s">
        <v>32</v>
      </c>
      <c r="G655" s="8">
        <v>115</v>
      </c>
      <c r="H655" s="8"/>
      <c r="I655" s="12">
        <v>8.5</v>
      </c>
      <c r="J655" s="7">
        <v>24.285714285714299</v>
      </c>
      <c r="K655" s="13"/>
      <c r="L655" s="14">
        <v>3221</v>
      </c>
      <c r="M655" s="14"/>
      <c r="N655" s="14">
        <v>27404</v>
      </c>
      <c r="O655" s="13">
        <v>30.3</v>
      </c>
      <c r="P655" s="13">
        <v>8.3000000000000007</v>
      </c>
      <c r="Q655" s="13">
        <v>43.4</v>
      </c>
      <c r="R655" s="13">
        <v>52.6</v>
      </c>
      <c r="S655" s="13" t="s">
        <v>89</v>
      </c>
      <c r="T655" s="13"/>
      <c r="U655" s="13">
        <v>28.7</v>
      </c>
      <c r="V655" s="13">
        <v>5.9</v>
      </c>
      <c r="W655" s="7">
        <v>0.71</v>
      </c>
      <c r="X655" s="15" t="s">
        <v>89</v>
      </c>
      <c r="Y655" s="15" t="s">
        <v>89</v>
      </c>
      <c r="Z655" s="7">
        <v>1.94</v>
      </c>
      <c r="AB655" s="16"/>
      <c r="AD655" s="16"/>
      <c r="AE655" s="1">
        <v>1</v>
      </c>
    </row>
    <row r="656" spans="1:31" x14ac:dyDescent="0.2">
      <c r="A656" s="1">
        <v>655</v>
      </c>
      <c r="B656" s="1">
        <v>2012</v>
      </c>
      <c r="C656" s="1" t="s">
        <v>31</v>
      </c>
      <c r="D656" s="1" t="s">
        <v>37</v>
      </c>
      <c r="E656" s="1" t="s">
        <v>84</v>
      </c>
      <c r="F656" s="1" t="s">
        <v>83</v>
      </c>
      <c r="H656" s="1" t="s">
        <v>34</v>
      </c>
      <c r="I656" s="12">
        <v>6.92</v>
      </c>
      <c r="J656" s="12">
        <v>19.8</v>
      </c>
      <c r="L656" s="16">
        <v>3222</v>
      </c>
      <c r="M656" s="1" t="s">
        <v>34</v>
      </c>
      <c r="N656" s="16">
        <v>22264</v>
      </c>
      <c r="O656" s="15">
        <v>30.1</v>
      </c>
      <c r="P656" s="15">
        <v>8.26</v>
      </c>
      <c r="Q656" s="15">
        <v>46.6</v>
      </c>
      <c r="R656" s="15">
        <v>55.9</v>
      </c>
      <c r="T656" s="15"/>
      <c r="U656" s="15">
        <v>28.9</v>
      </c>
      <c r="V656" s="15">
        <v>5.5</v>
      </c>
      <c r="W656" s="12">
        <v>0.7</v>
      </c>
      <c r="X656" s="15"/>
      <c r="Y656" s="15"/>
      <c r="Z656" s="12">
        <v>1.8</v>
      </c>
      <c r="AB656" s="16"/>
      <c r="AD656" s="16"/>
      <c r="AE656" s="1">
        <v>1</v>
      </c>
    </row>
    <row r="657" spans="1:31" x14ac:dyDescent="0.2">
      <c r="A657" s="1">
        <v>656</v>
      </c>
      <c r="B657" s="1">
        <v>2014</v>
      </c>
      <c r="C657" s="1" t="s">
        <v>31</v>
      </c>
      <c r="D657" s="1" t="s">
        <v>108</v>
      </c>
      <c r="E657" s="1" t="s">
        <v>433</v>
      </c>
      <c r="F657" s="1" t="s">
        <v>83</v>
      </c>
      <c r="G657" s="1">
        <v>118</v>
      </c>
      <c r="H657" s="1" t="s">
        <v>34</v>
      </c>
      <c r="I657" s="12">
        <v>6.26</v>
      </c>
      <c r="J657" s="12">
        <v>17.899999999999999</v>
      </c>
      <c r="K657" s="1" t="s">
        <v>34</v>
      </c>
      <c r="L657" s="16">
        <v>3223</v>
      </c>
      <c r="M657" s="1" t="s">
        <v>34</v>
      </c>
      <c r="N657" s="16">
        <v>20191</v>
      </c>
      <c r="O657" s="15">
        <v>32.9</v>
      </c>
      <c r="P657" s="15">
        <v>6.89</v>
      </c>
      <c r="Q657" s="15">
        <v>46.1</v>
      </c>
      <c r="R657" s="15">
        <v>56.9</v>
      </c>
      <c r="T657" s="15"/>
      <c r="U657" s="15">
        <v>26.2</v>
      </c>
      <c r="V657" s="15">
        <v>6.2</v>
      </c>
      <c r="W657" s="12">
        <v>0.71</v>
      </c>
      <c r="X657" s="15"/>
      <c r="Y657" s="15">
        <v>68.3</v>
      </c>
      <c r="Z657" s="12">
        <v>1.64</v>
      </c>
      <c r="AA657" s="1">
        <v>3</v>
      </c>
      <c r="AB657" s="16">
        <f>AA657*10</f>
        <v>30</v>
      </c>
      <c r="AD657" s="16"/>
      <c r="AE657" s="1">
        <v>1</v>
      </c>
    </row>
    <row r="658" spans="1:31" x14ac:dyDescent="0.2">
      <c r="A658" s="1">
        <v>657</v>
      </c>
      <c r="B658" s="1">
        <v>2021</v>
      </c>
      <c r="C658" s="1" t="s">
        <v>31</v>
      </c>
      <c r="D658" s="1" t="s">
        <v>916</v>
      </c>
      <c r="E658" s="1" t="s">
        <v>799</v>
      </c>
      <c r="F658" s="1" t="s">
        <v>32</v>
      </c>
      <c r="G658" s="1">
        <v>118</v>
      </c>
      <c r="H658" s="1" t="s">
        <v>89</v>
      </c>
      <c r="I658" s="12">
        <v>8.0552326846739994</v>
      </c>
      <c r="J658" s="12">
        <v>23.014950528</v>
      </c>
      <c r="K658" s="1" t="s">
        <v>89</v>
      </c>
      <c r="L658" s="16">
        <v>3225.5548696840001</v>
      </c>
      <c r="M658" s="16" t="s">
        <v>89</v>
      </c>
      <c r="N658" s="16">
        <v>25985.428610498999</v>
      </c>
      <c r="O658" s="15">
        <v>41.1288549</v>
      </c>
      <c r="P658" s="15">
        <v>7.9881903569999997</v>
      </c>
      <c r="Q658" s="15">
        <v>38.966565430999999</v>
      </c>
      <c r="R658" s="15">
        <v>55.559465236000001</v>
      </c>
      <c r="T658" s="15">
        <v>23.121316921999998</v>
      </c>
      <c r="U658" s="15">
        <v>40.850097249000001</v>
      </c>
      <c r="V658" s="15">
        <v>6.0705871580000004</v>
      </c>
      <c r="W658" s="12">
        <v>0.69002313038999996</v>
      </c>
      <c r="X658" s="15"/>
      <c r="Y658" s="15">
        <v>70.416876243000004</v>
      </c>
      <c r="Z658" s="12"/>
      <c r="AA658" s="15">
        <v>2.2721874359999998</v>
      </c>
      <c r="AB658" s="16">
        <f>AA658*33.334</f>
        <v>75.741095991624007</v>
      </c>
      <c r="AD658" s="16"/>
      <c r="AE658" s="1">
        <v>1</v>
      </c>
    </row>
    <row r="659" spans="1:31" x14ac:dyDescent="0.2">
      <c r="A659" s="1">
        <v>658</v>
      </c>
      <c r="B659" s="1">
        <v>2012</v>
      </c>
      <c r="C659" s="1" t="s">
        <v>31</v>
      </c>
      <c r="D659" s="1" t="s">
        <v>291</v>
      </c>
      <c r="E659" s="1" t="s">
        <v>326</v>
      </c>
      <c r="F659" s="1" t="s">
        <v>83</v>
      </c>
      <c r="I659" s="12">
        <v>5.8</v>
      </c>
      <c r="J659" s="12">
        <v>16.600000000000001</v>
      </c>
      <c r="L659" s="16">
        <v>3227</v>
      </c>
      <c r="N659" s="16">
        <v>18729</v>
      </c>
      <c r="O659" s="15">
        <v>28.9</v>
      </c>
      <c r="P659" s="15">
        <v>8.0299999999999994</v>
      </c>
      <c r="Q659" s="15">
        <v>47.2</v>
      </c>
      <c r="R659" s="15">
        <v>57</v>
      </c>
      <c r="T659" s="15"/>
      <c r="U659" s="15">
        <v>31</v>
      </c>
      <c r="V659" s="15">
        <v>4.2</v>
      </c>
      <c r="W659" s="12">
        <v>0.7</v>
      </c>
      <c r="X659" s="15"/>
      <c r="Y659" s="15"/>
      <c r="Z659" s="12">
        <v>1.56</v>
      </c>
      <c r="AB659" s="16"/>
      <c r="AD659" s="16"/>
      <c r="AE659" s="1">
        <v>1</v>
      </c>
    </row>
    <row r="660" spans="1:31" x14ac:dyDescent="0.2">
      <c r="A660" s="1">
        <v>659</v>
      </c>
      <c r="B660" s="1">
        <v>2012</v>
      </c>
      <c r="C660" s="1" t="s">
        <v>31</v>
      </c>
      <c r="D660" s="19" t="s">
        <v>861</v>
      </c>
      <c r="E660" s="1" t="s">
        <v>330</v>
      </c>
      <c r="F660" s="1" t="s">
        <v>83</v>
      </c>
      <c r="I660" s="12">
        <v>6.13</v>
      </c>
      <c r="J660" s="12">
        <v>17.5</v>
      </c>
      <c r="L660" s="16">
        <v>3228</v>
      </c>
      <c r="N660" s="16">
        <v>19798</v>
      </c>
      <c r="O660" s="15">
        <v>33.200000000000003</v>
      </c>
      <c r="P660" s="15">
        <v>6.86</v>
      </c>
      <c r="Q660" s="15">
        <v>46.7</v>
      </c>
      <c r="R660" s="15">
        <v>57.8</v>
      </c>
      <c r="T660" s="15"/>
      <c r="U660" s="15">
        <v>35</v>
      </c>
      <c r="V660" s="15">
        <v>2.9</v>
      </c>
      <c r="W660" s="12">
        <v>0.72</v>
      </c>
      <c r="X660" s="15"/>
      <c r="Y660" s="15"/>
      <c r="Z660" s="12">
        <v>1.66</v>
      </c>
      <c r="AB660" s="16"/>
      <c r="AD660" s="16"/>
      <c r="AE660" s="1">
        <v>1</v>
      </c>
    </row>
    <row r="661" spans="1:31" x14ac:dyDescent="0.2">
      <c r="A661" s="1">
        <v>660</v>
      </c>
      <c r="B661" s="1">
        <v>2013</v>
      </c>
      <c r="C661" s="1" t="s">
        <v>31</v>
      </c>
      <c r="D661" s="8" t="s">
        <v>71</v>
      </c>
      <c r="E661" s="8" t="s">
        <v>385</v>
      </c>
      <c r="F661" s="1" t="s">
        <v>32</v>
      </c>
      <c r="G661" s="8">
        <v>117</v>
      </c>
      <c r="H661" s="8"/>
      <c r="I661" s="12">
        <v>8.66</v>
      </c>
      <c r="J661" s="7">
        <v>24.742857142857101</v>
      </c>
      <c r="K661" s="13"/>
      <c r="L661" s="14">
        <v>3232</v>
      </c>
      <c r="M661" s="8"/>
      <c r="N661" s="14">
        <v>28005</v>
      </c>
      <c r="O661" s="13">
        <v>30.7</v>
      </c>
      <c r="P661" s="13">
        <v>6.9</v>
      </c>
      <c r="Q661" s="13">
        <v>46</v>
      </c>
      <c r="R661" s="13">
        <v>52.3</v>
      </c>
      <c r="S661" s="13"/>
      <c r="T661" s="13"/>
      <c r="U661" s="13">
        <v>29.3</v>
      </c>
      <c r="V661" s="13">
        <v>4.4000000000000004</v>
      </c>
      <c r="W661" s="7">
        <v>0.71</v>
      </c>
      <c r="X661" s="15"/>
      <c r="Y661" s="15"/>
      <c r="Z661" s="7">
        <v>2.09</v>
      </c>
      <c r="AB661" s="16"/>
      <c r="AD661" s="16"/>
      <c r="AE661" s="1">
        <v>1</v>
      </c>
    </row>
    <row r="662" spans="1:31" x14ac:dyDescent="0.2">
      <c r="A662" s="1">
        <v>661</v>
      </c>
      <c r="B662" s="1">
        <v>2021</v>
      </c>
      <c r="C662" s="1" t="s">
        <v>31</v>
      </c>
      <c r="D662" s="1" t="s">
        <v>108</v>
      </c>
      <c r="E662" s="1" t="s">
        <v>820</v>
      </c>
      <c r="F662" s="1" t="s">
        <v>83</v>
      </c>
      <c r="G662" s="1">
        <v>116</v>
      </c>
      <c r="I662" s="12">
        <v>4.8827496356450002</v>
      </c>
      <c r="J662" s="12">
        <v>13.950713244999999</v>
      </c>
      <c r="L662" s="16">
        <v>3232.9342299999998</v>
      </c>
      <c r="N662" s="16">
        <v>15852.146967262001</v>
      </c>
      <c r="O662" s="15">
        <v>42.3943631</v>
      </c>
      <c r="P662" s="15">
        <v>8.0044880200000001</v>
      </c>
      <c r="Q662" s="15">
        <v>23.897500000000001</v>
      </c>
      <c r="R662" s="15">
        <v>41.674999999999997</v>
      </c>
      <c r="U662" s="15">
        <v>37.68</v>
      </c>
      <c r="V662" s="15">
        <v>6.9124999999999996</v>
      </c>
      <c r="W662" s="12">
        <v>0.68922179457999999</v>
      </c>
      <c r="X662" s="15"/>
      <c r="Y662" s="15">
        <v>70.772920095000003</v>
      </c>
      <c r="Z662" s="12"/>
      <c r="AA662" s="15">
        <v>2.125</v>
      </c>
      <c r="AB662" s="16">
        <f>AA662*33.334</f>
        <v>70.834750000000014</v>
      </c>
      <c r="AD662" s="16"/>
      <c r="AE662" s="1">
        <v>1</v>
      </c>
    </row>
    <row r="663" spans="1:31" x14ac:dyDescent="0.2">
      <c r="A663" s="1">
        <v>662</v>
      </c>
      <c r="B663" s="1">
        <v>2019</v>
      </c>
      <c r="C663" s="1" t="s">
        <v>88</v>
      </c>
      <c r="D663" s="8" t="s">
        <v>731</v>
      </c>
      <c r="E663" s="8">
        <v>18116</v>
      </c>
      <c r="F663" s="1" t="s">
        <v>32</v>
      </c>
      <c r="I663" s="12">
        <v>6.0724999999999998</v>
      </c>
      <c r="J663" s="3">
        <v>17.350000000000001</v>
      </c>
      <c r="L663" s="5">
        <v>3233.25</v>
      </c>
      <c r="N663" s="5">
        <v>19648.25</v>
      </c>
      <c r="O663" s="6">
        <v>36.335000000000001</v>
      </c>
      <c r="P663" s="6">
        <v>6.4725000000000001</v>
      </c>
      <c r="Q663" s="6">
        <v>42.615000000000002</v>
      </c>
      <c r="R663" s="6">
        <v>34.405000000000001</v>
      </c>
      <c r="S663" s="3"/>
      <c r="T663" s="6">
        <v>30.565000000000001</v>
      </c>
      <c r="U663" s="6">
        <v>24.875</v>
      </c>
      <c r="V663" s="6">
        <v>9.5175000000000001</v>
      </c>
      <c r="W663" s="3">
        <v>0.71572500000000006</v>
      </c>
      <c r="X663" s="6"/>
      <c r="Y663" s="6">
        <v>61.26</v>
      </c>
      <c r="Z663" s="3">
        <v>0.88500000000000001</v>
      </c>
      <c r="AB663" s="16"/>
      <c r="AC663" s="6">
        <v>4.3</v>
      </c>
      <c r="AD663" s="16">
        <f>AC663*10</f>
        <v>43</v>
      </c>
      <c r="AE663" s="1">
        <v>1</v>
      </c>
    </row>
    <row r="664" spans="1:31" x14ac:dyDescent="0.2">
      <c r="A664" s="1">
        <v>663</v>
      </c>
      <c r="B664" s="1">
        <v>2020</v>
      </c>
      <c r="C664" s="1" t="s">
        <v>31</v>
      </c>
      <c r="D664" s="1" t="s">
        <v>916</v>
      </c>
      <c r="E664" s="1" t="s">
        <v>759</v>
      </c>
      <c r="F664" s="1" t="s">
        <v>32</v>
      </c>
      <c r="H664" s="1" t="s">
        <v>754</v>
      </c>
      <c r="I664" s="12">
        <v>8.0989056395509991</v>
      </c>
      <c r="J664" s="12">
        <v>23.134372747</v>
      </c>
      <c r="K664" s="1" t="s">
        <v>754</v>
      </c>
      <c r="L664" s="16">
        <v>3233.8782520139998</v>
      </c>
      <c r="M664" s="16" t="s">
        <v>754</v>
      </c>
      <c r="N664" s="16">
        <v>26191.77980158</v>
      </c>
      <c r="O664" s="10">
        <v>44.278930299999999</v>
      </c>
      <c r="P664" s="15">
        <v>7.41</v>
      </c>
      <c r="Q664" s="15">
        <v>50.445</v>
      </c>
      <c r="R664" s="15">
        <v>50.141729623000003</v>
      </c>
      <c r="S664" s="15"/>
      <c r="T664" s="15">
        <v>28.425000000000001</v>
      </c>
      <c r="U664" s="15">
        <v>24.6325</v>
      </c>
      <c r="V664" s="15">
        <v>5.3507303999999998</v>
      </c>
      <c r="W664" s="12">
        <v>0.68134804400000004</v>
      </c>
      <c r="X664" s="15"/>
      <c r="Y664" s="15">
        <v>72.383040143000002</v>
      </c>
      <c r="Z664" s="12"/>
      <c r="AA664" s="15">
        <v>2.125</v>
      </c>
      <c r="AB664" s="16">
        <f>AA664*33.334</f>
        <v>70.834750000000014</v>
      </c>
      <c r="AD664" s="16"/>
      <c r="AE664" s="1">
        <v>1</v>
      </c>
    </row>
    <row r="665" spans="1:31" x14ac:dyDescent="0.2">
      <c r="A665" s="1">
        <v>664</v>
      </c>
      <c r="B665" s="1">
        <v>2014</v>
      </c>
      <c r="C665" s="1" t="s">
        <v>31</v>
      </c>
      <c r="D665" s="1" t="s">
        <v>108</v>
      </c>
      <c r="E665" s="1" t="s">
        <v>368</v>
      </c>
      <c r="F665" s="1" t="s">
        <v>83</v>
      </c>
      <c r="G665" s="1">
        <v>111</v>
      </c>
      <c r="H665" s="1" t="s">
        <v>34</v>
      </c>
      <c r="I665" s="12">
        <v>5.81</v>
      </c>
      <c r="J665" s="12">
        <v>16.600000000000001</v>
      </c>
      <c r="K665" s="1" t="s">
        <v>34</v>
      </c>
      <c r="L665" s="16">
        <v>3234</v>
      </c>
      <c r="M665" s="1" t="s">
        <v>34</v>
      </c>
      <c r="N665" s="16">
        <v>18808</v>
      </c>
      <c r="O665" s="15">
        <v>36.299999999999997</v>
      </c>
      <c r="P665" s="15">
        <v>7.45</v>
      </c>
      <c r="Q665" s="15">
        <v>45.2</v>
      </c>
      <c r="R665" s="15">
        <v>61.1</v>
      </c>
      <c r="T665" s="15"/>
      <c r="U665" s="15">
        <v>27.7</v>
      </c>
      <c r="V665" s="15">
        <v>5.5</v>
      </c>
      <c r="W665" s="12">
        <v>0.71</v>
      </c>
      <c r="X665" s="15"/>
      <c r="Y665" s="15">
        <v>68.5</v>
      </c>
      <c r="Z665" s="12">
        <v>1.6</v>
      </c>
      <c r="AA665" s="1">
        <v>6</v>
      </c>
      <c r="AB665" s="16">
        <f>AA665*10</f>
        <v>60</v>
      </c>
      <c r="AD665" s="16"/>
      <c r="AE665" s="1">
        <v>1</v>
      </c>
    </row>
    <row r="666" spans="1:31" x14ac:dyDescent="0.2">
      <c r="A666" s="1">
        <v>665</v>
      </c>
      <c r="B666" s="1">
        <v>2013</v>
      </c>
      <c r="C666" s="1" t="s">
        <v>31</v>
      </c>
      <c r="D666" s="22" t="s">
        <v>917</v>
      </c>
      <c r="E666" s="8" t="s">
        <v>378</v>
      </c>
      <c r="F666" s="1" t="s">
        <v>32</v>
      </c>
      <c r="G666" s="8">
        <v>116</v>
      </c>
      <c r="H666" s="8"/>
      <c r="I666" s="12">
        <v>8.49</v>
      </c>
      <c r="J666" s="7">
        <v>24.257142857142899</v>
      </c>
      <c r="K666" s="13"/>
      <c r="L666" s="14">
        <v>3234</v>
      </c>
      <c r="M666" s="14"/>
      <c r="N666" s="14">
        <v>27466</v>
      </c>
      <c r="O666" s="13">
        <v>30</v>
      </c>
      <c r="P666" s="13">
        <v>7.9</v>
      </c>
      <c r="Q666" s="13">
        <v>43.2</v>
      </c>
      <c r="R666" s="13">
        <v>52</v>
      </c>
      <c r="S666" s="13"/>
      <c r="T666" s="13"/>
      <c r="U666" s="13">
        <v>30.6</v>
      </c>
      <c r="V666" s="13">
        <v>4.2</v>
      </c>
      <c r="W666" s="7">
        <v>0.71</v>
      </c>
      <c r="X666" s="15"/>
      <c r="Y666" s="15"/>
      <c r="Z666" s="7">
        <v>1.91</v>
      </c>
      <c r="AB666" s="16"/>
      <c r="AD666" s="16"/>
      <c r="AE666" s="1">
        <v>1</v>
      </c>
    </row>
    <row r="667" spans="1:31" x14ac:dyDescent="0.2">
      <c r="A667" s="1">
        <v>666</v>
      </c>
      <c r="B667" s="1">
        <v>2015</v>
      </c>
      <c r="C667" s="8" t="s">
        <v>88</v>
      </c>
      <c r="D667" s="8" t="s">
        <v>1023</v>
      </c>
      <c r="E667" s="8" t="s">
        <v>336</v>
      </c>
      <c r="F667" s="1" t="s">
        <v>32</v>
      </c>
      <c r="I667" s="12">
        <v>5.9</v>
      </c>
      <c r="J667" s="7">
        <v>16.857142857142858</v>
      </c>
      <c r="L667" s="14">
        <v>3237</v>
      </c>
      <c r="N667" s="14">
        <v>19182</v>
      </c>
      <c r="O667" s="13">
        <v>30.1</v>
      </c>
      <c r="P667" s="13">
        <v>10</v>
      </c>
      <c r="Q667" s="13">
        <v>50.6</v>
      </c>
      <c r="R667" s="13">
        <v>52</v>
      </c>
      <c r="S667" s="8"/>
      <c r="T667" s="15" t="s">
        <v>89</v>
      </c>
      <c r="U667" s="13">
        <v>21.9</v>
      </c>
      <c r="V667" s="13">
        <v>5.2</v>
      </c>
      <c r="W667" s="7">
        <v>0.65</v>
      </c>
      <c r="X667" s="13"/>
      <c r="Y667" s="13">
        <v>63.2</v>
      </c>
      <c r="Z667" s="7">
        <v>1.56</v>
      </c>
      <c r="AA667" s="13">
        <v>1</v>
      </c>
      <c r="AB667" s="16">
        <f>AA667*10</f>
        <v>10</v>
      </c>
      <c r="AC667" s="13">
        <v>1</v>
      </c>
      <c r="AD667" s="16">
        <f>AC667*10</f>
        <v>10</v>
      </c>
      <c r="AE667" s="1">
        <v>1</v>
      </c>
    </row>
    <row r="668" spans="1:31" x14ac:dyDescent="0.2">
      <c r="A668" s="1">
        <v>667</v>
      </c>
      <c r="B668" s="1">
        <v>2012</v>
      </c>
      <c r="C668" s="1" t="s">
        <v>31</v>
      </c>
      <c r="D668" s="1" t="s">
        <v>916</v>
      </c>
      <c r="E668" s="1" t="s">
        <v>166</v>
      </c>
      <c r="F668" s="1" t="s">
        <v>83</v>
      </c>
      <c r="H668" s="1" t="s">
        <v>34</v>
      </c>
      <c r="I668" s="12">
        <v>6.62</v>
      </c>
      <c r="J668" s="12">
        <v>18.899999999999999</v>
      </c>
      <c r="L668" s="16">
        <v>3237</v>
      </c>
      <c r="M668" s="1" t="s">
        <v>34</v>
      </c>
      <c r="N668" s="16">
        <v>21387</v>
      </c>
      <c r="O668" s="15">
        <v>34.200000000000003</v>
      </c>
      <c r="P668" s="15">
        <v>6.45</v>
      </c>
      <c r="Q668" s="15">
        <v>46.1</v>
      </c>
      <c r="R668" s="15">
        <v>55.4</v>
      </c>
      <c r="T668" s="15"/>
      <c r="U668" s="15">
        <v>35.799999999999997</v>
      </c>
      <c r="V668" s="15">
        <v>3.2</v>
      </c>
      <c r="W668" s="12">
        <v>0.73</v>
      </c>
      <c r="X668" s="15"/>
      <c r="Y668" s="15"/>
      <c r="Z668" s="12">
        <v>1.69</v>
      </c>
      <c r="AB668" s="16"/>
      <c r="AD668" s="16"/>
      <c r="AE668" s="1">
        <v>1</v>
      </c>
    </row>
    <row r="669" spans="1:31" x14ac:dyDescent="0.2">
      <c r="A669" s="1">
        <v>668</v>
      </c>
      <c r="B669" s="1">
        <v>2018</v>
      </c>
      <c r="C669" s="1" t="s">
        <v>31</v>
      </c>
      <c r="D669" s="1" t="s">
        <v>125</v>
      </c>
      <c r="E669" s="1" t="s">
        <v>664</v>
      </c>
      <c r="F669" s="1" t="s">
        <v>32</v>
      </c>
      <c r="G669" s="1">
        <v>115</v>
      </c>
      <c r="I669" s="12">
        <v>7.4</v>
      </c>
      <c r="J669" s="3">
        <v>21.177454600000001</v>
      </c>
      <c r="L669" s="5">
        <v>3237.5</v>
      </c>
      <c r="N669" s="5">
        <v>24007.441699999999</v>
      </c>
      <c r="O669" s="6">
        <v>37.9</v>
      </c>
      <c r="P669" s="18">
        <v>7.94</v>
      </c>
      <c r="Q669" s="6">
        <v>39.487499999999997</v>
      </c>
      <c r="R669" s="6">
        <v>58.3</v>
      </c>
      <c r="S669" s="3"/>
      <c r="T669" s="6">
        <v>23.932500000000001</v>
      </c>
      <c r="U669" s="6">
        <v>38</v>
      </c>
      <c r="V669" s="6">
        <v>4.6825000000000001</v>
      </c>
      <c r="W669" s="3">
        <v>0.74</v>
      </c>
      <c r="X669" s="6"/>
      <c r="Y669" s="6">
        <v>71.3</v>
      </c>
      <c r="Z669" s="3">
        <v>1.6932556299999999</v>
      </c>
      <c r="AB669" s="16"/>
      <c r="AD669" s="16"/>
      <c r="AE669" s="1">
        <v>1</v>
      </c>
    </row>
    <row r="670" spans="1:31" x14ac:dyDescent="0.2">
      <c r="A670" s="1">
        <v>669</v>
      </c>
      <c r="B670" s="1">
        <v>2020</v>
      </c>
      <c r="C670" s="1" t="s">
        <v>88</v>
      </c>
      <c r="D670" s="1" t="s">
        <v>246</v>
      </c>
      <c r="E670" s="1" t="s">
        <v>795</v>
      </c>
      <c r="F670" s="1" t="s">
        <v>83</v>
      </c>
      <c r="I670" s="12">
        <v>3.9117530046430002</v>
      </c>
      <c r="J670" s="12">
        <v>11.176437156</v>
      </c>
      <c r="K670" s="1" t="s">
        <v>34</v>
      </c>
      <c r="L670" s="16">
        <v>3238.041633027</v>
      </c>
      <c r="N670" s="16">
        <v>12699.913564557</v>
      </c>
      <c r="O670" s="10">
        <v>26.297299899999999</v>
      </c>
      <c r="P670" s="15">
        <v>8.9075000000000006</v>
      </c>
      <c r="Q670" s="15">
        <v>58.454999999999998</v>
      </c>
      <c r="R670" s="15">
        <v>22.1875</v>
      </c>
      <c r="S670" s="15"/>
      <c r="T670" s="15">
        <v>32.9925</v>
      </c>
      <c r="U670" s="15">
        <v>13.487500000000001</v>
      </c>
      <c r="V670" s="15">
        <v>6.5324999999999998</v>
      </c>
      <c r="W670" s="12">
        <v>0.67719359300000004</v>
      </c>
      <c r="X670" s="15"/>
      <c r="Y670" s="15">
        <v>74.021036479000003</v>
      </c>
      <c r="Z670" s="12"/>
      <c r="AA670" s="15">
        <v>1.375</v>
      </c>
      <c r="AB670" s="16">
        <f>AA670*33.334</f>
        <v>45.834250000000004</v>
      </c>
      <c r="AC670" s="1">
        <v>0</v>
      </c>
      <c r="AD670" s="16">
        <f>AC670*33.334</f>
        <v>0</v>
      </c>
      <c r="AE670" s="1">
        <v>1</v>
      </c>
    </row>
    <row r="671" spans="1:31" x14ac:dyDescent="0.2">
      <c r="A671" s="1">
        <v>670</v>
      </c>
      <c r="B671" s="1">
        <v>2011</v>
      </c>
      <c r="C671" s="1" t="s">
        <v>31</v>
      </c>
      <c r="D671" s="8" t="s">
        <v>874</v>
      </c>
      <c r="E671" s="1">
        <v>9150</v>
      </c>
      <c r="F671" s="1" t="s">
        <v>83</v>
      </c>
      <c r="H671" s="1" t="s">
        <v>34</v>
      </c>
      <c r="I671" s="12">
        <v>7.42</v>
      </c>
      <c r="J671" s="12">
        <v>21.2</v>
      </c>
      <c r="L671" s="16">
        <v>3240</v>
      </c>
      <c r="N671" s="16">
        <v>24128</v>
      </c>
      <c r="O671" s="15">
        <v>32.799999999999997</v>
      </c>
      <c r="P671" s="15">
        <v>7.4</v>
      </c>
      <c r="Q671" s="15">
        <v>46.9</v>
      </c>
      <c r="R671" s="15">
        <v>56.7</v>
      </c>
      <c r="T671" s="15"/>
      <c r="U671" s="15">
        <v>27.4</v>
      </c>
      <c r="V671" s="15">
        <v>7.1</v>
      </c>
      <c r="W671" s="12"/>
      <c r="X671" s="15"/>
      <c r="Y671" s="15">
        <v>68.2</v>
      </c>
      <c r="Z671" s="12">
        <v>2.0099999999999998</v>
      </c>
      <c r="AB671" s="16"/>
      <c r="AD671" s="16"/>
      <c r="AE671" s="1">
        <v>1</v>
      </c>
    </row>
    <row r="672" spans="1:31" ht="17" x14ac:dyDescent="0.2">
      <c r="A672" s="1">
        <v>671</v>
      </c>
      <c r="B672" s="1">
        <v>2019</v>
      </c>
      <c r="C672" s="1" t="s">
        <v>88</v>
      </c>
      <c r="D672" s="28" t="s">
        <v>914</v>
      </c>
      <c r="E672" s="8" t="s">
        <v>736</v>
      </c>
      <c r="F672" s="1" t="s">
        <v>32</v>
      </c>
      <c r="I672" s="12">
        <v>7.5475000000000003</v>
      </c>
      <c r="J672" s="3">
        <v>21.5625</v>
      </c>
      <c r="L672" s="5">
        <v>3241.25</v>
      </c>
      <c r="M672" s="6" t="s">
        <v>34</v>
      </c>
      <c r="N672" s="5">
        <v>24476.3</v>
      </c>
      <c r="O672" s="6">
        <v>33.755000000000003</v>
      </c>
      <c r="P672" s="6">
        <v>8</v>
      </c>
      <c r="Q672" s="6">
        <v>45.5625</v>
      </c>
      <c r="R672" s="6">
        <v>44.6</v>
      </c>
      <c r="S672" s="3"/>
      <c r="T672" s="6">
        <v>30.07</v>
      </c>
      <c r="U672" s="6">
        <v>17.237500000000001</v>
      </c>
      <c r="V672" s="6">
        <v>13.5625</v>
      </c>
      <c r="W672" s="3">
        <v>0.71045000000000003</v>
      </c>
      <c r="X672" s="6"/>
      <c r="Y672" s="6">
        <v>62.4</v>
      </c>
      <c r="Z672" s="3">
        <v>1.5275000000000001</v>
      </c>
      <c r="AB672" s="16"/>
      <c r="AC672" s="6">
        <v>0</v>
      </c>
      <c r="AD672" s="16">
        <f>AC672*10</f>
        <v>0</v>
      </c>
      <c r="AE672" s="1">
        <v>1</v>
      </c>
    </row>
    <row r="673" spans="1:31" x14ac:dyDescent="0.2">
      <c r="A673" s="1">
        <v>672</v>
      </c>
      <c r="B673" s="1">
        <v>2008</v>
      </c>
      <c r="C673" s="1" t="s">
        <v>31</v>
      </c>
      <c r="D673" s="8" t="s">
        <v>78</v>
      </c>
      <c r="E673" s="8" t="s">
        <v>80</v>
      </c>
      <c r="F673" s="8" t="s">
        <v>83</v>
      </c>
      <c r="G673" s="8"/>
      <c r="H673" s="8"/>
      <c r="I673" s="12">
        <v>4.4400000000000004</v>
      </c>
      <c r="J673" s="7">
        <v>12.685714285714287</v>
      </c>
      <c r="K673" s="13"/>
      <c r="L673" s="14">
        <v>3243</v>
      </c>
      <c r="M673" s="14"/>
      <c r="N673" s="14">
        <v>14413</v>
      </c>
      <c r="O673" s="13">
        <v>28.6</v>
      </c>
      <c r="P673" s="13">
        <v>10.5</v>
      </c>
      <c r="Q673" s="13">
        <v>39</v>
      </c>
      <c r="R673" s="13">
        <v>47.4</v>
      </c>
      <c r="S673" s="13"/>
      <c r="T673" s="13">
        <v>19.3</v>
      </c>
      <c r="U673" s="13">
        <v>27.5</v>
      </c>
      <c r="V673" s="15"/>
      <c r="X673" s="15"/>
      <c r="Y673" s="13">
        <v>70.3</v>
      </c>
      <c r="Z673" s="7">
        <v>0.82</v>
      </c>
      <c r="AB673" s="16"/>
      <c r="AD673" s="16"/>
      <c r="AE673" s="1">
        <v>1</v>
      </c>
    </row>
    <row r="674" spans="1:31" x14ac:dyDescent="0.2">
      <c r="A674" s="1">
        <v>673</v>
      </c>
      <c r="B674" s="1">
        <v>2010</v>
      </c>
      <c r="C674" s="1" t="s">
        <v>31</v>
      </c>
      <c r="D674" s="8" t="s">
        <v>150</v>
      </c>
      <c r="E674" s="8">
        <v>2318</v>
      </c>
      <c r="F674" s="1" t="s">
        <v>32</v>
      </c>
      <c r="I674" s="12">
        <v>7.97</v>
      </c>
      <c r="J674" s="7">
        <v>22.771428571428601</v>
      </c>
      <c r="L674" s="14">
        <v>3243</v>
      </c>
      <c r="N674" s="14">
        <v>25815</v>
      </c>
      <c r="O674" s="13">
        <v>30.8</v>
      </c>
      <c r="P674" s="13">
        <v>10.5</v>
      </c>
      <c r="Q674" s="13">
        <v>48.6</v>
      </c>
      <c r="R674" s="13">
        <v>57.5</v>
      </c>
      <c r="S674" s="13"/>
      <c r="T674" s="15"/>
      <c r="U674" s="13">
        <v>28.7</v>
      </c>
      <c r="V674" s="13">
        <v>6.3</v>
      </c>
      <c r="W674" s="12"/>
      <c r="X674" s="15"/>
      <c r="Y674" s="13">
        <v>68.599999999999994</v>
      </c>
      <c r="Z674" s="7">
        <v>2.2200000000000002</v>
      </c>
      <c r="AB674" s="16"/>
      <c r="AD674" s="16"/>
      <c r="AE674" s="1">
        <v>1</v>
      </c>
    </row>
    <row r="675" spans="1:31" x14ac:dyDescent="0.2">
      <c r="A675" s="1">
        <v>674</v>
      </c>
      <c r="B675" s="1">
        <v>2020</v>
      </c>
      <c r="C675" s="1" t="s">
        <v>31</v>
      </c>
      <c r="D675" s="1" t="s">
        <v>774</v>
      </c>
      <c r="E675" s="1" t="s">
        <v>778</v>
      </c>
      <c r="F675" s="1" t="s">
        <v>32</v>
      </c>
      <c r="G675" s="1">
        <v>116</v>
      </c>
      <c r="H675" s="1" t="s">
        <v>754</v>
      </c>
      <c r="I675" s="12">
        <v>9.5538123801895001</v>
      </c>
      <c r="J675" s="12">
        <v>27.291249147999999</v>
      </c>
      <c r="K675" s="1" t="s">
        <v>754</v>
      </c>
      <c r="L675" s="16">
        <v>3243.4388137179999</v>
      </c>
      <c r="M675" s="16" t="s">
        <v>34</v>
      </c>
      <c r="N675" s="16">
        <v>30993.631653128999</v>
      </c>
      <c r="O675" s="10">
        <v>48.942339699999998</v>
      </c>
      <c r="P675" s="15">
        <v>7.7149999999999999</v>
      </c>
      <c r="Q675" s="15">
        <v>45.905000000000001</v>
      </c>
      <c r="R675" s="15">
        <v>48.709229622999999</v>
      </c>
      <c r="S675" s="15"/>
      <c r="T675" s="15">
        <v>24.862500000000001</v>
      </c>
      <c r="U675" s="15">
        <v>26.782499999999999</v>
      </c>
      <c r="V675" s="15">
        <v>5.2757303999999996</v>
      </c>
      <c r="W675" s="12">
        <v>0.68453850799999993</v>
      </c>
      <c r="X675" s="15"/>
      <c r="Y675" s="15">
        <v>71.954121499999999</v>
      </c>
      <c r="Z675" s="12"/>
      <c r="AA675" s="15">
        <v>1.625</v>
      </c>
      <c r="AB675" s="16">
        <f>AA675*33.334</f>
        <v>54.167750000000005</v>
      </c>
      <c r="AD675" s="16"/>
      <c r="AE675" s="1">
        <v>1</v>
      </c>
    </row>
    <row r="676" spans="1:31" x14ac:dyDescent="0.2">
      <c r="A676" s="1">
        <v>675</v>
      </c>
      <c r="B676" s="1">
        <v>2016</v>
      </c>
      <c r="C676" s="1" t="s">
        <v>31</v>
      </c>
      <c r="D676" s="8" t="s">
        <v>402</v>
      </c>
      <c r="E676" s="8" t="s">
        <v>522</v>
      </c>
      <c r="F676" s="1" t="s">
        <v>32</v>
      </c>
      <c r="G676" s="8">
        <v>115</v>
      </c>
      <c r="I676" s="12">
        <v>8.27</v>
      </c>
      <c r="J676" s="7">
        <v>23.628571428571401</v>
      </c>
      <c r="L676" s="14">
        <v>3245</v>
      </c>
      <c r="N676" s="14">
        <v>26967</v>
      </c>
      <c r="O676" s="13">
        <v>31.8</v>
      </c>
      <c r="P676" s="13">
        <v>8.3000000000000007</v>
      </c>
      <c r="Q676" s="13">
        <v>46.4</v>
      </c>
      <c r="R676" s="13">
        <v>54.2</v>
      </c>
      <c r="S676" s="13"/>
      <c r="T676" s="13">
        <v>27.8</v>
      </c>
      <c r="U676" s="13">
        <v>28.3</v>
      </c>
      <c r="V676" s="13">
        <v>3.1</v>
      </c>
      <c r="W676" s="7">
        <v>0.7</v>
      </c>
      <c r="X676" s="13"/>
      <c r="Y676" s="13">
        <v>68.7</v>
      </c>
      <c r="Z676" s="7">
        <v>2.0699999999999998</v>
      </c>
      <c r="AA676" s="15" t="s">
        <v>89</v>
      </c>
      <c r="AB676" s="16"/>
      <c r="AD676" s="16"/>
      <c r="AE676" s="1">
        <v>1</v>
      </c>
    </row>
    <row r="677" spans="1:31" x14ac:dyDescent="0.2">
      <c r="A677" s="1">
        <v>676</v>
      </c>
      <c r="B677" s="1">
        <v>2016</v>
      </c>
      <c r="C677" s="1" t="s">
        <v>88</v>
      </c>
      <c r="D677" s="8" t="s">
        <v>246</v>
      </c>
      <c r="E677" s="8" t="s">
        <v>580</v>
      </c>
      <c r="F677" s="1" t="s">
        <v>32</v>
      </c>
      <c r="I677" s="12">
        <v>7.5750000000000002</v>
      </c>
      <c r="J677" s="7">
        <v>21.6428571428571</v>
      </c>
      <c r="L677" s="5">
        <v>3245.25</v>
      </c>
      <c r="N677" s="5">
        <v>24656.25</v>
      </c>
      <c r="O677" s="6">
        <v>30.56</v>
      </c>
      <c r="P677" s="6">
        <v>6.6675000000000004</v>
      </c>
      <c r="Q677" s="6">
        <v>54.125</v>
      </c>
      <c r="R677" s="6">
        <v>53.567500000000003</v>
      </c>
      <c r="S677" s="6"/>
      <c r="T677" s="6">
        <v>34.122500000000002</v>
      </c>
      <c r="U677" s="6">
        <v>17.717500000000001</v>
      </c>
      <c r="V677" s="6">
        <v>6.77</v>
      </c>
      <c r="W677" s="7">
        <v>0.64</v>
      </c>
      <c r="X677" s="13"/>
      <c r="Y677" s="6">
        <v>63.494999999999997</v>
      </c>
      <c r="Z677" s="3">
        <v>2.1970780699999999</v>
      </c>
      <c r="AA677" s="6">
        <v>1.25</v>
      </c>
      <c r="AB677" s="16">
        <f>AA677*10</f>
        <v>12.5</v>
      </c>
      <c r="AC677" s="6">
        <v>1</v>
      </c>
      <c r="AD677" s="16">
        <f>AC677*10</f>
        <v>10</v>
      </c>
      <c r="AE677" s="1">
        <v>1</v>
      </c>
    </row>
    <row r="678" spans="1:31" ht="17" x14ac:dyDescent="0.2">
      <c r="A678" s="1">
        <v>677</v>
      </c>
      <c r="B678" s="1">
        <v>2019</v>
      </c>
      <c r="C678" s="1" t="s">
        <v>88</v>
      </c>
      <c r="D678" s="9" t="s">
        <v>1023</v>
      </c>
      <c r="E678" s="9" t="s">
        <v>733</v>
      </c>
      <c r="F678" s="1" t="s">
        <v>83</v>
      </c>
      <c r="I678" s="12">
        <v>4.5</v>
      </c>
      <c r="J678" s="3">
        <v>12.875</v>
      </c>
      <c r="K678" s="1" t="s">
        <v>34</v>
      </c>
      <c r="L678" s="5">
        <v>3245.3</v>
      </c>
      <c r="N678" s="5">
        <v>14611.2</v>
      </c>
      <c r="O678" s="6">
        <v>32.35</v>
      </c>
      <c r="P678" s="6">
        <v>10.31</v>
      </c>
      <c r="Q678" s="6">
        <v>42.172499999999999</v>
      </c>
      <c r="R678" s="6">
        <v>37.125</v>
      </c>
      <c r="S678" s="3"/>
      <c r="T678" s="6">
        <v>28.63</v>
      </c>
      <c r="U678" s="6">
        <v>24.66</v>
      </c>
      <c r="V678" s="6">
        <v>5.2474999999999996</v>
      </c>
      <c r="W678" s="3">
        <v>0.70290000000000008</v>
      </c>
      <c r="X678" s="6"/>
      <c r="Y678" s="6">
        <v>68.02</v>
      </c>
      <c r="Z678" s="3">
        <v>0.70250000000000001</v>
      </c>
      <c r="AB678" s="16"/>
      <c r="AC678" s="4">
        <v>3</v>
      </c>
      <c r="AD678" s="16">
        <f>AC678*10</f>
        <v>30</v>
      </c>
      <c r="AE678" s="1">
        <v>1</v>
      </c>
    </row>
    <row r="679" spans="1:31" x14ac:dyDescent="0.2">
      <c r="A679" s="1">
        <v>678</v>
      </c>
      <c r="B679" s="1">
        <v>2021</v>
      </c>
      <c r="C679" s="1" t="s">
        <v>88</v>
      </c>
      <c r="D679" s="28" t="s">
        <v>914</v>
      </c>
      <c r="E679" s="1" t="s">
        <v>831</v>
      </c>
      <c r="F679" s="1" t="s">
        <v>83</v>
      </c>
      <c r="H679" s="1" t="s">
        <v>89</v>
      </c>
      <c r="I679" s="12">
        <v>6.3011316759509999</v>
      </c>
      <c r="J679" s="12">
        <v>18.003233359999999</v>
      </c>
      <c r="K679" s="1" t="s">
        <v>89</v>
      </c>
      <c r="L679" s="16">
        <v>3245.5</v>
      </c>
      <c r="N679" s="16">
        <v>20499.80297325</v>
      </c>
      <c r="O679" s="15">
        <v>30.173845399999998</v>
      </c>
      <c r="P679" s="15">
        <v>7.7975000000000003</v>
      </c>
      <c r="Q679" s="15">
        <v>49.657499999999999</v>
      </c>
      <c r="R679" s="15">
        <v>52.977499999999999</v>
      </c>
      <c r="U679" s="15">
        <v>14.327500000000001</v>
      </c>
      <c r="V679" s="15">
        <v>13.7425</v>
      </c>
      <c r="W679" s="12">
        <v>0.69944999999999991</v>
      </c>
      <c r="X679" s="15"/>
      <c r="Y679" s="15">
        <v>63.615000000000002</v>
      </c>
      <c r="Z679" s="12"/>
      <c r="AA679" s="15">
        <v>0.625</v>
      </c>
      <c r="AB679" s="16">
        <f>AA679*33.334</f>
        <v>20.833750000000002</v>
      </c>
      <c r="AC679" s="1">
        <v>0</v>
      </c>
      <c r="AD679" s="16">
        <f>AC679*33.334</f>
        <v>0</v>
      </c>
      <c r="AE679" s="1">
        <v>1</v>
      </c>
    </row>
    <row r="680" spans="1:31" x14ac:dyDescent="0.2">
      <c r="A680" s="1">
        <v>679</v>
      </c>
      <c r="B680" s="1">
        <v>2020</v>
      </c>
      <c r="C680" s="1" t="s">
        <v>31</v>
      </c>
      <c r="D680" s="1" t="s">
        <v>402</v>
      </c>
      <c r="E680" s="1" t="s">
        <v>605</v>
      </c>
      <c r="F680" s="1" t="s">
        <v>32</v>
      </c>
      <c r="G680" s="1">
        <v>117</v>
      </c>
      <c r="H680" s="1" t="s">
        <v>754</v>
      </c>
      <c r="I680" s="12">
        <v>7.7296167425485001</v>
      </c>
      <c r="J680" s="12">
        <v>16.935011443</v>
      </c>
      <c r="K680" s="1" t="s">
        <v>754</v>
      </c>
      <c r="L680" s="16">
        <v>3246.9032018180001</v>
      </c>
      <c r="M680" s="16" t="s">
        <v>754</v>
      </c>
      <c r="N680" s="16">
        <v>18606.089367047</v>
      </c>
      <c r="O680" s="10">
        <v>41.174315800000002</v>
      </c>
      <c r="P680" s="15">
        <v>8.2524999999999995</v>
      </c>
      <c r="Q680" s="15">
        <v>48.6</v>
      </c>
      <c r="R680" s="15">
        <v>50.974229622999999</v>
      </c>
      <c r="S680" s="15"/>
      <c r="T680" s="15">
        <v>27.647500000000001</v>
      </c>
      <c r="U680" s="15">
        <v>22.32</v>
      </c>
      <c r="V680" s="15">
        <v>6.3232303999999999</v>
      </c>
      <c r="W680" s="12">
        <v>0.68261784299999984</v>
      </c>
      <c r="X680" s="15"/>
      <c r="Y680" s="15">
        <v>72.515884909999997</v>
      </c>
      <c r="Z680" s="12"/>
      <c r="AA680" s="15">
        <v>1</v>
      </c>
      <c r="AB680" s="16">
        <f>AA680*33.334</f>
        <v>33.334000000000003</v>
      </c>
      <c r="AD680" s="16"/>
      <c r="AE680" s="1">
        <v>1</v>
      </c>
    </row>
    <row r="681" spans="1:31" x14ac:dyDescent="0.2">
      <c r="A681" s="1">
        <v>680</v>
      </c>
      <c r="B681" s="1">
        <v>2019</v>
      </c>
      <c r="C681" s="1" t="s">
        <v>88</v>
      </c>
      <c r="D681" s="8" t="s">
        <v>731</v>
      </c>
      <c r="E681" s="8">
        <v>19177</v>
      </c>
      <c r="F681" s="1" t="s">
        <v>32</v>
      </c>
      <c r="I681" s="12">
        <v>4.9124999999999996</v>
      </c>
      <c r="J681" s="3">
        <v>14.03</v>
      </c>
      <c r="L681" s="5">
        <v>3247.75</v>
      </c>
      <c r="N681" s="5">
        <v>16092</v>
      </c>
      <c r="O681" s="6">
        <v>32.49</v>
      </c>
      <c r="P681" s="6">
        <v>6.4824999999999999</v>
      </c>
      <c r="Q681" s="6">
        <v>43.417499999999997</v>
      </c>
      <c r="R681" s="6">
        <v>38.979999999999997</v>
      </c>
      <c r="S681" s="3"/>
      <c r="T681" s="6">
        <v>30.712499999999999</v>
      </c>
      <c r="U681" s="6">
        <v>21.065000000000001</v>
      </c>
      <c r="V681" s="6">
        <v>13.2925</v>
      </c>
      <c r="W681" s="3">
        <v>0.71572500000000006</v>
      </c>
      <c r="X681" s="6"/>
      <c r="Y681" s="6">
        <v>61.9</v>
      </c>
      <c r="Z681" s="3">
        <v>0.79</v>
      </c>
      <c r="AB681" s="16"/>
      <c r="AC681" s="6">
        <v>3</v>
      </c>
      <c r="AD681" s="16">
        <f>AC681*10</f>
        <v>30</v>
      </c>
      <c r="AE681" s="1">
        <v>1</v>
      </c>
    </row>
    <row r="682" spans="1:31" x14ac:dyDescent="0.2">
      <c r="A682" s="1">
        <v>681</v>
      </c>
      <c r="B682" s="1">
        <v>2021</v>
      </c>
      <c r="C682" s="1" t="s">
        <v>31</v>
      </c>
      <c r="D682" s="1" t="s">
        <v>67</v>
      </c>
      <c r="E682" s="1" t="s">
        <v>798</v>
      </c>
      <c r="F682" s="1" t="s">
        <v>32</v>
      </c>
      <c r="H682" s="1" t="s">
        <v>34</v>
      </c>
      <c r="I682" s="12">
        <v>9.7451473340619987</v>
      </c>
      <c r="J682" s="12">
        <v>27.843278096999999</v>
      </c>
      <c r="K682" s="1" t="s">
        <v>89</v>
      </c>
      <c r="L682" s="16">
        <v>3247.8962619980002</v>
      </c>
      <c r="M682" s="16" t="s">
        <v>89</v>
      </c>
      <c r="N682" s="16">
        <v>31205.156990005999</v>
      </c>
      <c r="O682" s="15">
        <v>32.616233199999996</v>
      </c>
      <c r="P682" s="15">
        <v>8.4778476729999994</v>
      </c>
      <c r="Q682" s="15">
        <v>43.335718313000001</v>
      </c>
      <c r="R682" s="15">
        <v>60.041169738000001</v>
      </c>
      <c r="T682" s="15">
        <v>25.027510756000002</v>
      </c>
      <c r="U682" s="15">
        <v>34.160409870000002</v>
      </c>
      <c r="V682" s="15">
        <v>6.9275526599999999</v>
      </c>
      <c r="W682" s="12">
        <v>0.68904473869000005</v>
      </c>
      <c r="X682" s="15"/>
      <c r="Y682" s="15">
        <v>71.314074313000006</v>
      </c>
      <c r="Z682" s="12"/>
      <c r="AA682" s="15">
        <v>-3.9218999999999997E-2</v>
      </c>
      <c r="AB682" s="16">
        <v>0</v>
      </c>
      <c r="AD682" s="16"/>
      <c r="AE682" s="1">
        <v>1</v>
      </c>
    </row>
    <row r="683" spans="1:31" x14ac:dyDescent="0.2">
      <c r="A683" s="1">
        <v>682</v>
      </c>
      <c r="B683" s="1">
        <v>2015</v>
      </c>
      <c r="C683" s="8" t="s">
        <v>31</v>
      </c>
      <c r="D683" s="8" t="s">
        <v>37</v>
      </c>
      <c r="E683" s="8" t="s">
        <v>505</v>
      </c>
      <c r="F683" s="1" t="s">
        <v>83</v>
      </c>
      <c r="H683" s="1" t="s">
        <v>34</v>
      </c>
      <c r="I683" s="12">
        <v>7.82</v>
      </c>
      <c r="J683" s="7">
        <v>22.3</v>
      </c>
      <c r="L683" s="14">
        <v>3250</v>
      </c>
      <c r="N683" s="14">
        <v>25167</v>
      </c>
      <c r="O683" s="13">
        <v>35.4</v>
      </c>
      <c r="P683" s="13">
        <v>7.8</v>
      </c>
      <c r="Q683" s="13">
        <v>42.6</v>
      </c>
      <c r="R683" s="13">
        <v>53.9</v>
      </c>
      <c r="S683" s="8"/>
      <c r="T683" s="13">
        <v>25.5</v>
      </c>
      <c r="U683" s="13">
        <v>30.1</v>
      </c>
      <c r="V683" s="13">
        <v>4.7</v>
      </c>
      <c r="W683" s="7">
        <v>0.73</v>
      </c>
      <c r="X683" s="13"/>
      <c r="Y683" s="13">
        <v>70.900000000000006</v>
      </c>
      <c r="Z683" s="7">
        <v>1.82</v>
      </c>
      <c r="AA683" s="18">
        <v>2.5</v>
      </c>
      <c r="AB683" s="16">
        <f>AA683*10</f>
        <v>25</v>
      </c>
      <c r="AC683" s="15" t="s">
        <v>89</v>
      </c>
      <c r="AD683" s="16"/>
      <c r="AE683" s="1">
        <v>1</v>
      </c>
    </row>
    <row r="684" spans="1:31" x14ac:dyDescent="0.2">
      <c r="A684" s="1">
        <v>683</v>
      </c>
      <c r="B684" s="1">
        <v>2013</v>
      </c>
      <c r="C684" s="1" t="s">
        <v>31</v>
      </c>
      <c r="D684" s="8" t="s">
        <v>125</v>
      </c>
      <c r="E684" s="8" t="s">
        <v>356</v>
      </c>
      <c r="F684" s="1" t="s">
        <v>32</v>
      </c>
      <c r="G684" s="8">
        <v>114</v>
      </c>
      <c r="H684" s="8"/>
      <c r="I684" s="12">
        <v>8.91</v>
      </c>
      <c r="J684" s="7">
        <v>25.457142857142902</v>
      </c>
      <c r="K684" s="13"/>
      <c r="L684" s="14">
        <v>3251</v>
      </c>
      <c r="M684" s="14"/>
      <c r="N684" s="14">
        <v>28998</v>
      </c>
      <c r="O684" s="13">
        <v>31.7</v>
      </c>
      <c r="P684" s="13">
        <v>9</v>
      </c>
      <c r="Q684" s="13">
        <v>41</v>
      </c>
      <c r="R684" s="13">
        <v>50.9</v>
      </c>
      <c r="S684" s="13" t="s">
        <v>89</v>
      </c>
      <c r="T684" s="13"/>
      <c r="U684" s="13">
        <v>31.2</v>
      </c>
      <c r="V684" s="13">
        <v>4.8</v>
      </c>
      <c r="W684" s="7">
        <v>0.72</v>
      </c>
      <c r="X684" s="15" t="s">
        <v>89</v>
      </c>
      <c r="Y684" s="15" t="s">
        <v>89</v>
      </c>
      <c r="Z684" s="7">
        <v>1.85</v>
      </c>
      <c r="AB684" s="16"/>
      <c r="AD684" s="16"/>
      <c r="AE684" s="1">
        <v>1</v>
      </c>
    </row>
    <row r="685" spans="1:31" x14ac:dyDescent="0.2">
      <c r="A685" s="1">
        <v>684</v>
      </c>
      <c r="B685" s="1">
        <v>2018</v>
      </c>
      <c r="C685" s="1" t="s">
        <v>88</v>
      </c>
      <c r="D685" s="28" t="s">
        <v>914</v>
      </c>
      <c r="E685" s="1" t="s">
        <v>685</v>
      </c>
      <c r="F685" s="1" t="s">
        <v>32</v>
      </c>
      <c r="I685" s="12">
        <v>4.8707684855126097</v>
      </c>
      <c r="J685" s="12">
        <v>13.9164813871789</v>
      </c>
      <c r="L685" s="16">
        <v>3252.75</v>
      </c>
      <c r="N685" s="16">
        <v>15957.942421252599</v>
      </c>
      <c r="O685" s="15">
        <v>33.854934181539299</v>
      </c>
      <c r="P685" s="15">
        <v>9.9625000000000004</v>
      </c>
      <c r="Q685" s="15">
        <v>42.195</v>
      </c>
      <c r="R685" s="15">
        <v>32.412500000000001</v>
      </c>
      <c r="S685" s="12">
        <v>18.105</v>
      </c>
      <c r="U685" s="15">
        <v>27.12</v>
      </c>
      <c r="V685" s="15">
        <v>5.6424999999999992</v>
      </c>
      <c r="W685" s="12">
        <v>0.70090000000000008</v>
      </c>
      <c r="X685" s="15"/>
      <c r="Y685" s="15">
        <v>61.66</v>
      </c>
      <c r="Z685" s="12">
        <v>0.30401276815560002</v>
      </c>
      <c r="AA685" s="16">
        <v>2.5</v>
      </c>
      <c r="AB685" s="16">
        <f>AA685*33.334</f>
        <v>83.335000000000008</v>
      </c>
      <c r="AC685" s="16">
        <v>1.25</v>
      </c>
      <c r="AD685" s="16">
        <f>AC685*33.334</f>
        <v>41.667500000000004</v>
      </c>
      <c r="AE685" s="1">
        <v>1</v>
      </c>
    </row>
    <row r="686" spans="1:31" x14ac:dyDescent="0.2">
      <c r="A686" s="1">
        <v>685</v>
      </c>
      <c r="B686" s="1">
        <v>2012</v>
      </c>
      <c r="C686" s="1" t="s">
        <v>31</v>
      </c>
      <c r="D686" s="1" t="s">
        <v>108</v>
      </c>
      <c r="E686" s="1" t="s">
        <v>313</v>
      </c>
      <c r="F686" s="1" t="s">
        <v>83</v>
      </c>
      <c r="I686" s="12">
        <v>4.4000000000000004</v>
      </c>
      <c r="J686" s="12">
        <v>12.6</v>
      </c>
      <c r="L686" s="16">
        <v>3253</v>
      </c>
      <c r="N686" s="16">
        <v>14317</v>
      </c>
      <c r="O686" s="15">
        <v>34.200000000000003</v>
      </c>
      <c r="P686" s="15">
        <v>7.44</v>
      </c>
      <c r="Q686" s="15">
        <v>43.9</v>
      </c>
      <c r="R686" s="15">
        <v>59.1</v>
      </c>
      <c r="T686" s="15"/>
      <c r="U686" s="15">
        <v>38.299999999999997</v>
      </c>
      <c r="V686" s="15">
        <v>3.2</v>
      </c>
      <c r="W686" s="12">
        <v>0.72</v>
      </c>
      <c r="X686" s="15"/>
      <c r="Y686" s="15"/>
      <c r="Z686" s="12">
        <v>1.1399999999999999</v>
      </c>
      <c r="AB686" s="16"/>
      <c r="AD686" s="16"/>
      <c r="AE686" s="1">
        <v>1</v>
      </c>
    </row>
    <row r="687" spans="1:31" x14ac:dyDescent="0.2">
      <c r="A687" s="1">
        <v>686</v>
      </c>
      <c r="B687" s="1">
        <v>2011</v>
      </c>
      <c r="C687" s="1" t="s">
        <v>31</v>
      </c>
      <c r="D687" s="1" t="s">
        <v>67</v>
      </c>
      <c r="E687" s="1" t="s">
        <v>223</v>
      </c>
      <c r="F687" s="1" t="s">
        <v>32</v>
      </c>
      <c r="I687" s="12">
        <v>7.97</v>
      </c>
      <c r="J687" s="12">
        <v>22.8</v>
      </c>
      <c r="L687" s="16">
        <v>3257</v>
      </c>
      <c r="N687" s="16">
        <v>26016</v>
      </c>
      <c r="O687" s="15">
        <v>29.7</v>
      </c>
      <c r="P687" s="15">
        <v>8.6999999999999993</v>
      </c>
      <c r="Q687" s="15">
        <v>52.6</v>
      </c>
      <c r="R687" s="15">
        <v>62.2</v>
      </c>
      <c r="T687" s="15"/>
      <c r="U687" s="15">
        <v>25</v>
      </c>
      <c r="V687" s="15">
        <v>4.0999999999999996</v>
      </c>
      <c r="W687" s="12"/>
      <c r="X687" s="15"/>
      <c r="Y687" s="15">
        <v>66.599999999999994</v>
      </c>
      <c r="Z687" s="12">
        <v>2.6</v>
      </c>
      <c r="AB687" s="16"/>
      <c r="AD687" s="16"/>
      <c r="AE687" s="1">
        <v>1</v>
      </c>
    </row>
    <row r="688" spans="1:31" x14ac:dyDescent="0.2">
      <c r="A688" s="1">
        <v>687</v>
      </c>
      <c r="B688" s="1">
        <v>2009</v>
      </c>
      <c r="C688" s="1" t="s">
        <v>31</v>
      </c>
      <c r="D688" s="1" t="s">
        <v>805</v>
      </c>
      <c r="E688" s="8" t="s">
        <v>46</v>
      </c>
      <c r="F688" s="1" t="s">
        <v>83</v>
      </c>
      <c r="H688" s="1" t="s">
        <v>34</v>
      </c>
      <c r="I688" s="12">
        <v>9.4499999999999993</v>
      </c>
      <c r="J688" s="7">
        <v>27</v>
      </c>
      <c r="L688" s="14">
        <v>3259</v>
      </c>
      <c r="M688" s="14"/>
      <c r="N688" s="14">
        <v>30834</v>
      </c>
      <c r="O688" s="13">
        <v>37.299999999999997</v>
      </c>
      <c r="P688" s="13">
        <v>8.0500000000000007</v>
      </c>
      <c r="Q688" s="13">
        <v>36.5</v>
      </c>
      <c r="R688" s="13">
        <v>51</v>
      </c>
      <c r="S688" s="8"/>
      <c r="T688" s="13">
        <v>22</v>
      </c>
      <c r="U688" s="13">
        <v>42.4</v>
      </c>
      <c r="V688" s="15"/>
      <c r="W688" s="7" t="s">
        <v>89</v>
      </c>
      <c r="X688" s="13"/>
      <c r="Y688" s="13">
        <v>70.900000000000006</v>
      </c>
      <c r="Z688" s="7">
        <v>1.75</v>
      </c>
      <c r="AB688" s="16"/>
      <c r="AD688" s="16"/>
      <c r="AE688" s="1">
        <v>1</v>
      </c>
    </row>
    <row r="689" spans="1:31" x14ac:dyDescent="0.2">
      <c r="A689" s="1">
        <v>688</v>
      </c>
      <c r="B689" s="1">
        <v>2020</v>
      </c>
      <c r="C689" s="1" t="s">
        <v>31</v>
      </c>
      <c r="D689" s="1" t="s">
        <v>774</v>
      </c>
      <c r="E689" s="1" t="s">
        <v>777</v>
      </c>
      <c r="F689" s="1" t="s">
        <v>32</v>
      </c>
      <c r="G689" s="1">
        <v>113</v>
      </c>
      <c r="H689" s="1" t="s">
        <v>754</v>
      </c>
      <c r="I689" s="12">
        <v>8.7891025220675001</v>
      </c>
      <c r="J689" s="12">
        <v>25.106363839</v>
      </c>
      <c r="K689" s="1" t="s">
        <v>754</v>
      </c>
      <c r="L689" s="16">
        <v>3259.4219592650002</v>
      </c>
      <c r="M689" s="16" t="s">
        <v>34</v>
      </c>
      <c r="N689" s="16">
        <v>28628.56282485</v>
      </c>
      <c r="O689" s="10">
        <v>47.678677200000003</v>
      </c>
      <c r="P689" s="15">
        <v>7.9749999999999996</v>
      </c>
      <c r="Q689" s="15">
        <v>46.11</v>
      </c>
      <c r="R689" s="15">
        <v>50.536729622999999</v>
      </c>
      <c r="S689" s="15"/>
      <c r="T689" s="15">
        <v>25.03</v>
      </c>
      <c r="U689" s="15">
        <v>26.9925</v>
      </c>
      <c r="V689" s="15">
        <v>5.4682304000000004</v>
      </c>
      <c r="W689" s="12">
        <v>0.68480417299999996</v>
      </c>
      <c r="X689" s="15"/>
      <c r="Y689" s="15">
        <v>72.536125749999997</v>
      </c>
      <c r="Z689" s="12"/>
      <c r="AA689" s="15">
        <v>0.75</v>
      </c>
      <c r="AB689" s="16">
        <f>AA689*33.334</f>
        <v>25.000500000000002</v>
      </c>
      <c r="AD689" s="16"/>
      <c r="AE689" s="1">
        <v>1</v>
      </c>
    </row>
    <row r="690" spans="1:31" x14ac:dyDescent="0.2">
      <c r="A690" s="1">
        <v>689</v>
      </c>
      <c r="B690" s="1">
        <v>2019</v>
      </c>
      <c r="C690" s="1" t="s">
        <v>88</v>
      </c>
      <c r="D690" s="8" t="s">
        <v>187</v>
      </c>
      <c r="E690" s="8">
        <v>18096</v>
      </c>
      <c r="F690" s="1" t="s">
        <v>32</v>
      </c>
      <c r="I690" s="12">
        <v>5.6849999999999996</v>
      </c>
      <c r="J690" s="3">
        <v>16.239999999999998</v>
      </c>
      <c r="K690" s="1" t="s">
        <v>34</v>
      </c>
      <c r="L690" s="5">
        <v>3259.8</v>
      </c>
      <c r="N690" s="5">
        <v>18641.25</v>
      </c>
      <c r="O690" s="6">
        <v>33.622500000000002</v>
      </c>
      <c r="P690" s="6">
        <v>6.6849999999999996</v>
      </c>
      <c r="Q690" s="6">
        <v>39.572499999999998</v>
      </c>
      <c r="R690" s="6">
        <v>26.895</v>
      </c>
      <c r="S690" s="3"/>
      <c r="T690" s="6">
        <v>29.55</v>
      </c>
      <c r="U690" s="6">
        <v>24.295000000000002</v>
      </c>
      <c r="V690" s="6">
        <v>12.0375</v>
      </c>
      <c r="W690" s="3">
        <v>0.73599999999999999</v>
      </c>
      <c r="X690" s="6"/>
      <c r="Y690" s="6">
        <v>61.522500000000001</v>
      </c>
      <c r="Z690" s="3">
        <v>0.57750000000000001</v>
      </c>
      <c r="AB690" s="16"/>
      <c r="AC690" s="6">
        <v>0</v>
      </c>
      <c r="AD690" s="16">
        <f>AC690*10</f>
        <v>0</v>
      </c>
      <c r="AE690" s="1">
        <v>1</v>
      </c>
    </row>
    <row r="691" spans="1:31" x14ac:dyDescent="0.2">
      <c r="A691" s="1">
        <v>690</v>
      </c>
      <c r="B691" s="1">
        <v>2018</v>
      </c>
      <c r="C691" s="1" t="s">
        <v>31</v>
      </c>
      <c r="D691" s="28" t="s">
        <v>914</v>
      </c>
      <c r="E691" s="1" t="s">
        <v>659</v>
      </c>
      <c r="F691" s="1" t="s">
        <v>32</v>
      </c>
      <c r="G691" s="1">
        <v>115</v>
      </c>
      <c r="I691" s="12">
        <v>7.9</v>
      </c>
      <c r="J691" s="3">
        <v>22.501484099999999</v>
      </c>
      <c r="L691" s="5">
        <v>3261</v>
      </c>
      <c r="M691" s="1" t="s">
        <v>34</v>
      </c>
      <c r="N691" s="5">
        <v>25676</v>
      </c>
      <c r="O691" s="6">
        <v>39.200000000000003</v>
      </c>
      <c r="P691" s="18">
        <v>7.76</v>
      </c>
      <c r="Q691" s="6">
        <v>39.022500000000001</v>
      </c>
      <c r="R691" s="6">
        <v>59.9</v>
      </c>
      <c r="S691" s="3"/>
      <c r="T691" s="6">
        <v>23.44</v>
      </c>
      <c r="U691" s="6">
        <v>39.200000000000003</v>
      </c>
      <c r="V691" s="6">
        <v>4.3674999999999997</v>
      </c>
      <c r="W691" s="3">
        <v>0.754</v>
      </c>
      <c r="X691" s="6"/>
      <c r="Y691" s="6">
        <v>72.599999999999994</v>
      </c>
      <c r="Z691" s="3">
        <v>1.84113828</v>
      </c>
      <c r="AB691" s="16"/>
      <c r="AD691" s="16"/>
      <c r="AE691" s="1">
        <v>1</v>
      </c>
    </row>
    <row r="692" spans="1:31" x14ac:dyDescent="0.2">
      <c r="A692" s="1">
        <v>691</v>
      </c>
      <c r="B692" s="1">
        <v>2014</v>
      </c>
      <c r="C692" s="1" t="s">
        <v>31</v>
      </c>
      <c r="D692" s="1" t="s">
        <v>125</v>
      </c>
      <c r="E692" s="1" t="s">
        <v>426</v>
      </c>
      <c r="F692" s="1" t="s">
        <v>32</v>
      </c>
      <c r="G692" s="1">
        <v>118</v>
      </c>
      <c r="I692" s="12">
        <v>9.25</v>
      </c>
      <c r="J692" s="12">
        <v>26.4</v>
      </c>
      <c r="L692" s="16">
        <v>3261</v>
      </c>
      <c r="N692" s="16">
        <v>30251</v>
      </c>
      <c r="O692" s="15">
        <v>31.1</v>
      </c>
      <c r="P692" s="15">
        <v>7.5</v>
      </c>
      <c r="Q692" s="15">
        <v>40.799999999999997</v>
      </c>
      <c r="R692" s="15">
        <v>52.8</v>
      </c>
      <c r="T692" s="15"/>
      <c r="U692" s="15">
        <v>28.8</v>
      </c>
      <c r="V692" s="15">
        <v>7.8</v>
      </c>
      <c r="W692" s="12">
        <v>0.72</v>
      </c>
      <c r="X692" s="15"/>
      <c r="Y692" s="15">
        <v>69.8</v>
      </c>
      <c r="Z692" s="12">
        <v>1.99</v>
      </c>
      <c r="AB692" s="16"/>
      <c r="AD692" s="16"/>
      <c r="AE692" s="1">
        <v>1</v>
      </c>
    </row>
    <row r="693" spans="1:31" x14ac:dyDescent="0.2">
      <c r="A693" s="1">
        <v>692</v>
      </c>
      <c r="B693" s="1">
        <v>2010</v>
      </c>
      <c r="C693" s="1" t="s">
        <v>31</v>
      </c>
      <c r="D693" s="8" t="s">
        <v>35</v>
      </c>
      <c r="E693" s="8">
        <v>2318</v>
      </c>
      <c r="F693" s="1" t="s">
        <v>83</v>
      </c>
      <c r="I693" s="12">
        <v>5.27</v>
      </c>
      <c r="J693" s="7">
        <v>15.0571428571429</v>
      </c>
      <c r="L693" s="14">
        <v>3263</v>
      </c>
      <c r="N693" s="14">
        <v>17221</v>
      </c>
      <c r="O693" s="13">
        <v>29.1</v>
      </c>
      <c r="P693" s="13">
        <v>8.5</v>
      </c>
      <c r="Q693" s="13">
        <v>47.8</v>
      </c>
      <c r="R693" s="13">
        <v>55.7</v>
      </c>
      <c r="S693" s="13"/>
      <c r="T693" s="15"/>
      <c r="U693" s="13">
        <v>26</v>
      </c>
      <c r="V693" s="13">
        <v>8.8000000000000007</v>
      </c>
      <c r="W693" s="12"/>
      <c r="X693" s="15"/>
      <c r="Y693" s="13">
        <v>69.099999999999994</v>
      </c>
      <c r="Z693" s="7">
        <v>1.41</v>
      </c>
      <c r="AB693" s="16"/>
      <c r="AD693" s="16"/>
      <c r="AE693" s="1">
        <v>1</v>
      </c>
    </row>
    <row r="694" spans="1:31" x14ac:dyDescent="0.2">
      <c r="A694" s="1">
        <v>693</v>
      </c>
      <c r="B694" s="1">
        <v>2020</v>
      </c>
      <c r="C694" s="1" t="s">
        <v>31</v>
      </c>
      <c r="D694" s="19" t="s">
        <v>900</v>
      </c>
      <c r="E694" s="1" t="s">
        <v>773</v>
      </c>
      <c r="F694" s="1" t="s">
        <v>32</v>
      </c>
      <c r="G694" s="1">
        <v>116</v>
      </c>
      <c r="H694" s="1" t="s">
        <v>754</v>
      </c>
      <c r="I694" s="12">
        <v>9.0382216304794998</v>
      </c>
      <c r="J694" s="12">
        <v>25.818132721000001</v>
      </c>
      <c r="K694" s="1" t="s">
        <v>754</v>
      </c>
      <c r="L694" s="16">
        <v>3263.0574631579998</v>
      </c>
      <c r="M694" s="16" t="s">
        <v>34</v>
      </c>
      <c r="N694" s="16">
        <v>29469.771140385001</v>
      </c>
      <c r="O694" s="10">
        <v>48.251661400000003</v>
      </c>
      <c r="P694" s="15">
        <v>7.7175000000000002</v>
      </c>
      <c r="Q694" s="15">
        <v>45.362499999999997</v>
      </c>
      <c r="R694" s="15">
        <v>49.254229623000001</v>
      </c>
      <c r="S694" s="15"/>
      <c r="T694" s="15">
        <v>24.385000000000002</v>
      </c>
      <c r="U694" s="15">
        <v>27.442499999999999</v>
      </c>
      <c r="V694" s="15">
        <v>5.6432304000000002</v>
      </c>
      <c r="W694" s="12">
        <v>0.686491132</v>
      </c>
      <c r="X694" s="15"/>
      <c r="Y694" s="15">
        <v>72.327423749999994</v>
      </c>
      <c r="Z694" s="12"/>
      <c r="AA694" s="15">
        <v>1.25</v>
      </c>
      <c r="AB694" s="16">
        <f>AA694*33.334</f>
        <v>41.667500000000004</v>
      </c>
      <c r="AD694" s="16"/>
      <c r="AE694" s="1">
        <v>1</v>
      </c>
    </row>
    <row r="695" spans="1:31" x14ac:dyDescent="0.2">
      <c r="A695" s="1">
        <v>694</v>
      </c>
      <c r="B695" s="1">
        <v>2020</v>
      </c>
      <c r="C695" s="1" t="s">
        <v>31</v>
      </c>
      <c r="D695" s="1" t="s">
        <v>805</v>
      </c>
      <c r="E695" s="1" t="s">
        <v>768</v>
      </c>
      <c r="F695" s="1" t="s">
        <v>32</v>
      </c>
      <c r="G695" s="1">
        <v>119</v>
      </c>
      <c r="H695" s="1" t="s">
        <v>754</v>
      </c>
      <c r="I695" s="12">
        <v>9.3984568531730002</v>
      </c>
      <c r="J695" s="12">
        <v>26.847376214000001</v>
      </c>
      <c r="K695" s="1" t="s">
        <v>754</v>
      </c>
      <c r="L695" s="16">
        <v>3263.1501453689998</v>
      </c>
      <c r="M695" s="16" t="s">
        <v>34</v>
      </c>
      <c r="N695" s="16">
        <v>30675.533750921</v>
      </c>
      <c r="O695" s="10">
        <v>49.266283999999999</v>
      </c>
      <c r="P695" s="15">
        <v>6.7850000000000001</v>
      </c>
      <c r="Q695" s="15">
        <v>46.167499999999997</v>
      </c>
      <c r="R695" s="15">
        <v>48.046729622999997</v>
      </c>
      <c r="S695" s="15"/>
      <c r="T695" s="15">
        <v>25.317499999999999</v>
      </c>
      <c r="U695" s="15">
        <v>28.74</v>
      </c>
      <c r="V695" s="15">
        <v>4.4582303999999997</v>
      </c>
      <c r="W695" s="12">
        <v>0.68735293799999997</v>
      </c>
      <c r="X695" s="15"/>
      <c r="Y695" s="15">
        <v>72.242440500000001</v>
      </c>
      <c r="Z695" s="12"/>
      <c r="AA695" s="15">
        <v>0.875</v>
      </c>
      <c r="AB695" s="16">
        <f>AA695*33.334</f>
        <v>29.167250000000003</v>
      </c>
      <c r="AD695" s="16"/>
      <c r="AE695" s="1">
        <v>1</v>
      </c>
    </row>
    <row r="696" spans="1:31" x14ac:dyDescent="0.2">
      <c r="A696" s="1">
        <v>695</v>
      </c>
      <c r="B696" s="1">
        <v>2020</v>
      </c>
      <c r="C696" s="1" t="s">
        <v>31</v>
      </c>
      <c r="D696" s="1" t="s">
        <v>402</v>
      </c>
      <c r="E696" s="1" t="s">
        <v>762</v>
      </c>
      <c r="F696" s="1" t="s">
        <v>32</v>
      </c>
      <c r="G696" s="1">
        <v>118</v>
      </c>
      <c r="H696" s="1" t="s">
        <v>754</v>
      </c>
      <c r="I696" s="12">
        <v>9.0823759265320003</v>
      </c>
      <c r="J696" s="12">
        <v>25.944287851999999</v>
      </c>
      <c r="K696" s="1" t="s">
        <v>754</v>
      </c>
      <c r="L696" s="16">
        <v>3263.3475060249998</v>
      </c>
      <c r="M696" s="16" t="s">
        <v>34</v>
      </c>
      <c r="N696" s="16">
        <v>29428.468335525002</v>
      </c>
      <c r="O696" s="10">
        <v>46.785747300000004</v>
      </c>
      <c r="P696" s="15">
        <v>7.7474999999999996</v>
      </c>
      <c r="Q696" s="15">
        <v>45.39</v>
      </c>
      <c r="R696" s="15">
        <v>51.376729623000003</v>
      </c>
      <c r="S696" s="15"/>
      <c r="T696" s="15">
        <v>24.715</v>
      </c>
      <c r="U696" s="15">
        <v>27.497499999999999</v>
      </c>
      <c r="V696" s="15">
        <v>5.6532304</v>
      </c>
      <c r="W696" s="12">
        <v>0.68859543499999998</v>
      </c>
      <c r="X696" s="15"/>
      <c r="Y696" s="15">
        <v>71.957351000000003</v>
      </c>
      <c r="Z696" s="12"/>
      <c r="AA696" s="15">
        <v>1.25</v>
      </c>
      <c r="AB696" s="16">
        <f>AA696*33.334</f>
        <v>41.667500000000004</v>
      </c>
      <c r="AD696" s="16"/>
      <c r="AE696" s="1">
        <v>1</v>
      </c>
    </row>
    <row r="697" spans="1:31" x14ac:dyDescent="0.2">
      <c r="A697" s="1">
        <v>696</v>
      </c>
      <c r="B697" s="1">
        <v>2014</v>
      </c>
      <c r="C697" s="1" t="s">
        <v>31</v>
      </c>
      <c r="D697" s="1" t="s">
        <v>125</v>
      </c>
      <c r="E697" s="1" t="s">
        <v>424</v>
      </c>
      <c r="F697" s="1" t="s">
        <v>32</v>
      </c>
      <c r="G697" s="1">
        <v>115</v>
      </c>
      <c r="I697" s="12">
        <v>8.1999999999999993</v>
      </c>
      <c r="J697" s="12">
        <v>23.4</v>
      </c>
      <c r="L697" s="16">
        <v>3264</v>
      </c>
      <c r="N697" s="16">
        <v>26759</v>
      </c>
      <c r="O697" s="15">
        <v>29.9</v>
      </c>
      <c r="P697" s="15">
        <v>8.6</v>
      </c>
      <c r="Q697" s="15">
        <v>44.1</v>
      </c>
      <c r="R697" s="15">
        <v>55.6</v>
      </c>
      <c r="T697" s="15"/>
      <c r="U697" s="15">
        <v>26.5</v>
      </c>
      <c r="V697" s="15">
        <v>6.5</v>
      </c>
      <c r="W697" s="12">
        <v>0.7</v>
      </c>
      <c r="X697" s="15"/>
      <c r="Y697" s="15">
        <v>67.7</v>
      </c>
      <c r="Z697" s="12">
        <v>2.0099999999999998</v>
      </c>
      <c r="AB697" s="16"/>
      <c r="AD697" s="16"/>
      <c r="AE697" s="1">
        <v>1</v>
      </c>
    </row>
    <row r="698" spans="1:31" x14ac:dyDescent="0.2">
      <c r="A698" s="1">
        <v>697</v>
      </c>
      <c r="B698" s="1">
        <v>2014</v>
      </c>
      <c r="C698" s="1" t="s">
        <v>31</v>
      </c>
      <c r="D698" s="22" t="s">
        <v>917</v>
      </c>
      <c r="E698" s="1" t="s">
        <v>436</v>
      </c>
      <c r="F698" s="1" t="s">
        <v>32</v>
      </c>
      <c r="G698" s="1">
        <v>116</v>
      </c>
      <c r="I698" s="12">
        <v>9.1999999999999993</v>
      </c>
      <c r="J698" s="12">
        <v>26.3</v>
      </c>
      <c r="L698" s="16">
        <v>3264</v>
      </c>
      <c r="N698" s="16">
        <v>29971</v>
      </c>
      <c r="O698" s="15">
        <v>32.200000000000003</v>
      </c>
      <c r="P698" s="15">
        <v>8.1999999999999993</v>
      </c>
      <c r="Q698" s="15">
        <v>45.1</v>
      </c>
      <c r="R698" s="15">
        <v>55.8</v>
      </c>
      <c r="T698" s="15"/>
      <c r="U698" s="15">
        <v>29.4</v>
      </c>
      <c r="V698" s="15">
        <v>5.0999999999999996</v>
      </c>
      <c r="W698" s="12">
        <v>0.7</v>
      </c>
      <c r="X698" s="15"/>
      <c r="Y698" s="15">
        <v>67.5</v>
      </c>
      <c r="Z698" s="12">
        <v>2.3199999999999998</v>
      </c>
      <c r="AB698" s="16"/>
      <c r="AD698" s="16"/>
      <c r="AE698" s="1">
        <v>1</v>
      </c>
    </row>
    <row r="699" spans="1:31" x14ac:dyDescent="0.2">
      <c r="A699" s="1">
        <v>698</v>
      </c>
      <c r="B699" s="1">
        <v>2013</v>
      </c>
      <c r="C699" s="1" t="s">
        <v>31</v>
      </c>
      <c r="D699" s="8" t="s">
        <v>33</v>
      </c>
      <c r="E699" s="8" t="s">
        <v>354</v>
      </c>
      <c r="F699" s="1" t="s">
        <v>32</v>
      </c>
      <c r="G699" s="8">
        <v>120</v>
      </c>
      <c r="H699" s="8"/>
      <c r="I699" s="12">
        <v>8.2100000000000009</v>
      </c>
      <c r="J699" s="7">
        <v>23.457142857142902</v>
      </c>
      <c r="K699" s="13"/>
      <c r="L699" s="14">
        <v>3265</v>
      </c>
      <c r="M699" s="14"/>
      <c r="N699" s="14">
        <v>26770</v>
      </c>
      <c r="O699" s="13">
        <v>33.9</v>
      </c>
      <c r="P699" s="13">
        <v>7.6</v>
      </c>
      <c r="Q699" s="13">
        <v>39.799999999999997</v>
      </c>
      <c r="R699" s="13">
        <v>50.1</v>
      </c>
      <c r="S699" s="13" t="s">
        <v>89</v>
      </c>
      <c r="T699" s="13"/>
      <c r="U699" s="13">
        <v>34.5</v>
      </c>
      <c r="V699" s="13">
        <v>4.3</v>
      </c>
      <c r="W699" s="7">
        <v>0.73</v>
      </c>
      <c r="X699" s="15" t="s">
        <v>89</v>
      </c>
      <c r="Y699" s="15" t="s">
        <v>89</v>
      </c>
      <c r="Z699" s="7">
        <v>1.64</v>
      </c>
      <c r="AB699" s="16"/>
      <c r="AD699" s="16"/>
      <c r="AE699" s="1">
        <v>1</v>
      </c>
    </row>
    <row r="700" spans="1:31" x14ac:dyDescent="0.2">
      <c r="A700" s="1">
        <v>699</v>
      </c>
      <c r="B700" s="1">
        <v>2014</v>
      </c>
      <c r="C700" s="1" t="s">
        <v>31</v>
      </c>
      <c r="D700" s="1" t="s">
        <v>125</v>
      </c>
      <c r="E700" s="1" t="s">
        <v>324</v>
      </c>
      <c r="F700" s="1" t="s">
        <v>32</v>
      </c>
      <c r="G700" s="1">
        <v>115</v>
      </c>
      <c r="I700" s="12">
        <v>8.86</v>
      </c>
      <c r="J700" s="12">
        <v>25.3</v>
      </c>
      <c r="L700" s="16">
        <v>3265</v>
      </c>
      <c r="N700" s="16">
        <v>28896</v>
      </c>
      <c r="O700" s="15">
        <v>30</v>
      </c>
      <c r="P700" s="15">
        <v>8.1999999999999993</v>
      </c>
      <c r="Q700" s="15">
        <v>44.3</v>
      </c>
      <c r="R700" s="15">
        <v>54.6</v>
      </c>
      <c r="T700" s="15"/>
      <c r="U700" s="15">
        <v>30.1</v>
      </c>
      <c r="V700" s="15">
        <v>5</v>
      </c>
      <c r="W700" s="12">
        <v>0.7</v>
      </c>
      <c r="X700" s="15"/>
      <c r="Y700" s="15">
        <v>67.8</v>
      </c>
      <c r="Z700" s="12">
        <v>2.15</v>
      </c>
      <c r="AB700" s="16"/>
      <c r="AD700" s="16"/>
      <c r="AE700" s="1">
        <v>1</v>
      </c>
    </row>
    <row r="701" spans="1:31" x14ac:dyDescent="0.2">
      <c r="A701" s="1">
        <v>700</v>
      </c>
      <c r="B701" s="1">
        <v>2012</v>
      </c>
      <c r="C701" s="1" t="s">
        <v>31</v>
      </c>
      <c r="D701" s="1" t="s">
        <v>37</v>
      </c>
      <c r="E701" s="1" t="s">
        <v>40</v>
      </c>
      <c r="F701" s="1" t="s">
        <v>83</v>
      </c>
      <c r="H701" s="1" t="s">
        <v>34</v>
      </c>
      <c r="I701" s="12">
        <v>6.95</v>
      </c>
      <c r="J701" s="12">
        <v>19.899999999999999</v>
      </c>
      <c r="L701" s="16">
        <v>3267</v>
      </c>
      <c r="M701" s="1" t="s">
        <v>34</v>
      </c>
      <c r="N701" s="16">
        <v>22693</v>
      </c>
      <c r="O701" s="15">
        <v>32.6</v>
      </c>
      <c r="P701" s="15">
        <v>7.11</v>
      </c>
      <c r="Q701" s="15">
        <v>46.4</v>
      </c>
      <c r="R701" s="15">
        <v>56.6</v>
      </c>
      <c r="T701" s="15"/>
      <c r="U701" s="15">
        <v>35.700000000000003</v>
      </c>
      <c r="V701" s="15">
        <v>3.6</v>
      </c>
      <c r="W701" s="12">
        <v>0.72</v>
      </c>
      <c r="X701" s="15"/>
      <c r="Y701" s="15"/>
      <c r="Z701" s="12">
        <v>1.82</v>
      </c>
      <c r="AB701" s="16"/>
      <c r="AD701" s="16"/>
      <c r="AE701" s="1">
        <v>1</v>
      </c>
    </row>
    <row r="702" spans="1:31" x14ac:dyDescent="0.2">
      <c r="A702" s="1">
        <v>701</v>
      </c>
      <c r="B702" s="1">
        <v>2008</v>
      </c>
      <c r="C702" s="1" t="s">
        <v>31</v>
      </c>
      <c r="D702" s="1" t="s">
        <v>916</v>
      </c>
      <c r="E702" s="8">
        <v>8701</v>
      </c>
      <c r="F702" s="8" t="s">
        <v>32</v>
      </c>
      <c r="G702" s="8"/>
      <c r="H702" s="8"/>
      <c r="I702" s="12">
        <v>9.0500000000000007</v>
      </c>
      <c r="J702" s="7">
        <v>25.857142857142861</v>
      </c>
      <c r="K702" s="13"/>
      <c r="L702" s="14">
        <v>3267</v>
      </c>
      <c r="M702" s="14"/>
      <c r="N702" s="14">
        <v>29569</v>
      </c>
      <c r="O702" s="13">
        <v>30.6</v>
      </c>
      <c r="P702" s="13">
        <v>7.7</v>
      </c>
      <c r="Q702" s="13">
        <v>50.1</v>
      </c>
      <c r="R702" s="13">
        <v>64.599999999999994</v>
      </c>
      <c r="S702" s="13"/>
      <c r="T702" s="13"/>
      <c r="U702" s="13">
        <v>26.1</v>
      </c>
      <c r="V702" s="13"/>
      <c r="W702" s="13"/>
      <c r="X702" s="15"/>
      <c r="Y702" s="13">
        <v>71.7</v>
      </c>
      <c r="Z702" s="7">
        <v>2.92</v>
      </c>
      <c r="AB702" s="16"/>
      <c r="AD702" s="16"/>
      <c r="AE702" s="1">
        <v>1</v>
      </c>
    </row>
    <row r="703" spans="1:31" x14ac:dyDescent="0.2">
      <c r="A703" s="1">
        <v>702</v>
      </c>
      <c r="B703" s="1">
        <v>2020</v>
      </c>
      <c r="C703" s="1" t="s">
        <v>31</v>
      </c>
      <c r="D703" s="1" t="s">
        <v>402</v>
      </c>
      <c r="E703" s="1" t="s">
        <v>658</v>
      </c>
      <c r="F703" s="1" t="s">
        <v>32</v>
      </c>
      <c r="G703" s="1">
        <v>117</v>
      </c>
      <c r="H703" s="1" t="s">
        <v>754</v>
      </c>
      <c r="I703" s="12">
        <v>8.6322444122640007</v>
      </c>
      <c r="J703" s="12">
        <v>24.555131834000001</v>
      </c>
      <c r="K703" s="1" t="s">
        <v>754</v>
      </c>
      <c r="L703" s="16">
        <v>3268.7301288869999</v>
      </c>
      <c r="M703" s="16" t="s">
        <v>754</v>
      </c>
      <c r="N703" s="16">
        <v>21556.798727232999</v>
      </c>
      <c r="O703" s="10">
        <v>47.927052799999998</v>
      </c>
      <c r="P703" s="15">
        <v>7.7125000000000004</v>
      </c>
      <c r="Q703" s="15">
        <v>45.884999999999998</v>
      </c>
      <c r="R703" s="15">
        <v>52.554229622999998</v>
      </c>
      <c r="S703" s="15"/>
      <c r="T703" s="15">
        <v>25.202500000000001</v>
      </c>
      <c r="U703" s="15">
        <v>27.577500000000001</v>
      </c>
      <c r="V703" s="15">
        <v>5.4432304</v>
      </c>
      <c r="W703" s="12">
        <v>0.68487569199999998</v>
      </c>
      <c r="X703" s="15"/>
      <c r="Y703" s="15">
        <v>72.866349249999999</v>
      </c>
      <c r="Z703" s="12"/>
      <c r="AA703" s="15">
        <v>1.5</v>
      </c>
      <c r="AB703" s="16">
        <f>AA703*33.334</f>
        <v>50.001000000000005</v>
      </c>
      <c r="AD703" s="16"/>
      <c r="AE703" s="1">
        <v>1</v>
      </c>
    </row>
    <row r="704" spans="1:31" x14ac:dyDescent="0.2">
      <c r="A704" s="1">
        <v>703</v>
      </c>
      <c r="B704" s="1">
        <v>2016</v>
      </c>
      <c r="C704" s="1" t="s">
        <v>88</v>
      </c>
      <c r="D704" s="8" t="s">
        <v>187</v>
      </c>
      <c r="E704" s="8" t="s">
        <v>569</v>
      </c>
      <c r="F704" s="1" t="s">
        <v>32</v>
      </c>
      <c r="I704" s="12">
        <v>9.8000000000000007</v>
      </c>
      <c r="J704" s="7">
        <v>28</v>
      </c>
      <c r="L704" s="5">
        <v>3269</v>
      </c>
      <c r="M704" s="1" t="s">
        <v>34</v>
      </c>
      <c r="N704" s="5">
        <v>32032</v>
      </c>
      <c r="O704" s="6">
        <v>28.0075</v>
      </c>
      <c r="P704" s="6">
        <v>6.2175000000000002</v>
      </c>
      <c r="Q704" s="6">
        <v>47.637500000000003</v>
      </c>
      <c r="R704" s="6">
        <v>42.072499999999998</v>
      </c>
      <c r="S704" s="6"/>
      <c r="T704" s="6">
        <v>31.8475</v>
      </c>
      <c r="U704" s="6">
        <v>21.0975</v>
      </c>
      <c r="V704" s="6">
        <v>10.285</v>
      </c>
      <c r="W704" s="7">
        <v>0.66</v>
      </c>
      <c r="X704" s="13"/>
      <c r="Y704" s="6">
        <v>62.057499999999997</v>
      </c>
      <c r="Z704" s="3">
        <v>1.9691942899999999</v>
      </c>
      <c r="AA704" s="13">
        <v>1.75</v>
      </c>
      <c r="AB704" s="16">
        <f>AA704*10</f>
        <v>17.5</v>
      </c>
      <c r="AC704" s="13">
        <v>1.25</v>
      </c>
      <c r="AD704" s="16">
        <f>AC704*10</f>
        <v>12.5</v>
      </c>
      <c r="AE704" s="1">
        <v>1</v>
      </c>
    </row>
    <row r="705" spans="1:31" x14ac:dyDescent="0.2">
      <c r="A705" s="1">
        <v>704</v>
      </c>
      <c r="B705" s="1">
        <v>2009</v>
      </c>
      <c r="C705" s="1" t="s">
        <v>31</v>
      </c>
      <c r="D705" s="1" t="s">
        <v>805</v>
      </c>
      <c r="E705" s="8" t="s">
        <v>49</v>
      </c>
      <c r="F705" s="1" t="s">
        <v>83</v>
      </c>
      <c r="H705" s="1" t="s">
        <v>34</v>
      </c>
      <c r="I705" s="12">
        <v>9.8699999999999992</v>
      </c>
      <c r="J705" s="7">
        <v>28.2</v>
      </c>
      <c r="L705" s="14">
        <v>3270</v>
      </c>
      <c r="M705" s="14"/>
      <c r="N705" s="14">
        <v>32290</v>
      </c>
      <c r="O705" s="13">
        <v>36.4</v>
      </c>
      <c r="P705" s="13">
        <v>8.07</v>
      </c>
      <c r="Q705" s="13">
        <v>37.6</v>
      </c>
      <c r="R705" s="13">
        <v>50.1</v>
      </c>
      <c r="S705" s="8"/>
      <c r="T705" s="13">
        <v>22.7</v>
      </c>
      <c r="U705" s="13">
        <v>40.299999999999997</v>
      </c>
      <c r="V705" s="15"/>
      <c r="W705" s="7" t="s">
        <v>89</v>
      </c>
      <c r="X705" s="13"/>
      <c r="Y705" s="13">
        <v>70.900000000000006</v>
      </c>
      <c r="Z705" s="7">
        <v>1.86</v>
      </c>
      <c r="AB705" s="16"/>
      <c r="AD705" s="16"/>
      <c r="AE705" s="1">
        <v>1</v>
      </c>
    </row>
    <row r="706" spans="1:31" x14ac:dyDescent="0.2">
      <c r="A706" s="1">
        <v>705</v>
      </c>
      <c r="B706" s="1">
        <v>2017</v>
      </c>
      <c r="C706" s="1" t="s">
        <v>31</v>
      </c>
      <c r="D706" s="8" t="s">
        <v>71</v>
      </c>
      <c r="E706" s="8" t="s">
        <v>559</v>
      </c>
      <c r="F706" s="1" t="s">
        <v>32</v>
      </c>
      <c r="G706" s="1">
        <v>117</v>
      </c>
      <c r="I706" s="12">
        <v>7.8941781600000001</v>
      </c>
      <c r="J706" s="3">
        <v>22.554794699999999</v>
      </c>
      <c r="L706" s="5">
        <v>3270.5</v>
      </c>
      <c r="N706" s="5">
        <v>25875.603200000001</v>
      </c>
      <c r="O706" s="6">
        <v>29.809496599999999</v>
      </c>
      <c r="P706" s="6">
        <v>6.5374999999999996</v>
      </c>
      <c r="Q706" s="6">
        <v>46</v>
      </c>
      <c r="R706" s="6">
        <v>52.272500000000001</v>
      </c>
      <c r="S706" s="3"/>
      <c r="T706" s="6">
        <v>28.2</v>
      </c>
      <c r="U706" s="6">
        <v>31.107500000000002</v>
      </c>
      <c r="V706" s="6">
        <v>2.5975000000000001</v>
      </c>
      <c r="W706" s="3">
        <v>0.74086685000000008</v>
      </c>
      <c r="X706" s="6"/>
      <c r="Y706" s="6">
        <v>68.97</v>
      </c>
      <c r="Z706" s="3">
        <v>1.8921765100000001</v>
      </c>
      <c r="AB706" s="16"/>
      <c r="AD706" s="16"/>
      <c r="AE706" s="1">
        <v>1</v>
      </c>
    </row>
    <row r="707" spans="1:31" x14ac:dyDescent="0.2">
      <c r="A707" s="1">
        <v>706</v>
      </c>
      <c r="B707" s="1">
        <v>2014</v>
      </c>
      <c r="C707" s="1" t="s">
        <v>31</v>
      </c>
      <c r="D707" s="1" t="s">
        <v>916</v>
      </c>
      <c r="E707" s="1" t="s">
        <v>411</v>
      </c>
      <c r="F707" s="1" t="s">
        <v>32</v>
      </c>
      <c r="G707" s="1">
        <v>118</v>
      </c>
      <c r="I707" s="12">
        <v>8.8699999999999992</v>
      </c>
      <c r="J707" s="12">
        <v>25.3</v>
      </c>
      <c r="L707" s="16">
        <v>3272</v>
      </c>
      <c r="N707" s="16">
        <v>29000</v>
      </c>
      <c r="O707" s="15">
        <v>30.9</v>
      </c>
      <c r="P707" s="15">
        <v>7.6</v>
      </c>
      <c r="Q707" s="15">
        <v>43.3</v>
      </c>
      <c r="R707" s="15">
        <v>51.4</v>
      </c>
      <c r="T707" s="15"/>
      <c r="U707" s="15">
        <v>29.7</v>
      </c>
      <c r="V707" s="15">
        <v>5.9</v>
      </c>
      <c r="W707" s="12">
        <v>0.71</v>
      </c>
      <c r="X707" s="15"/>
      <c r="Y707" s="15">
        <v>68.599999999999994</v>
      </c>
      <c r="Z707" s="12">
        <v>1.97</v>
      </c>
      <c r="AB707" s="16"/>
      <c r="AD707" s="16"/>
      <c r="AE707" s="1">
        <v>1</v>
      </c>
    </row>
    <row r="708" spans="1:31" x14ac:dyDescent="0.2">
      <c r="A708" s="1">
        <v>707</v>
      </c>
      <c r="B708" s="1">
        <v>2015</v>
      </c>
      <c r="C708" s="8" t="s">
        <v>31</v>
      </c>
      <c r="D708" s="1" t="s">
        <v>805</v>
      </c>
      <c r="E708" s="8" t="s">
        <v>485</v>
      </c>
      <c r="F708" s="1" t="s">
        <v>32</v>
      </c>
      <c r="G708" s="8">
        <v>120</v>
      </c>
      <c r="I708" s="12">
        <v>9.57</v>
      </c>
      <c r="J708" s="7">
        <v>27.3</v>
      </c>
      <c r="L708" s="14">
        <v>3272</v>
      </c>
      <c r="N708" s="14">
        <v>31294</v>
      </c>
      <c r="O708" s="13">
        <v>36.299999999999997</v>
      </c>
      <c r="P708" s="13">
        <v>7.3</v>
      </c>
      <c r="Q708" s="13">
        <v>41.1</v>
      </c>
      <c r="R708" s="13">
        <v>50.9</v>
      </c>
      <c r="S708" s="8"/>
      <c r="T708" s="13">
        <v>26.6</v>
      </c>
      <c r="U708" s="13">
        <v>31.5</v>
      </c>
      <c r="V708" s="13">
        <v>3.5</v>
      </c>
      <c r="W708" s="7">
        <v>0.73</v>
      </c>
      <c r="X708" s="13"/>
      <c r="Y708" s="13">
        <v>70.5</v>
      </c>
      <c r="Z708" s="7">
        <v>2</v>
      </c>
      <c r="AA708" s="1" t="s">
        <v>89</v>
      </c>
      <c r="AB708" s="16" t="s">
        <v>89</v>
      </c>
      <c r="AC708" s="1" t="s">
        <v>89</v>
      </c>
      <c r="AD708" s="16" t="s">
        <v>89</v>
      </c>
      <c r="AE708" s="1">
        <v>1</v>
      </c>
    </row>
    <row r="709" spans="1:31" x14ac:dyDescent="0.2">
      <c r="A709" s="1">
        <v>708</v>
      </c>
      <c r="B709" s="1">
        <v>2021</v>
      </c>
      <c r="C709" s="1" t="s">
        <v>31</v>
      </c>
      <c r="D709" s="19" t="s">
        <v>900</v>
      </c>
      <c r="E709" s="1" t="s">
        <v>809</v>
      </c>
      <c r="F709" s="1" t="s">
        <v>32</v>
      </c>
      <c r="G709" s="1">
        <v>116</v>
      </c>
      <c r="H709" s="1" t="s">
        <v>89</v>
      </c>
      <c r="I709" s="12">
        <v>6.6048508471525</v>
      </c>
      <c r="J709" s="12">
        <v>18.87100242</v>
      </c>
      <c r="K709" s="1" t="s">
        <v>89</v>
      </c>
      <c r="L709" s="16">
        <v>3274.8962619980002</v>
      </c>
      <c r="M709" s="16" t="s">
        <v>89</v>
      </c>
      <c r="N709" s="16">
        <v>21744.461331199</v>
      </c>
      <c r="O709" s="15">
        <v>33.9993458</v>
      </c>
      <c r="P709" s="15">
        <v>8.0728476730000001</v>
      </c>
      <c r="Q709" s="15">
        <v>39.510718312999998</v>
      </c>
      <c r="R709" s="15">
        <v>57.906169738000003</v>
      </c>
      <c r="T709" s="15">
        <v>22.885010756</v>
      </c>
      <c r="U709" s="15">
        <v>38.575409870000001</v>
      </c>
      <c r="V709" s="15">
        <v>6.4275526599999999</v>
      </c>
      <c r="W709" s="12">
        <v>0.69534473868999991</v>
      </c>
      <c r="X709" s="15"/>
      <c r="Y709" s="15">
        <v>71.211574313</v>
      </c>
      <c r="Z709" s="12"/>
      <c r="AA709" s="15">
        <v>0.46078064400000002</v>
      </c>
      <c r="AB709" s="16">
        <f>AA709*33.334</f>
        <v>15.359661987096002</v>
      </c>
      <c r="AD709" s="16"/>
      <c r="AE709" s="1">
        <v>1</v>
      </c>
    </row>
    <row r="710" spans="1:31" x14ac:dyDescent="0.2">
      <c r="A710" s="1">
        <v>709</v>
      </c>
      <c r="B710" s="1">
        <v>2019</v>
      </c>
      <c r="C710" s="1" t="s">
        <v>88</v>
      </c>
      <c r="D710" s="8" t="s">
        <v>719</v>
      </c>
      <c r="E710" s="8" t="s">
        <v>740</v>
      </c>
      <c r="F710" s="1" t="s">
        <v>32</v>
      </c>
      <c r="I710" s="12">
        <v>6.96</v>
      </c>
      <c r="J710" s="3">
        <v>19.892499999999998</v>
      </c>
      <c r="K710" s="1" t="s">
        <v>34</v>
      </c>
      <c r="L710" s="5">
        <v>3275.8</v>
      </c>
      <c r="M710" s="1" t="s">
        <v>34</v>
      </c>
      <c r="N710" s="5">
        <v>22815.3</v>
      </c>
      <c r="O710" s="6">
        <v>34.36</v>
      </c>
      <c r="P710" s="6">
        <v>6.3724999999999996</v>
      </c>
      <c r="Q710" s="6">
        <v>40.61</v>
      </c>
      <c r="R710" s="6">
        <v>34</v>
      </c>
      <c r="S710" s="3"/>
      <c r="T710" s="6">
        <v>28.9375</v>
      </c>
      <c r="U710" s="6">
        <v>20.355</v>
      </c>
      <c r="V710" s="6">
        <v>15.7925</v>
      </c>
      <c r="W710" s="3">
        <v>0.72807500000000003</v>
      </c>
      <c r="X710" s="6"/>
      <c r="Y710" s="6">
        <v>62.1</v>
      </c>
      <c r="Z710" s="3">
        <v>0.91749999999999998</v>
      </c>
      <c r="AB710" s="16"/>
      <c r="AC710" s="6">
        <v>1</v>
      </c>
      <c r="AD710" s="16">
        <f>AC710*10</f>
        <v>10</v>
      </c>
      <c r="AE710" s="1">
        <v>1</v>
      </c>
    </row>
    <row r="711" spans="1:31" x14ac:dyDescent="0.2">
      <c r="A711" s="1">
        <v>710</v>
      </c>
      <c r="B711" s="1">
        <v>2015</v>
      </c>
      <c r="C711" s="8" t="s">
        <v>88</v>
      </c>
      <c r="D711" s="8" t="s">
        <v>1023</v>
      </c>
      <c r="E711" s="8" t="s">
        <v>237</v>
      </c>
      <c r="F711" s="1" t="s">
        <v>32</v>
      </c>
      <c r="I711" s="12">
        <v>6.32</v>
      </c>
      <c r="J711" s="7">
        <v>18.05714285714286</v>
      </c>
      <c r="L711" s="14">
        <v>3276</v>
      </c>
      <c r="N711" s="14">
        <v>20732</v>
      </c>
      <c r="O711" s="13">
        <v>29.2</v>
      </c>
      <c r="P711" s="13">
        <v>10.4</v>
      </c>
      <c r="Q711" s="13">
        <v>50.3</v>
      </c>
      <c r="R711" s="13">
        <v>53.9</v>
      </c>
      <c r="S711" s="8"/>
      <c r="T711" s="15" t="s">
        <v>89</v>
      </c>
      <c r="U711" s="13">
        <v>21.6</v>
      </c>
      <c r="V711" s="13">
        <v>5</v>
      </c>
      <c r="W711" s="7">
        <v>0.65</v>
      </c>
      <c r="X711" s="13"/>
      <c r="Y711" s="13">
        <v>64.099999999999994</v>
      </c>
      <c r="Z711" s="7">
        <v>1.72</v>
      </c>
      <c r="AA711" s="13">
        <v>1.2</v>
      </c>
      <c r="AB711" s="16">
        <f>AA711*10</f>
        <v>12</v>
      </c>
      <c r="AC711" s="13">
        <v>1</v>
      </c>
      <c r="AD711" s="16">
        <f>AC711*10</f>
        <v>10</v>
      </c>
      <c r="AE711" s="1">
        <v>1</v>
      </c>
    </row>
    <row r="712" spans="1:31" x14ac:dyDescent="0.2">
      <c r="A712" s="1">
        <v>711</v>
      </c>
      <c r="B712" s="1">
        <v>2016</v>
      </c>
      <c r="C712" s="1" t="s">
        <v>88</v>
      </c>
      <c r="D712" s="8" t="s">
        <v>187</v>
      </c>
      <c r="E712" s="8" t="s">
        <v>563</v>
      </c>
      <c r="F712" s="1" t="s">
        <v>32</v>
      </c>
      <c r="I712" s="12">
        <v>7.4</v>
      </c>
      <c r="J712" s="7">
        <v>21.1428571428571</v>
      </c>
      <c r="L712" s="5">
        <v>3276.75</v>
      </c>
      <c r="N712" s="5">
        <v>24395.4</v>
      </c>
      <c r="O712" s="6">
        <v>32.847499999999997</v>
      </c>
      <c r="P712" s="6">
        <v>6.83</v>
      </c>
      <c r="Q712" s="6">
        <v>51.897500000000001</v>
      </c>
      <c r="R712" s="6">
        <v>53.89</v>
      </c>
      <c r="S712" s="6"/>
      <c r="T712" s="6">
        <v>33.015000000000001</v>
      </c>
      <c r="U712" s="6">
        <v>18.852499999999999</v>
      </c>
      <c r="V712" s="6">
        <v>8.6274999999999995</v>
      </c>
      <c r="W712" s="7">
        <v>0.65</v>
      </c>
      <c r="X712" s="13"/>
      <c r="Y712" s="6">
        <v>63.994999999999997</v>
      </c>
      <c r="Z712" s="3">
        <v>2.05847413</v>
      </c>
      <c r="AA712" s="6">
        <v>1.62</v>
      </c>
      <c r="AB712" s="16">
        <f>AA712*10</f>
        <v>16.200000000000003</v>
      </c>
      <c r="AC712" s="6">
        <v>1.25</v>
      </c>
      <c r="AD712" s="16">
        <f>AC712*10</f>
        <v>12.5</v>
      </c>
      <c r="AE712" s="1">
        <v>1</v>
      </c>
    </row>
    <row r="713" spans="1:31" x14ac:dyDescent="0.2">
      <c r="A713" s="1">
        <v>712</v>
      </c>
      <c r="B713" s="1">
        <v>2015</v>
      </c>
      <c r="C713" s="8" t="s">
        <v>31</v>
      </c>
      <c r="D713" s="8" t="s">
        <v>402</v>
      </c>
      <c r="E713" s="8" t="s">
        <v>500</v>
      </c>
      <c r="F713" s="1" t="s">
        <v>83</v>
      </c>
      <c r="I713" s="12">
        <v>7.12</v>
      </c>
      <c r="J713" s="7">
        <v>25.1</v>
      </c>
      <c r="L713" s="14">
        <v>3277</v>
      </c>
      <c r="N713" s="14">
        <v>23306</v>
      </c>
      <c r="O713" s="13">
        <v>34.1</v>
      </c>
      <c r="P713" s="13">
        <v>7.4</v>
      </c>
      <c r="Q713" s="13">
        <v>40.299999999999997</v>
      </c>
      <c r="R713" s="13">
        <v>49.2</v>
      </c>
      <c r="S713" s="8"/>
      <c r="T713" s="13">
        <v>25.7</v>
      </c>
      <c r="U713" s="13">
        <v>31.3</v>
      </c>
      <c r="V713" s="13">
        <v>3.9</v>
      </c>
      <c r="W713" s="7">
        <v>0.74</v>
      </c>
      <c r="X713" s="13"/>
      <c r="Y713" s="13">
        <v>71.099999999999994</v>
      </c>
      <c r="Z713" s="7">
        <v>1.41</v>
      </c>
      <c r="AA713" s="18">
        <v>1.25</v>
      </c>
      <c r="AB713" s="16">
        <f>AA713*10</f>
        <v>12.5</v>
      </c>
      <c r="AC713" s="15" t="s">
        <v>89</v>
      </c>
      <c r="AD713" s="16"/>
      <c r="AE713" s="1">
        <v>1</v>
      </c>
    </row>
    <row r="714" spans="1:31" x14ac:dyDescent="0.2">
      <c r="A714" s="1">
        <v>713</v>
      </c>
      <c r="B714" s="1">
        <v>2013</v>
      </c>
      <c r="C714" s="1" t="s">
        <v>31</v>
      </c>
      <c r="D714" s="1" t="s">
        <v>916</v>
      </c>
      <c r="E714" s="8" t="s">
        <v>361</v>
      </c>
      <c r="F714" s="1" t="s">
        <v>32</v>
      </c>
      <c r="G714" s="8">
        <v>117</v>
      </c>
      <c r="H714" s="8"/>
      <c r="I714" s="12">
        <v>8.86</v>
      </c>
      <c r="J714" s="7">
        <v>25.314285714285699</v>
      </c>
      <c r="K714" s="13"/>
      <c r="L714" s="14">
        <v>3277</v>
      </c>
      <c r="M714" s="8"/>
      <c r="N714" s="14">
        <v>29039</v>
      </c>
      <c r="O714" s="13">
        <v>34.4</v>
      </c>
      <c r="P714" s="13">
        <v>8.1</v>
      </c>
      <c r="Q714" s="13">
        <v>35.9</v>
      </c>
      <c r="R714" s="13">
        <v>48.8</v>
      </c>
      <c r="S714" s="13" t="s">
        <v>89</v>
      </c>
      <c r="T714" s="13"/>
      <c r="U714" s="13">
        <v>36.299999999999997</v>
      </c>
      <c r="V714" s="13">
        <v>4.9000000000000004</v>
      </c>
      <c r="W714" s="7">
        <v>0.74</v>
      </c>
      <c r="X714" s="15" t="s">
        <v>89</v>
      </c>
      <c r="Y714" s="15" t="s">
        <v>89</v>
      </c>
      <c r="Z714" s="7">
        <v>1.55</v>
      </c>
      <c r="AB714" s="16"/>
      <c r="AD714" s="16"/>
      <c r="AE714" s="1">
        <v>1</v>
      </c>
    </row>
    <row r="715" spans="1:31" x14ac:dyDescent="0.2">
      <c r="A715" s="1">
        <v>714</v>
      </c>
      <c r="B715" s="1">
        <v>2020</v>
      </c>
      <c r="C715" s="1" t="s">
        <v>31</v>
      </c>
      <c r="D715" s="28" t="s">
        <v>914</v>
      </c>
      <c r="E715" s="1" t="s">
        <v>764</v>
      </c>
      <c r="F715" s="1" t="s">
        <v>32</v>
      </c>
      <c r="G715" s="1">
        <v>115</v>
      </c>
      <c r="H715" s="1" t="s">
        <v>754</v>
      </c>
      <c r="I715" s="12">
        <v>8.9201401591225</v>
      </c>
      <c r="J715" s="12">
        <v>25.480757088000001</v>
      </c>
      <c r="K715" s="1" t="s">
        <v>754</v>
      </c>
      <c r="L715" s="16">
        <v>3278.9606849030001</v>
      </c>
      <c r="M715" s="16" t="s">
        <v>34</v>
      </c>
      <c r="N715" s="16">
        <v>29205.631795869998</v>
      </c>
      <c r="O715" s="10">
        <v>50.754277000000002</v>
      </c>
      <c r="P715" s="15">
        <v>7.8475000000000001</v>
      </c>
      <c r="Q715" s="15">
        <v>44.17</v>
      </c>
      <c r="R715" s="15">
        <v>48.329229623000003</v>
      </c>
      <c r="S715" s="15"/>
      <c r="T715" s="15">
        <v>23.717500000000001</v>
      </c>
      <c r="U715" s="15">
        <v>29.4375</v>
      </c>
      <c r="V715" s="15">
        <v>5.0032303999999996</v>
      </c>
      <c r="W715" s="12">
        <v>0.68890978700000005</v>
      </c>
      <c r="X715" s="15"/>
      <c r="Y715" s="15">
        <v>72.461013750000006</v>
      </c>
      <c r="Z715" s="12"/>
      <c r="AA715" s="15">
        <v>2.125</v>
      </c>
      <c r="AB715" s="16">
        <f>AA715*33.334</f>
        <v>70.834750000000014</v>
      </c>
      <c r="AD715" s="16"/>
      <c r="AE715" s="1">
        <v>1</v>
      </c>
    </row>
    <row r="716" spans="1:31" x14ac:dyDescent="0.2">
      <c r="A716" s="1">
        <v>715</v>
      </c>
      <c r="B716" s="1">
        <v>2012</v>
      </c>
      <c r="C716" s="1" t="s">
        <v>31</v>
      </c>
      <c r="D716" s="22" t="s">
        <v>917</v>
      </c>
      <c r="E716" s="1" t="s">
        <v>301</v>
      </c>
      <c r="F716" s="1" t="s">
        <v>83</v>
      </c>
      <c r="I716" s="12">
        <v>5.4</v>
      </c>
      <c r="J716" s="12">
        <v>15.4</v>
      </c>
      <c r="L716" s="16">
        <v>3280</v>
      </c>
      <c r="N716" s="16">
        <v>17711</v>
      </c>
      <c r="O716" s="15">
        <v>35.200000000000003</v>
      </c>
      <c r="P716" s="15">
        <v>6.92</v>
      </c>
      <c r="Q716" s="15">
        <v>42.1</v>
      </c>
      <c r="R716" s="15">
        <v>57.5</v>
      </c>
      <c r="T716" s="15"/>
      <c r="U716" s="15">
        <v>39.799999999999997</v>
      </c>
      <c r="V716" s="15">
        <v>3</v>
      </c>
      <c r="W716" s="12">
        <v>0.73</v>
      </c>
      <c r="X716" s="15"/>
      <c r="Y716" s="15"/>
      <c r="Z716" s="12">
        <v>1.31</v>
      </c>
      <c r="AB716" s="16"/>
      <c r="AD716" s="16"/>
      <c r="AE716" s="1">
        <v>1</v>
      </c>
    </row>
    <row r="717" spans="1:31" x14ac:dyDescent="0.2">
      <c r="A717" s="1">
        <v>716</v>
      </c>
      <c r="B717" s="1">
        <v>2015</v>
      </c>
      <c r="C717" s="8" t="s">
        <v>31</v>
      </c>
      <c r="D717" s="8" t="s">
        <v>108</v>
      </c>
      <c r="E717" s="8" t="s">
        <v>433</v>
      </c>
      <c r="F717" s="1" t="s">
        <v>83</v>
      </c>
      <c r="H717" s="1" t="s">
        <v>34</v>
      </c>
      <c r="I717" s="12">
        <v>7.92</v>
      </c>
      <c r="J717" s="7">
        <v>29.4</v>
      </c>
      <c r="L717" s="14">
        <v>3281</v>
      </c>
      <c r="M717" s="1" t="s">
        <v>34</v>
      </c>
      <c r="N717" s="14">
        <v>26162</v>
      </c>
      <c r="O717" s="13">
        <v>32.9</v>
      </c>
      <c r="P717" s="13">
        <v>7.4</v>
      </c>
      <c r="Q717" s="13">
        <v>43.6</v>
      </c>
      <c r="R717" s="13">
        <v>52.1</v>
      </c>
      <c r="S717" s="8"/>
      <c r="T717" s="13">
        <v>27.1</v>
      </c>
      <c r="U717" s="13">
        <v>29.4</v>
      </c>
      <c r="V717" s="13">
        <v>3.8</v>
      </c>
      <c r="W717" s="7">
        <v>0.72</v>
      </c>
      <c r="X717" s="13"/>
      <c r="Y717" s="13">
        <v>69.8</v>
      </c>
      <c r="Z717" s="7">
        <v>1.77</v>
      </c>
      <c r="AA717" s="18">
        <v>1.625</v>
      </c>
      <c r="AB717" s="16">
        <f>AA717*10</f>
        <v>16.25</v>
      </c>
      <c r="AC717" s="15" t="s">
        <v>89</v>
      </c>
      <c r="AD717" s="16"/>
      <c r="AE717" s="1">
        <v>1</v>
      </c>
    </row>
    <row r="718" spans="1:31" x14ac:dyDescent="0.2">
      <c r="A718" s="1">
        <v>717</v>
      </c>
      <c r="B718" s="1">
        <v>2014</v>
      </c>
      <c r="C718" s="1" t="s">
        <v>88</v>
      </c>
      <c r="D718" s="1" t="s">
        <v>916</v>
      </c>
      <c r="E718" s="8" t="s">
        <v>92</v>
      </c>
      <c r="F718" s="8" t="s">
        <v>83</v>
      </c>
      <c r="G718" s="8"/>
      <c r="H718" s="8"/>
      <c r="I718" s="12">
        <v>8.75</v>
      </c>
      <c r="J718" s="7">
        <v>25</v>
      </c>
      <c r="K718" s="13"/>
      <c r="L718" s="14">
        <v>3281</v>
      </c>
      <c r="M718" s="14"/>
      <c r="N718" s="14">
        <v>28686</v>
      </c>
      <c r="O718" s="13">
        <v>28.8</v>
      </c>
      <c r="P718" s="13">
        <v>8.1999999999999993</v>
      </c>
      <c r="Q718" s="13">
        <v>47.9</v>
      </c>
      <c r="R718" s="13">
        <v>51.6</v>
      </c>
      <c r="S718" s="13"/>
      <c r="T718" s="13"/>
      <c r="U718" s="13">
        <v>26.1</v>
      </c>
      <c r="V718" s="13">
        <v>1.5</v>
      </c>
      <c r="W718" s="7">
        <v>0.65</v>
      </c>
      <c r="X718" s="15"/>
      <c r="Y718" s="13">
        <v>63.5</v>
      </c>
      <c r="Z718" s="7">
        <v>2.15</v>
      </c>
      <c r="AA718" s="13">
        <v>1</v>
      </c>
      <c r="AB718" s="16">
        <f>AA718*10</f>
        <v>10</v>
      </c>
      <c r="AC718" s="8">
        <v>8.8000000000000007</v>
      </c>
      <c r="AD718" s="16">
        <f>AC718*10</f>
        <v>88</v>
      </c>
      <c r="AE718" s="1">
        <v>1</v>
      </c>
    </row>
    <row r="719" spans="1:31" x14ac:dyDescent="0.2">
      <c r="A719" s="1">
        <v>718</v>
      </c>
      <c r="B719" s="1">
        <v>2017</v>
      </c>
      <c r="C719" s="1" t="s">
        <v>31</v>
      </c>
      <c r="D719" s="8" t="s">
        <v>71</v>
      </c>
      <c r="E719" s="8" t="s">
        <v>441</v>
      </c>
      <c r="F719" s="1" t="s">
        <v>32</v>
      </c>
      <c r="G719" s="1">
        <v>113</v>
      </c>
      <c r="I719" s="12">
        <v>8.5654831500000004</v>
      </c>
      <c r="J719" s="3">
        <v>24.472809000000002</v>
      </c>
      <c r="L719" s="5">
        <v>3281.75</v>
      </c>
      <c r="N719" s="5">
        <v>28077.602599999998</v>
      </c>
      <c r="O719" s="6">
        <v>28.603702500000001</v>
      </c>
      <c r="P719" s="6">
        <v>7.0274999999999999</v>
      </c>
      <c r="Q719" s="6">
        <v>44.3</v>
      </c>
      <c r="R719" s="6">
        <v>52.802500000000002</v>
      </c>
      <c r="S719" s="3"/>
      <c r="T719" s="6">
        <v>27.6</v>
      </c>
      <c r="U719" s="6">
        <v>32.827500000000001</v>
      </c>
      <c r="V719" s="6">
        <v>2.89</v>
      </c>
      <c r="W719" s="3">
        <v>0.73805399999999988</v>
      </c>
      <c r="X719" s="6"/>
      <c r="Y719" s="6">
        <v>68.742500000000007</v>
      </c>
      <c r="Z719" s="3">
        <v>2.0007621800000002</v>
      </c>
      <c r="AB719" s="16"/>
      <c r="AD719" s="16"/>
      <c r="AE719" s="1">
        <v>1</v>
      </c>
    </row>
    <row r="720" spans="1:31" x14ac:dyDescent="0.2">
      <c r="A720" s="1">
        <v>719</v>
      </c>
      <c r="B720" s="1">
        <v>2010</v>
      </c>
      <c r="C720" s="1" t="s">
        <v>31</v>
      </c>
      <c r="D720" s="8" t="s">
        <v>150</v>
      </c>
      <c r="E720" s="8" t="s">
        <v>152</v>
      </c>
      <c r="F720" s="1" t="s">
        <v>32</v>
      </c>
      <c r="I720" s="12">
        <v>7.92</v>
      </c>
      <c r="J720" s="7">
        <v>22.628571428571401</v>
      </c>
      <c r="L720" s="14">
        <v>3283</v>
      </c>
      <c r="N720" s="14">
        <v>25998</v>
      </c>
      <c r="O720" s="13">
        <v>34.5</v>
      </c>
      <c r="P720" s="13">
        <v>10.6</v>
      </c>
      <c r="Q720" s="13">
        <v>45.2</v>
      </c>
      <c r="R720" s="13">
        <v>57.6</v>
      </c>
      <c r="S720" s="13"/>
      <c r="T720" s="15"/>
      <c r="U720" s="13">
        <v>32.1</v>
      </c>
      <c r="V720" s="13">
        <v>6</v>
      </c>
      <c r="W720" s="12"/>
      <c r="X720" s="15"/>
      <c r="Y720" s="13">
        <v>70.5</v>
      </c>
      <c r="Z720" s="7">
        <v>2.06</v>
      </c>
      <c r="AB720" s="16"/>
      <c r="AD720" s="16"/>
      <c r="AE720" s="1">
        <v>1</v>
      </c>
    </row>
    <row r="721" spans="1:31" x14ac:dyDescent="0.2">
      <c r="A721" s="1">
        <v>720</v>
      </c>
      <c r="B721" s="1">
        <v>2017</v>
      </c>
      <c r="C721" s="1" t="s">
        <v>31</v>
      </c>
      <c r="D721" s="8" t="s">
        <v>555</v>
      </c>
      <c r="E721" s="8" t="s">
        <v>557</v>
      </c>
      <c r="F721" s="1" t="s">
        <v>32</v>
      </c>
      <c r="G721" s="8">
        <v>114</v>
      </c>
      <c r="I721" s="12">
        <v>8.1504512899999995</v>
      </c>
      <c r="J721" s="3">
        <v>23.2870037</v>
      </c>
      <c r="L721" s="5">
        <v>3283.25</v>
      </c>
      <c r="N721" s="5">
        <v>26721.125400000001</v>
      </c>
      <c r="O721" s="6">
        <v>29.644730599999999</v>
      </c>
      <c r="P721" s="6">
        <v>7.835</v>
      </c>
      <c r="Q721" s="6">
        <v>45.8</v>
      </c>
      <c r="R721" s="6">
        <v>55.627499999999998</v>
      </c>
      <c r="S721" s="3"/>
      <c r="T721" s="6">
        <v>27.9</v>
      </c>
      <c r="U721" s="6">
        <v>30.1325</v>
      </c>
      <c r="V721" s="6">
        <v>3.04</v>
      </c>
      <c r="W721" s="3">
        <v>0.73457275</v>
      </c>
      <c r="X721" s="6"/>
      <c r="Y721" s="6">
        <v>68.462500000000006</v>
      </c>
      <c r="Z721" s="3">
        <v>2.0804808100000001</v>
      </c>
      <c r="AB721" s="16"/>
      <c r="AD721" s="16"/>
      <c r="AE721" s="1">
        <v>1</v>
      </c>
    </row>
    <row r="722" spans="1:31" x14ac:dyDescent="0.2">
      <c r="A722" s="1">
        <v>721</v>
      </c>
      <c r="B722" s="1">
        <v>2021</v>
      </c>
      <c r="C722" s="1" t="s">
        <v>31</v>
      </c>
      <c r="D722" s="1" t="s">
        <v>402</v>
      </c>
      <c r="E722" s="1" t="s">
        <v>658</v>
      </c>
      <c r="F722" s="1" t="s">
        <v>83</v>
      </c>
      <c r="G722" s="1">
        <v>117</v>
      </c>
      <c r="I722" s="12">
        <v>5.9252619513039999</v>
      </c>
      <c r="J722" s="12">
        <v>16.929319861</v>
      </c>
      <c r="K722" s="1" t="s">
        <v>89</v>
      </c>
      <c r="L722" s="16">
        <v>3283.8374220000001</v>
      </c>
      <c r="N722" s="16">
        <v>19522.381257852001</v>
      </c>
      <c r="O722" s="15">
        <v>38.780555</v>
      </c>
      <c r="P722" s="15">
        <v>8.4244787680000002</v>
      </c>
      <c r="Q722" s="15">
        <v>22.73</v>
      </c>
      <c r="R722" s="15">
        <v>40.015000000000001</v>
      </c>
      <c r="U722" s="15">
        <v>36.802500000000002</v>
      </c>
      <c r="V722" s="15">
        <v>7.5125000000000002</v>
      </c>
      <c r="W722" s="12">
        <v>0.69750390814999996</v>
      </c>
      <c r="X722" s="15"/>
      <c r="Y722" s="15">
        <v>71.357518205000005</v>
      </c>
      <c r="Z722" s="12"/>
      <c r="AA722" s="15">
        <v>0.25</v>
      </c>
      <c r="AB722" s="16">
        <f>AA722*33.334</f>
        <v>8.3335000000000008</v>
      </c>
      <c r="AD722" s="16"/>
      <c r="AE722" s="1">
        <v>1</v>
      </c>
    </row>
    <row r="723" spans="1:31" x14ac:dyDescent="0.2">
      <c r="A723" s="1">
        <v>722</v>
      </c>
      <c r="B723" s="1">
        <v>2013</v>
      </c>
      <c r="C723" s="1" t="s">
        <v>31</v>
      </c>
      <c r="D723" s="8" t="s">
        <v>37</v>
      </c>
      <c r="E723" s="8" t="s">
        <v>375</v>
      </c>
      <c r="F723" s="1" t="s">
        <v>32</v>
      </c>
      <c r="G723" s="8">
        <v>116</v>
      </c>
      <c r="H723" s="8"/>
      <c r="I723" s="12">
        <v>8.93</v>
      </c>
      <c r="J723" s="7">
        <v>25.514285714285698</v>
      </c>
      <c r="K723" s="13"/>
      <c r="L723" s="14">
        <v>3284</v>
      </c>
      <c r="M723" s="14"/>
      <c r="N723" s="14">
        <v>29363</v>
      </c>
      <c r="O723" s="13">
        <v>30.2</v>
      </c>
      <c r="P723" s="13">
        <v>7.9</v>
      </c>
      <c r="Q723" s="13">
        <v>41.2</v>
      </c>
      <c r="R723" s="13">
        <v>51.9</v>
      </c>
      <c r="S723" s="13"/>
      <c r="T723" s="13"/>
      <c r="U723" s="13">
        <v>33.299999999999997</v>
      </c>
      <c r="V723" s="13">
        <v>4.0999999999999996</v>
      </c>
      <c r="W723" s="7">
        <v>0.72</v>
      </c>
      <c r="X723" s="15"/>
      <c r="Y723" s="15"/>
      <c r="Z723" s="7">
        <v>1.91</v>
      </c>
      <c r="AB723" s="16"/>
      <c r="AD723" s="16"/>
      <c r="AE723" s="1">
        <v>1</v>
      </c>
    </row>
    <row r="724" spans="1:31" x14ac:dyDescent="0.2">
      <c r="A724" s="1">
        <v>723</v>
      </c>
      <c r="B724" s="1">
        <v>2018</v>
      </c>
      <c r="C724" s="1" t="s">
        <v>31</v>
      </c>
      <c r="D724" s="8" t="s">
        <v>874</v>
      </c>
      <c r="E724" s="1" t="s">
        <v>599</v>
      </c>
      <c r="F724" s="1" t="s">
        <v>32</v>
      </c>
      <c r="G724" s="1">
        <v>119</v>
      </c>
      <c r="H724" s="1" t="s">
        <v>34</v>
      </c>
      <c r="I724" s="12">
        <v>9.1999999999999993</v>
      </c>
      <c r="J724" s="3">
        <v>26.1</v>
      </c>
      <c r="L724" s="5">
        <v>3284.75</v>
      </c>
      <c r="M724" s="1" t="s">
        <v>34</v>
      </c>
      <c r="N724" s="5">
        <v>30108</v>
      </c>
      <c r="O724" s="6">
        <v>33.8675</v>
      </c>
      <c r="P724" s="18">
        <v>8.1999999999999993</v>
      </c>
      <c r="Q724" s="6">
        <v>40.487499999999997</v>
      </c>
      <c r="R724" s="6">
        <v>53.167499999999997</v>
      </c>
      <c r="S724" s="3"/>
      <c r="T724" s="6">
        <v>24.93</v>
      </c>
      <c r="U724" s="6">
        <v>34.7425</v>
      </c>
      <c r="V724" s="6">
        <v>5.7725</v>
      </c>
      <c r="W724" s="3">
        <v>0.72677499999999995</v>
      </c>
      <c r="X724" s="6"/>
      <c r="Y724" s="6">
        <v>70.157499999999999</v>
      </c>
      <c r="Z724" s="3">
        <v>1.97</v>
      </c>
      <c r="AB724" s="16"/>
      <c r="AD724" s="16"/>
      <c r="AE724" s="1">
        <v>1</v>
      </c>
    </row>
    <row r="725" spans="1:31" x14ac:dyDescent="0.2">
      <c r="A725" s="1">
        <v>724</v>
      </c>
      <c r="B725" s="1">
        <v>2020</v>
      </c>
      <c r="C725" s="1" t="s">
        <v>31</v>
      </c>
      <c r="D725" s="1" t="s">
        <v>108</v>
      </c>
      <c r="E725" s="1" t="s">
        <v>780</v>
      </c>
      <c r="F725" s="1" t="s">
        <v>32</v>
      </c>
      <c r="G725" s="1">
        <v>115</v>
      </c>
      <c r="H725" s="1" t="s">
        <v>754</v>
      </c>
      <c r="I725" s="12">
        <v>9.1055767804594989</v>
      </c>
      <c r="J725" s="12">
        <v>26.010576006000001</v>
      </c>
      <c r="K725" s="1" t="s">
        <v>754</v>
      </c>
      <c r="L725" s="16">
        <v>3285.070810614</v>
      </c>
      <c r="M725" s="16" t="s">
        <v>34</v>
      </c>
      <c r="N725" s="16">
        <v>29978.531589709</v>
      </c>
      <c r="O725" s="10">
        <v>48.314195300000002</v>
      </c>
      <c r="P725" s="15">
        <v>8.0875000000000004</v>
      </c>
      <c r="Q725" s="15">
        <v>47.517499999999998</v>
      </c>
      <c r="R725" s="15">
        <v>53.899229622999997</v>
      </c>
      <c r="S725" s="15"/>
      <c r="T725" s="15">
        <v>26.844999999999999</v>
      </c>
      <c r="U725" s="15">
        <v>25.24</v>
      </c>
      <c r="V725" s="15">
        <v>5.1832304000000002</v>
      </c>
      <c r="W725" s="12">
        <v>0.68598997499999992</v>
      </c>
      <c r="X725" s="15"/>
      <c r="Y725" s="15">
        <v>73.411113499999999</v>
      </c>
      <c r="Z725" s="12"/>
      <c r="AA725" s="15">
        <v>1.75</v>
      </c>
      <c r="AB725" s="16">
        <f>AA725*33.334</f>
        <v>58.334500000000006</v>
      </c>
      <c r="AD725" s="16"/>
      <c r="AE725" s="1">
        <v>1</v>
      </c>
    </row>
    <row r="726" spans="1:31" x14ac:dyDescent="0.2">
      <c r="A726" s="1">
        <v>725</v>
      </c>
      <c r="B726" s="1">
        <v>2012</v>
      </c>
      <c r="C726" s="1" t="s">
        <v>31</v>
      </c>
      <c r="D726" s="22" t="s">
        <v>917</v>
      </c>
      <c r="E726" s="1" t="s">
        <v>302</v>
      </c>
      <c r="F726" s="1" t="s">
        <v>83</v>
      </c>
      <c r="I726" s="12">
        <v>5.05</v>
      </c>
      <c r="J726" s="12">
        <v>14.4</v>
      </c>
      <c r="L726" s="16">
        <v>3287</v>
      </c>
      <c r="N726" s="16">
        <v>16625</v>
      </c>
      <c r="O726" s="15">
        <v>35.6</v>
      </c>
      <c r="P726" s="15">
        <v>7.85</v>
      </c>
      <c r="Q726" s="15">
        <v>38.9</v>
      </c>
      <c r="R726" s="15">
        <v>57.3</v>
      </c>
      <c r="T726" s="15"/>
      <c r="U726" s="15">
        <v>41.9</v>
      </c>
      <c r="V726" s="15">
        <v>3.1</v>
      </c>
      <c r="W726" s="12">
        <v>0.73</v>
      </c>
      <c r="X726" s="15"/>
      <c r="Y726" s="15"/>
      <c r="Z726" s="12">
        <v>1.1299999999999999</v>
      </c>
      <c r="AB726" s="16"/>
      <c r="AD726" s="16"/>
      <c r="AE726" s="1">
        <v>1</v>
      </c>
    </row>
    <row r="727" spans="1:31" x14ac:dyDescent="0.2">
      <c r="A727" s="1">
        <v>726</v>
      </c>
      <c r="B727" s="1">
        <v>2008</v>
      </c>
      <c r="C727" s="1" t="s">
        <v>31</v>
      </c>
      <c r="D727" s="8" t="s">
        <v>1024</v>
      </c>
      <c r="E727" s="8">
        <v>9701</v>
      </c>
      <c r="F727" s="8" t="s">
        <v>32</v>
      </c>
      <c r="G727" s="8"/>
      <c r="H727" s="8"/>
      <c r="I727" s="12">
        <v>9.4499999999999993</v>
      </c>
      <c r="J727" s="7">
        <v>27</v>
      </c>
      <c r="K727" s="13"/>
      <c r="L727" s="14">
        <v>3287</v>
      </c>
      <c r="M727" s="14"/>
      <c r="N727" s="14">
        <v>31077</v>
      </c>
      <c r="O727" s="13">
        <v>33.4</v>
      </c>
      <c r="P727" s="13">
        <v>6.6</v>
      </c>
      <c r="Q727" s="13">
        <v>48.9</v>
      </c>
      <c r="R727" s="13">
        <v>65.5</v>
      </c>
      <c r="S727" s="13"/>
      <c r="T727" s="13"/>
      <c r="U727" s="13">
        <v>27.2</v>
      </c>
      <c r="V727" s="13"/>
      <c r="W727" s="13"/>
      <c r="X727" s="15"/>
      <c r="Y727" s="13">
        <v>72.099999999999994</v>
      </c>
      <c r="Z727" s="7">
        <v>3.03</v>
      </c>
      <c r="AB727" s="16"/>
      <c r="AD727" s="16"/>
      <c r="AE727" s="1">
        <v>1</v>
      </c>
    </row>
    <row r="728" spans="1:31" x14ac:dyDescent="0.2">
      <c r="A728" s="1">
        <v>727</v>
      </c>
      <c r="B728" s="1">
        <v>2012</v>
      </c>
      <c r="C728" s="1" t="s">
        <v>31</v>
      </c>
      <c r="D728" s="22" t="s">
        <v>917</v>
      </c>
      <c r="E728" s="1" t="s">
        <v>309</v>
      </c>
      <c r="F728" s="1" t="s">
        <v>83</v>
      </c>
      <c r="I728" s="12">
        <v>6.15</v>
      </c>
      <c r="J728" s="12">
        <v>17.600000000000001</v>
      </c>
      <c r="L728" s="16">
        <v>3288</v>
      </c>
      <c r="N728" s="16">
        <v>20212</v>
      </c>
      <c r="O728" s="15">
        <v>34.4</v>
      </c>
      <c r="P728" s="15">
        <v>6.96</v>
      </c>
      <c r="Q728" s="15">
        <v>43</v>
      </c>
      <c r="R728" s="15">
        <v>57</v>
      </c>
      <c r="T728" s="15"/>
      <c r="U728" s="15">
        <v>39.200000000000003</v>
      </c>
      <c r="V728" s="15">
        <v>2.7</v>
      </c>
      <c r="W728" s="12">
        <v>0.73</v>
      </c>
      <c r="X728" s="15"/>
      <c r="Y728" s="15"/>
      <c r="Z728" s="12">
        <v>1.51</v>
      </c>
      <c r="AB728" s="16"/>
      <c r="AD728" s="16"/>
      <c r="AE728" s="1">
        <v>1</v>
      </c>
    </row>
    <row r="729" spans="1:31" x14ac:dyDescent="0.2">
      <c r="A729" s="1">
        <v>728</v>
      </c>
      <c r="B729" s="1">
        <v>2020</v>
      </c>
      <c r="C729" s="1" t="s">
        <v>31</v>
      </c>
      <c r="D729" s="1" t="s">
        <v>805</v>
      </c>
      <c r="E729" s="1" t="s">
        <v>716</v>
      </c>
      <c r="F729" s="1" t="s">
        <v>32</v>
      </c>
      <c r="G729" s="1">
        <v>114</v>
      </c>
      <c r="H729" s="1" t="s">
        <v>754</v>
      </c>
      <c r="I729" s="12">
        <v>8.5071552282240006</v>
      </c>
      <c r="J729" s="12">
        <v>24.300800143</v>
      </c>
      <c r="K729" s="1" t="s">
        <v>754</v>
      </c>
      <c r="L729" s="16">
        <v>3289.3179328780002</v>
      </c>
      <c r="M729" s="16" t="s">
        <v>754</v>
      </c>
      <c r="N729" s="16">
        <v>28016.345541121002</v>
      </c>
      <c r="O729" s="10">
        <v>47.482059499999998</v>
      </c>
      <c r="P729" s="15">
        <v>7.4074999999999998</v>
      </c>
      <c r="Q729" s="15">
        <v>45.655000000000001</v>
      </c>
      <c r="R729" s="15">
        <v>49.419229623</v>
      </c>
      <c r="S729" s="15"/>
      <c r="T729" s="15">
        <v>25.127500000000001</v>
      </c>
      <c r="U729" s="15">
        <v>28.5825</v>
      </c>
      <c r="V729" s="15">
        <v>4.2032303999999998</v>
      </c>
      <c r="W729" s="12">
        <v>0.68985952100000003</v>
      </c>
      <c r="X729" s="15"/>
      <c r="Y729" s="15">
        <v>72.791364934000001</v>
      </c>
      <c r="Z729" s="12"/>
      <c r="AA729" s="15">
        <v>1.25</v>
      </c>
      <c r="AB729" s="16">
        <f>AA729*33.334</f>
        <v>41.667500000000004</v>
      </c>
      <c r="AD729" s="16"/>
      <c r="AE729" s="1">
        <v>1</v>
      </c>
    </row>
    <row r="730" spans="1:31" x14ac:dyDescent="0.2">
      <c r="A730" s="1">
        <v>729</v>
      </c>
      <c r="B730" s="1">
        <v>2010</v>
      </c>
      <c r="C730" s="1" t="s">
        <v>31</v>
      </c>
      <c r="D730" s="1" t="s">
        <v>805</v>
      </c>
      <c r="E730" s="8" t="s">
        <v>159</v>
      </c>
      <c r="F730" s="1" t="s">
        <v>83</v>
      </c>
      <c r="I730" s="12">
        <v>7.17</v>
      </c>
      <c r="J730" s="7">
        <v>20.485714285714302</v>
      </c>
      <c r="L730" s="14">
        <v>3290</v>
      </c>
      <c r="N730" s="14">
        <v>23653</v>
      </c>
      <c r="O730" s="13">
        <v>28.7</v>
      </c>
      <c r="P730" s="13">
        <v>7.9</v>
      </c>
      <c r="Q730" s="13">
        <v>42.8</v>
      </c>
      <c r="R730" s="13">
        <v>51.3</v>
      </c>
      <c r="S730" s="13"/>
      <c r="T730" s="15"/>
      <c r="U730" s="13">
        <v>30.8</v>
      </c>
      <c r="V730" s="13">
        <v>7.9</v>
      </c>
      <c r="W730" s="12"/>
      <c r="X730" s="15"/>
      <c r="Y730" s="13">
        <v>70.599999999999994</v>
      </c>
      <c r="Z730" s="7">
        <v>1.58</v>
      </c>
      <c r="AB730" s="16"/>
      <c r="AD730" s="16"/>
      <c r="AE730" s="1">
        <v>1</v>
      </c>
    </row>
    <row r="731" spans="1:31" x14ac:dyDescent="0.2">
      <c r="A731" s="1">
        <v>730</v>
      </c>
      <c r="B731" s="1">
        <v>2010</v>
      </c>
      <c r="C731" s="1" t="s">
        <v>190</v>
      </c>
      <c r="D731" s="8" t="s">
        <v>90</v>
      </c>
      <c r="E731" s="8" t="s">
        <v>191</v>
      </c>
      <c r="F731" s="1" t="s">
        <v>32</v>
      </c>
      <c r="I731" s="12">
        <v>5</v>
      </c>
      <c r="J731" s="7">
        <v>14.3</v>
      </c>
      <c r="L731" s="14">
        <v>3292</v>
      </c>
      <c r="M731" s="14"/>
      <c r="N731" s="14">
        <v>16413</v>
      </c>
      <c r="O731" s="13">
        <v>30.5</v>
      </c>
      <c r="P731" s="13">
        <v>10</v>
      </c>
      <c r="Q731" s="13">
        <v>47.2</v>
      </c>
      <c r="R731" s="13">
        <v>57.1</v>
      </c>
      <c r="S731" s="13"/>
      <c r="T731" s="15"/>
      <c r="U731" s="13">
        <v>24.4</v>
      </c>
      <c r="V731" s="13">
        <v>3.2</v>
      </c>
      <c r="W731" s="7"/>
      <c r="X731" s="13"/>
      <c r="Y731" s="13">
        <v>63.7</v>
      </c>
      <c r="Z731" s="7">
        <v>1.35</v>
      </c>
      <c r="AA731" s="13">
        <v>1.5</v>
      </c>
      <c r="AB731" s="16">
        <f>AA731*10</f>
        <v>15</v>
      </c>
      <c r="AC731" s="13">
        <v>1</v>
      </c>
      <c r="AD731" s="16">
        <f>AC731*10</f>
        <v>10</v>
      </c>
      <c r="AE731" s="1">
        <v>1</v>
      </c>
    </row>
    <row r="732" spans="1:31" x14ac:dyDescent="0.2">
      <c r="A732" s="1">
        <v>731</v>
      </c>
      <c r="B732" s="1">
        <v>2016</v>
      </c>
      <c r="C732" s="1" t="s">
        <v>31</v>
      </c>
      <c r="D732" s="8" t="s">
        <v>874</v>
      </c>
      <c r="E732" s="8" t="s">
        <v>538</v>
      </c>
      <c r="F732" s="1" t="s">
        <v>32</v>
      </c>
      <c r="G732" s="8">
        <v>119</v>
      </c>
      <c r="I732" s="12">
        <v>9.3000000000000007</v>
      </c>
      <c r="J732" s="7">
        <v>26.571428571428601</v>
      </c>
      <c r="L732" s="14">
        <v>3292</v>
      </c>
      <c r="N732" s="14">
        <v>30703</v>
      </c>
      <c r="O732" s="13">
        <v>34.1</v>
      </c>
      <c r="P732" s="13">
        <v>7.5</v>
      </c>
      <c r="Q732" s="13">
        <v>46.6</v>
      </c>
      <c r="R732" s="13">
        <v>56</v>
      </c>
      <c r="S732" s="13"/>
      <c r="T732" s="13">
        <v>27.4</v>
      </c>
      <c r="U732" s="13">
        <v>27.2</v>
      </c>
      <c r="V732" s="13">
        <v>3.6</v>
      </c>
      <c r="W732" s="7">
        <v>0.71</v>
      </c>
      <c r="X732" s="13"/>
      <c r="Y732" s="13">
        <v>69.3</v>
      </c>
      <c r="Z732" s="7">
        <v>2.39</v>
      </c>
      <c r="AA732" s="15" t="s">
        <v>89</v>
      </c>
      <c r="AB732" s="16"/>
      <c r="AD732" s="16"/>
      <c r="AE732" s="1">
        <v>1</v>
      </c>
    </row>
    <row r="733" spans="1:31" x14ac:dyDescent="0.2">
      <c r="A733" s="1">
        <v>732</v>
      </c>
      <c r="B733" s="1">
        <v>2020</v>
      </c>
      <c r="C733" s="1" t="s">
        <v>31</v>
      </c>
      <c r="D733" s="1" t="s">
        <v>555</v>
      </c>
      <c r="E733" s="1" t="s">
        <v>785</v>
      </c>
      <c r="F733" s="1" t="s">
        <v>32</v>
      </c>
      <c r="G733" s="1">
        <v>118</v>
      </c>
      <c r="H733" s="1" t="s">
        <v>754</v>
      </c>
      <c r="I733" s="12">
        <v>8.2371126912400001</v>
      </c>
      <c r="J733" s="12">
        <v>23.529250037000001</v>
      </c>
      <c r="K733" s="1" t="s">
        <v>754</v>
      </c>
      <c r="L733" s="16">
        <v>3292.0326289330001</v>
      </c>
      <c r="M733" s="16" t="s">
        <v>754</v>
      </c>
      <c r="N733" s="16">
        <v>27022.694923015999</v>
      </c>
      <c r="O733" s="10">
        <v>48.032148499999998</v>
      </c>
      <c r="P733" s="15">
        <v>8.11</v>
      </c>
      <c r="Q733" s="15">
        <v>45.35</v>
      </c>
      <c r="R733" s="15">
        <v>51.074229623000001</v>
      </c>
      <c r="S733" s="15"/>
      <c r="T733" s="15">
        <v>24.88</v>
      </c>
      <c r="U733" s="15">
        <v>27.827500000000001</v>
      </c>
      <c r="V733" s="15">
        <v>4.7907304000000002</v>
      </c>
      <c r="W733" s="12">
        <v>0.68960421000000016</v>
      </c>
      <c r="X733" s="15"/>
      <c r="Y733" s="15">
        <v>72.896299678000005</v>
      </c>
      <c r="Z733" s="12"/>
      <c r="AA733" s="15">
        <v>1.875</v>
      </c>
      <c r="AB733" s="16">
        <f>AA733*33.334</f>
        <v>62.501250000000006</v>
      </c>
      <c r="AD733" s="16"/>
      <c r="AE733" s="1">
        <v>1</v>
      </c>
    </row>
    <row r="734" spans="1:31" x14ac:dyDescent="0.2">
      <c r="A734" s="1">
        <v>733</v>
      </c>
      <c r="B734" s="1">
        <v>2012</v>
      </c>
      <c r="C734" s="1" t="s">
        <v>31</v>
      </c>
      <c r="D734" s="22" t="s">
        <v>917</v>
      </c>
      <c r="E734" s="1" t="s">
        <v>303</v>
      </c>
      <c r="F734" s="1" t="s">
        <v>83</v>
      </c>
      <c r="I734" s="12">
        <v>6.01</v>
      </c>
      <c r="J734" s="12">
        <v>17.2</v>
      </c>
      <c r="L734" s="16">
        <v>3293</v>
      </c>
      <c r="N734" s="16">
        <v>19797</v>
      </c>
      <c r="O734" s="15">
        <v>30.4</v>
      </c>
      <c r="P734" s="15">
        <v>7.74</v>
      </c>
      <c r="Q734" s="15">
        <v>44.4</v>
      </c>
      <c r="R734" s="15">
        <v>56</v>
      </c>
      <c r="T734" s="15"/>
      <c r="U734" s="15">
        <v>34.1</v>
      </c>
      <c r="V734" s="15">
        <v>4.7</v>
      </c>
      <c r="W734" s="12">
        <v>0.71</v>
      </c>
      <c r="X734" s="15"/>
      <c r="Y734" s="15"/>
      <c r="Z734" s="12">
        <v>1.49</v>
      </c>
      <c r="AB734" s="16"/>
      <c r="AD734" s="16"/>
      <c r="AE734" s="1">
        <v>1</v>
      </c>
    </row>
    <row r="735" spans="1:31" x14ac:dyDescent="0.2">
      <c r="A735" s="1">
        <v>734</v>
      </c>
      <c r="B735" s="1">
        <v>2021</v>
      </c>
      <c r="C735" s="1" t="s">
        <v>31</v>
      </c>
      <c r="D735" s="1" t="s">
        <v>108</v>
      </c>
      <c r="E735" s="1" t="s">
        <v>780</v>
      </c>
      <c r="F735" s="1" t="s">
        <v>32</v>
      </c>
      <c r="G735" s="1">
        <v>116</v>
      </c>
      <c r="H735" s="1" t="s">
        <v>89</v>
      </c>
      <c r="I735" s="12">
        <v>7.3997318205429998</v>
      </c>
      <c r="J735" s="12">
        <v>21.142090916000001</v>
      </c>
      <c r="K735" s="1" t="s">
        <v>89</v>
      </c>
      <c r="L735" s="16">
        <v>3293.981738685</v>
      </c>
      <c r="M735" s="16" t="s">
        <v>89</v>
      </c>
      <c r="N735" s="16">
        <v>24358.725281643001</v>
      </c>
      <c r="O735" s="15">
        <v>33.2615433</v>
      </c>
      <c r="P735" s="15">
        <v>8.1655165200000006</v>
      </c>
      <c r="Q735" s="15">
        <v>42.149956273999997</v>
      </c>
      <c r="R735" s="15">
        <v>61.988880365999997</v>
      </c>
      <c r="T735" s="15">
        <v>23.992561544000001</v>
      </c>
      <c r="U735" s="15">
        <v>35.262392315</v>
      </c>
      <c r="V735" s="15">
        <v>6.6855608279999998</v>
      </c>
      <c r="W735" s="12">
        <v>0.69425076103999994</v>
      </c>
      <c r="X735" s="15"/>
      <c r="Y735" s="15">
        <v>72.096089086999996</v>
      </c>
      <c r="Z735" s="12"/>
      <c r="AA735" s="15">
        <v>0.29179711400000002</v>
      </c>
      <c r="AB735" s="16">
        <f>AA735*33.334</f>
        <v>9.7267649980760016</v>
      </c>
      <c r="AD735" s="16"/>
      <c r="AE735" s="1">
        <v>1</v>
      </c>
    </row>
    <row r="736" spans="1:31" x14ac:dyDescent="0.2">
      <c r="A736" s="1">
        <v>735</v>
      </c>
      <c r="B736" s="1">
        <v>2020</v>
      </c>
      <c r="C736" s="1" t="s">
        <v>31</v>
      </c>
      <c r="D736" s="1" t="s">
        <v>805</v>
      </c>
      <c r="E736" s="1" t="s">
        <v>716</v>
      </c>
      <c r="F736" s="1" t="s">
        <v>83</v>
      </c>
      <c r="G736" s="1">
        <v>118</v>
      </c>
      <c r="H736" s="1" t="s">
        <v>754</v>
      </c>
      <c r="I736" s="12">
        <v>5.4060605956575003</v>
      </c>
      <c r="J736" s="12">
        <v>15.445887416</v>
      </c>
      <c r="L736" s="16">
        <v>3294.3726124049999</v>
      </c>
      <c r="M736" s="16" t="s">
        <v>754</v>
      </c>
      <c r="N736" s="16">
        <v>17913.769165067999</v>
      </c>
      <c r="O736" s="15">
        <v>32.109133999999997</v>
      </c>
      <c r="P736" s="15">
        <v>8.3725000000000005</v>
      </c>
      <c r="Q736" s="15">
        <v>44.357500000000002</v>
      </c>
      <c r="R736" s="15">
        <v>42.59</v>
      </c>
      <c r="S736" s="15"/>
      <c r="T736" s="15">
        <v>24.44</v>
      </c>
      <c r="U736" s="15">
        <v>30.1675</v>
      </c>
      <c r="V736" s="15">
        <v>4.8600000000000003</v>
      </c>
      <c r="W736" s="12">
        <v>0.70073480099999996</v>
      </c>
      <c r="X736" s="15"/>
      <c r="Y736" s="15">
        <v>71.281392126</v>
      </c>
      <c r="Z736" s="12"/>
      <c r="AA736" s="15">
        <v>0.625</v>
      </c>
      <c r="AB736" s="16">
        <f>AA736*33.334</f>
        <v>20.833750000000002</v>
      </c>
      <c r="AD736" s="16"/>
      <c r="AE736" s="1">
        <v>1</v>
      </c>
    </row>
    <row r="737" spans="1:31" x14ac:dyDescent="0.2">
      <c r="A737" s="1">
        <v>736</v>
      </c>
      <c r="B737" s="1">
        <v>2014</v>
      </c>
      <c r="C737" s="1" t="s">
        <v>31</v>
      </c>
      <c r="D737" s="1" t="s">
        <v>916</v>
      </c>
      <c r="E737" s="1" t="s">
        <v>414</v>
      </c>
      <c r="F737" s="1" t="s">
        <v>32</v>
      </c>
      <c r="G737" s="1">
        <v>124</v>
      </c>
      <c r="I737" s="12">
        <v>9.26</v>
      </c>
      <c r="J737" s="12">
        <v>26.5</v>
      </c>
      <c r="L737" s="16">
        <v>3295</v>
      </c>
      <c r="N737" s="16">
        <v>30494</v>
      </c>
      <c r="O737" s="15">
        <v>30.6</v>
      </c>
      <c r="P737" s="15">
        <v>8</v>
      </c>
      <c r="Q737" s="15">
        <v>44.9</v>
      </c>
      <c r="R737" s="15">
        <v>54.6</v>
      </c>
      <c r="T737" s="15"/>
      <c r="U737" s="15">
        <v>26.5</v>
      </c>
      <c r="V737" s="15">
        <v>6.8</v>
      </c>
      <c r="W737" s="12">
        <v>0.7</v>
      </c>
      <c r="X737" s="15"/>
      <c r="Y737" s="15">
        <v>68.2</v>
      </c>
      <c r="Z737" s="12">
        <v>2.2799999999999998</v>
      </c>
      <c r="AB737" s="16"/>
      <c r="AD737" s="16"/>
      <c r="AE737" s="1">
        <v>1</v>
      </c>
    </row>
    <row r="738" spans="1:31" x14ac:dyDescent="0.2">
      <c r="A738" s="1">
        <v>737</v>
      </c>
      <c r="B738" s="1">
        <v>2021</v>
      </c>
      <c r="C738" s="1" t="s">
        <v>31</v>
      </c>
      <c r="D738" s="1" t="s">
        <v>916</v>
      </c>
      <c r="E738" s="1" t="s">
        <v>601</v>
      </c>
      <c r="F738" s="1" t="s">
        <v>32</v>
      </c>
      <c r="G738" s="1">
        <v>117</v>
      </c>
      <c r="H738" s="1" t="s">
        <v>89</v>
      </c>
      <c r="I738" s="12">
        <v>8.919496855208001</v>
      </c>
      <c r="J738" s="12">
        <v>25.484276729000001</v>
      </c>
      <c r="K738" s="1" t="s">
        <v>89</v>
      </c>
      <c r="L738" s="16">
        <v>3295.5548696840001</v>
      </c>
      <c r="M738" s="16" t="s">
        <v>89</v>
      </c>
      <c r="N738" s="16">
        <v>29343.445895395998</v>
      </c>
      <c r="O738" s="15">
        <v>39.824312200000001</v>
      </c>
      <c r="P738" s="15">
        <v>7.6356903569999997</v>
      </c>
      <c r="Q738" s="15">
        <v>40.866565430999998</v>
      </c>
      <c r="R738" s="15">
        <v>60.259465235999997</v>
      </c>
      <c r="T738" s="15">
        <v>23.623816922</v>
      </c>
      <c r="U738" s="15">
        <v>39.305097248999999</v>
      </c>
      <c r="V738" s="15">
        <v>6.295587158</v>
      </c>
      <c r="W738" s="12">
        <v>0.69612313038999996</v>
      </c>
      <c r="X738" s="15"/>
      <c r="Y738" s="15">
        <v>71.844376242999999</v>
      </c>
      <c r="Z738" s="12"/>
      <c r="AA738" s="15">
        <v>1.6471874360000001</v>
      </c>
      <c r="AB738" s="16">
        <f>AA738*33.334</f>
        <v>54.907345991624005</v>
      </c>
      <c r="AD738" s="16"/>
      <c r="AE738" s="1">
        <v>1</v>
      </c>
    </row>
    <row r="739" spans="1:31" x14ac:dyDescent="0.2">
      <c r="A739" s="1">
        <v>738</v>
      </c>
      <c r="B739" s="1">
        <v>2018</v>
      </c>
      <c r="C739" s="1" t="s">
        <v>88</v>
      </c>
      <c r="D739" s="28" t="s">
        <v>914</v>
      </c>
      <c r="E739" s="1" t="s">
        <v>682</v>
      </c>
      <c r="F739" s="1" t="s">
        <v>32</v>
      </c>
      <c r="I739" s="12">
        <v>5.3146481303115403</v>
      </c>
      <c r="J739" s="12">
        <v>15.1847089437472</v>
      </c>
      <c r="L739" s="16">
        <v>3296</v>
      </c>
      <c r="N739" s="16">
        <v>17538.877286373001</v>
      </c>
      <c r="O739" s="15">
        <v>34.284395623363601</v>
      </c>
      <c r="P739" s="15">
        <v>10.147500000000001</v>
      </c>
      <c r="Q739" s="15">
        <v>40.435000000000002</v>
      </c>
      <c r="R739" s="15">
        <v>33.1325</v>
      </c>
      <c r="S739" s="12">
        <v>17.337499999999999</v>
      </c>
      <c r="U739" s="15">
        <v>28.192499999999999</v>
      </c>
      <c r="V739" s="15">
        <v>4.3925000000000001</v>
      </c>
      <c r="W739" s="12">
        <v>0.69845000000000002</v>
      </c>
      <c r="X739" s="15"/>
      <c r="Y739" s="15">
        <v>62.64</v>
      </c>
      <c r="Z739" s="12">
        <v>0.31683912443324902</v>
      </c>
      <c r="AA739" s="16">
        <v>1.75</v>
      </c>
      <c r="AB739" s="16">
        <f>AA739*33.334</f>
        <v>58.334500000000006</v>
      </c>
      <c r="AC739" s="16">
        <v>1</v>
      </c>
      <c r="AD739" s="16">
        <f>AC739*33.334</f>
        <v>33.334000000000003</v>
      </c>
      <c r="AE739" s="1">
        <v>1</v>
      </c>
    </row>
    <row r="740" spans="1:31" x14ac:dyDescent="0.2">
      <c r="A740" s="1">
        <v>739</v>
      </c>
      <c r="B740" s="1">
        <v>2016</v>
      </c>
      <c r="C740" s="1" t="s">
        <v>88</v>
      </c>
      <c r="D740" s="8" t="s">
        <v>246</v>
      </c>
      <c r="E740" s="8" t="s">
        <v>583</v>
      </c>
      <c r="F740" s="1" t="s">
        <v>32</v>
      </c>
      <c r="H740" s="1" t="s">
        <v>34</v>
      </c>
      <c r="I740" s="12">
        <v>10.52</v>
      </c>
      <c r="J740" s="7">
        <v>30.1</v>
      </c>
      <c r="L740" s="5">
        <v>3296</v>
      </c>
      <c r="M740" s="1" t="s">
        <v>34</v>
      </c>
      <c r="N740" s="5">
        <v>34510</v>
      </c>
      <c r="O740" s="6">
        <v>30.945</v>
      </c>
      <c r="P740" s="6">
        <v>5.08</v>
      </c>
      <c r="Q740" s="6">
        <v>49.972499999999997</v>
      </c>
      <c r="R740" s="6">
        <v>44.36</v>
      </c>
      <c r="S740" s="6"/>
      <c r="T740" s="6">
        <v>32.337499999999999</v>
      </c>
      <c r="U740" s="6">
        <v>22.4175</v>
      </c>
      <c r="V740" s="6">
        <v>11.945</v>
      </c>
      <c r="W740" s="7">
        <v>0.67</v>
      </c>
      <c r="X740" s="13"/>
      <c r="Y740" s="6">
        <v>62.422499999999999</v>
      </c>
      <c r="Z740" s="3">
        <v>2.3377126800000001</v>
      </c>
      <c r="AA740" s="6">
        <v>1</v>
      </c>
      <c r="AB740" s="16">
        <f>AA740*10</f>
        <v>10</v>
      </c>
      <c r="AC740" s="6">
        <v>1</v>
      </c>
      <c r="AD740" s="16">
        <f>AC740*10</f>
        <v>10</v>
      </c>
      <c r="AE740" s="1">
        <v>1</v>
      </c>
    </row>
    <row r="741" spans="1:31" x14ac:dyDescent="0.2">
      <c r="A741" s="1">
        <v>740</v>
      </c>
      <c r="B741" s="1">
        <v>2018</v>
      </c>
      <c r="C741" s="1" t="s">
        <v>31</v>
      </c>
      <c r="D741" s="1" t="s">
        <v>805</v>
      </c>
      <c r="E741" s="1" t="s">
        <v>661</v>
      </c>
      <c r="F741" s="1" t="s">
        <v>32</v>
      </c>
      <c r="G741" s="1">
        <v>116</v>
      </c>
      <c r="H741" s="1" t="s">
        <v>34</v>
      </c>
      <c r="I741" s="12">
        <v>8.3000000000000007</v>
      </c>
      <c r="J741" s="3">
        <v>23.6</v>
      </c>
      <c r="L741" s="5">
        <v>3297.75</v>
      </c>
      <c r="M741" s="1" t="s">
        <v>34</v>
      </c>
      <c r="N741" s="5">
        <v>27298</v>
      </c>
      <c r="O741" s="6">
        <v>37.6</v>
      </c>
      <c r="P741" s="18">
        <v>7.3150000000000004</v>
      </c>
      <c r="Q741" s="6">
        <v>37.975000000000001</v>
      </c>
      <c r="R741" s="6">
        <v>55.965000000000003</v>
      </c>
      <c r="S741" s="3"/>
      <c r="T741" s="6">
        <v>23.5075</v>
      </c>
      <c r="U741" s="6">
        <v>40.5</v>
      </c>
      <c r="V741" s="6">
        <v>4.6749999999999998</v>
      </c>
      <c r="W741" s="3">
        <v>0.753</v>
      </c>
      <c r="X741" s="6"/>
      <c r="Y741" s="6">
        <v>72.5</v>
      </c>
      <c r="Z741" s="3">
        <v>1.75711499</v>
      </c>
      <c r="AB741" s="16"/>
      <c r="AD741" s="16"/>
      <c r="AE741" s="1">
        <v>1</v>
      </c>
    </row>
    <row r="742" spans="1:31" x14ac:dyDescent="0.2">
      <c r="A742" s="1">
        <v>741</v>
      </c>
      <c r="B742" s="1">
        <v>2012</v>
      </c>
      <c r="C742" s="1" t="s">
        <v>31</v>
      </c>
      <c r="D742" s="1" t="s">
        <v>125</v>
      </c>
      <c r="E742" s="1" t="s">
        <v>320</v>
      </c>
      <c r="F742" s="1" t="s">
        <v>83</v>
      </c>
      <c r="I742" s="12">
        <v>4.45</v>
      </c>
      <c r="J742" s="12">
        <v>12.7</v>
      </c>
      <c r="L742" s="16">
        <v>3298</v>
      </c>
      <c r="N742" s="16">
        <v>14662</v>
      </c>
      <c r="O742" s="15">
        <v>33.799999999999997</v>
      </c>
      <c r="P742" s="15">
        <v>7.53</v>
      </c>
      <c r="Q742" s="15">
        <v>42.8</v>
      </c>
      <c r="R742" s="15">
        <v>58.5</v>
      </c>
      <c r="T742" s="15"/>
      <c r="U742" s="15">
        <v>38.299999999999997</v>
      </c>
      <c r="V742" s="15">
        <v>3.3</v>
      </c>
      <c r="W742" s="12">
        <v>0.73</v>
      </c>
      <c r="X742" s="15"/>
      <c r="Y742" s="15"/>
      <c r="Z742" s="12">
        <v>1.1100000000000001</v>
      </c>
      <c r="AB742" s="16"/>
      <c r="AD742" s="16"/>
      <c r="AE742" s="1">
        <v>1</v>
      </c>
    </row>
    <row r="743" spans="1:31" x14ac:dyDescent="0.2">
      <c r="A743" s="1">
        <v>742</v>
      </c>
      <c r="B743" s="1">
        <v>2013</v>
      </c>
      <c r="C743" s="1" t="s">
        <v>88</v>
      </c>
      <c r="D743" s="8" t="s">
        <v>1023</v>
      </c>
      <c r="E743" s="8" t="s">
        <v>386</v>
      </c>
      <c r="F743" s="1" t="s">
        <v>32</v>
      </c>
      <c r="I743" s="12">
        <v>5.47</v>
      </c>
      <c r="J743" s="7">
        <v>15.6285714285714</v>
      </c>
      <c r="K743" s="13" t="s">
        <v>34</v>
      </c>
      <c r="L743" s="14">
        <v>3298</v>
      </c>
      <c r="M743" s="14"/>
      <c r="N743" s="14">
        <v>18081</v>
      </c>
      <c r="O743" s="13">
        <v>31.3</v>
      </c>
      <c r="P743" s="13">
        <v>7.8</v>
      </c>
      <c r="Q743" s="13">
        <v>46.3</v>
      </c>
      <c r="R743" s="13">
        <v>51.5</v>
      </c>
      <c r="S743" s="13" t="s">
        <v>89</v>
      </c>
      <c r="T743" s="13"/>
      <c r="U743" s="13">
        <v>25.3</v>
      </c>
      <c r="V743" s="13">
        <v>2.5</v>
      </c>
      <c r="W743" s="7">
        <v>0.66</v>
      </c>
      <c r="X743" s="13">
        <v>77.5</v>
      </c>
      <c r="Y743" s="13">
        <v>63.9</v>
      </c>
      <c r="Z743" s="7">
        <v>1.3</v>
      </c>
      <c r="AA743" s="13">
        <v>1.1000000000000001</v>
      </c>
      <c r="AB743" s="16">
        <f>AA743*10</f>
        <v>11</v>
      </c>
      <c r="AC743" s="13">
        <v>0.6</v>
      </c>
      <c r="AD743" s="16">
        <f>AC850*10</f>
        <v>0</v>
      </c>
      <c r="AE743" s="1">
        <v>1</v>
      </c>
    </row>
    <row r="744" spans="1:31" x14ac:dyDescent="0.2">
      <c r="A744" s="1">
        <v>743</v>
      </c>
      <c r="B744" s="1">
        <v>2012</v>
      </c>
      <c r="C744" s="1" t="s">
        <v>31</v>
      </c>
      <c r="D744" s="1" t="s">
        <v>125</v>
      </c>
      <c r="E744" s="1" t="s">
        <v>321</v>
      </c>
      <c r="F744" s="1" t="s">
        <v>83</v>
      </c>
      <c r="I744" s="12">
        <v>4.4800000000000004</v>
      </c>
      <c r="J744" s="12">
        <v>12.8</v>
      </c>
      <c r="L744" s="16">
        <v>3299</v>
      </c>
      <c r="N744" s="16">
        <v>14780</v>
      </c>
      <c r="O744" s="15">
        <v>33.6</v>
      </c>
      <c r="P744" s="15">
        <v>7.77</v>
      </c>
      <c r="Q744" s="15">
        <v>42.9</v>
      </c>
      <c r="R744" s="15">
        <v>58.5</v>
      </c>
      <c r="T744" s="15"/>
      <c r="U744" s="15">
        <v>38.200000000000003</v>
      </c>
      <c r="V744" s="15">
        <v>3.3</v>
      </c>
      <c r="W744" s="12">
        <v>0.72</v>
      </c>
      <c r="X744" s="15"/>
      <c r="Y744" s="15"/>
      <c r="Z744" s="12">
        <v>1.1200000000000001</v>
      </c>
      <c r="AB744" s="16"/>
      <c r="AD744" s="16"/>
      <c r="AE744" s="1">
        <v>1</v>
      </c>
    </row>
    <row r="745" spans="1:31" x14ac:dyDescent="0.2">
      <c r="A745" s="1">
        <v>744</v>
      </c>
      <c r="B745" s="1">
        <v>2010</v>
      </c>
      <c r="C745" s="1" t="s">
        <v>31</v>
      </c>
      <c r="D745" s="8" t="s">
        <v>35</v>
      </c>
      <c r="E745" s="8" t="s">
        <v>183</v>
      </c>
      <c r="F745" s="1" t="s">
        <v>83</v>
      </c>
      <c r="I745" s="12">
        <v>5.2</v>
      </c>
      <c r="J745" s="7">
        <v>14.8571428571429</v>
      </c>
      <c r="L745" s="14">
        <v>3299</v>
      </c>
      <c r="N745" s="14">
        <v>17161</v>
      </c>
      <c r="O745" s="13">
        <v>28.8</v>
      </c>
      <c r="P745" s="13">
        <v>8.6999999999999993</v>
      </c>
      <c r="Q745" s="13">
        <v>40.299999999999997</v>
      </c>
      <c r="R745" s="13">
        <v>50.2</v>
      </c>
      <c r="S745" s="13"/>
      <c r="T745" s="15"/>
      <c r="U745" s="13">
        <v>32.5</v>
      </c>
      <c r="V745" s="13">
        <v>10.4</v>
      </c>
      <c r="W745" s="12"/>
      <c r="X745" s="15"/>
      <c r="Y745" s="13">
        <v>71.2</v>
      </c>
      <c r="Z745" s="7">
        <v>1.05</v>
      </c>
      <c r="AB745" s="16"/>
      <c r="AD745" s="16"/>
      <c r="AE745" s="1">
        <v>1</v>
      </c>
    </row>
    <row r="746" spans="1:31" x14ac:dyDescent="0.2">
      <c r="A746" s="1">
        <v>745</v>
      </c>
      <c r="B746" s="1">
        <v>2011</v>
      </c>
      <c r="C746" s="1" t="s">
        <v>31</v>
      </c>
      <c r="D746" s="1" t="s">
        <v>67</v>
      </c>
      <c r="E746" s="1" t="s">
        <v>224</v>
      </c>
      <c r="F746" s="1" t="s">
        <v>32</v>
      </c>
      <c r="I746" s="12">
        <v>8.39</v>
      </c>
      <c r="J746" s="12">
        <v>24</v>
      </c>
      <c r="L746" s="16">
        <v>3299</v>
      </c>
      <c r="N746" s="16">
        <v>27711</v>
      </c>
      <c r="O746" s="15">
        <v>25.5</v>
      </c>
      <c r="P746" s="15">
        <v>9.1999999999999993</v>
      </c>
      <c r="Q746" s="15">
        <v>51.5</v>
      </c>
      <c r="R746" s="15">
        <v>64.3</v>
      </c>
      <c r="T746" s="15"/>
      <c r="U746" s="15">
        <v>25.5</v>
      </c>
      <c r="V746" s="15">
        <v>4.4000000000000004</v>
      </c>
      <c r="W746" s="12"/>
      <c r="X746" s="15"/>
      <c r="Y746" s="15">
        <v>66.400000000000006</v>
      </c>
      <c r="Z746" s="12">
        <v>2.78</v>
      </c>
      <c r="AB746" s="16"/>
      <c r="AD746" s="16"/>
      <c r="AE746" s="1">
        <v>1</v>
      </c>
    </row>
    <row r="747" spans="1:31" x14ac:dyDescent="0.2">
      <c r="A747" s="1">
        <v>746</v>
      </c>
      <c r="B747" s="1">
        <v>2018</v>
      </c>
      <c r="C747" s="1" t="s">
        <v>31</v>
      </c>
      <c r="D747" s="28" t="s">
        <v>914</v>
      </c>
      <c r="E747" s="1" t="s">
        <v>660</v>
      </c>
      <c r="F747" s="1" t="s">
        <v>32</v>
      </c>
      <c r="G747" s="1">
        <v>118</v>
      </c>
      <c r="H747" s="1" t="s">
        <v>34</v>
      </c>
      <c r="I747" s="12">
        <v>8.1999999999999993</v>
      </c>
      <c r="J747" s="3">
        <v>23.6</v>
      </c>
      <c r="L747" s="5">
        <v>3299.5</v>
      </c>
      <c r="M747" s="1" t="s">
        <v>34</v>
      </c>
      <c r="N747" s="5">
        <v>27268</v>
      </c>
      <c r="O747" s="6">
        <v>37.185000000000002</v>
      </c>
      <c r="P747" s="18">
        <v>7.6074999999999999</v>
      </c>
      <c r="Q747" s="6">
        <v>38.252499999999998</v>
      </c>
      <c r="R747" s="6">
        <v>55.765000000000001</v>
      </c>
      <c r="S747" s="3"/>
      <c r="T747" s="6">
        <v>23.262499999999999</v>
      </c>
      <c r="U747" s="6">
        <v>39.6</v>
      </c>
      <c r="V747" s="6">
        <v>3.9350000000000001</v>
      </c>
      <c r="W747" s="3">
        <v>0.752</v>
      </c>
      <c r="X747" s="6"/>
      <c r="Y747" s="6">
        <v>72.400000000000006</v>
      </c>
      <c r="Z747" s="3">
        <v>1.75899027</v>
      </c>
      <c r="AB747" s="16"/>
      <c r="AD747" s="16"/>
      <c r="AE747" s="1">
        <v>1</v>
      </c>
    </row>
    <row r="748" spans="1:31" x14ac:dyDescent="0.2">
      <c r="A748" s="1">
        <v>747</v>
      </c>
      <c r="B748" s="1">
        <v>2017</v>
      </c>
      <c r="C748" s="1" t="s">
        <v>31</v>
      </c>
      <c r="D748" s="8" t="s">
        <v>874</v>
      </c>
      <c r="E748" s="8" t="s">
        <v>408</v>
      </c>
      <c r="F748" s="1" t="s">
        <v>32</v>
      </c>
      <c r="G748" s="1">
        <v>117</v>
      </c>
      <c r="I748" s="12">
        <v>8.58354471</v>
      </c>
      <c r="J748" s="3">
        <v>24.5244134</v>
      </c>
      <c r="L748" s="5">
        <v>3299.75</v>
      </c>
      <c r="N748" s="5">
        <v>28368.887900000002</v>
      </c>
      <c r="O748" s="6">
        <v>30.658582500000001</v>
      </c>
      <c r="P748" s="6">
        <v>6.45</v>
      </c>
      <c r="Q748" s="6">
        <v>45.5</v>
      </c>
      <c r="R748" s="6">
        <v>54.192500000000003</v>
      </c>
      <c r="S748" s="3"/>
      <c r="T748" s="6">
        <v>27.06</v>
      </c>
      <c r="U748" s="6">
        <v>28.752500000000001</v>
      </c>
      <c r="V748" s="6">
        <v>3.6</v>
      </c>
      <c r="W748" s="3">
        <v>0.74855344999999995</v>
      </c>
      <c r="X748" s="6"/>
      <c r="Y748" s="6">
        <v>69.587500000000006</v>
      </c>
      <c r="Z748" s="3">
        <v>2.1136005199999999</v>
      </c>
      <c r="AB748" s="16"/>
      <c r="AD748" s="16"/>
      <c r="AE748" s="1">
        <v>1</v>
      </c>
    </row>
    <row r="749" spans="1:31" x14ac:dyDescent="0.2">
      <c r="A749" s="1">
        <v>748</v>
      </c>
      <c r="B749" s="1">
        <v>2013</v>
      </c>
      <c r="C749" s="1" t="s">
        <v>88</v>
      </c>
      <c r="D749" s="8" t="s">
        <v>1023</v>
      </c>
      <c r="E749" s="8" t="s">
        <v>387</v>
      </c>
      <c r="F749" s="1" t="s">
        <v>32</v>
      </c>
      <c r="I749" s="12">
        <v>5.72</v>
      </c>
      <c r="J749" s="7">
        <v>16.342857142857099</v>
      </c>
      <c r="K749" s="13" t="s">
        <v>34</v>
      </c>
      <c r="L749" s="14">
        <v>3300</v>
      </c>
      <c r="M749" s="14"/>
      <c r="N749" s="14">
        <v>18923</v>
      </c>
      <c r="O749" s="13">
        <v>30.6</v>
      </c>
      <c r="P749" s="13">
        <v>7.2</v>
      </c>
      <c r="Q749" s="13">
        <v>48.8</v>
      </c>
      <c r="R749" s="13">
        <v>53.2</v>
      </c>
      <c r="S749" s="13" t="s">
        <v>89</v>
      </c>
      <c r="T749" s="13"/>
      <c r="U749" s="13">
        <v>23</v>
      </c>
      <c r="V749" s="13">
        <v>2.2999999999999998</v>
      </c>
      <c r="W749" s="7">
        <v>0.66</v>
      </c>
      <c r="X749" s="13">
        <v>77.099999999999994</v>
      </c>
      <c r="Y749" s="13">
        <v>64.3</v>
      </c>
      <c r="Z749" s="7">
        <v>1.48</v>
      </c>
      <c r="AA749" s="13">
        <v>1.4</v>
      </c>
      <c r="AB749" s="16">
        <f>AA749*10</f>
        <v>14</v>
      </c>
      <c r="AC749" s="13">
        <v>0</v>
      </c>
      <c r="AD749" s="16">
        <f>AC749*10</f>
        <v>0</v>
      </c>
      <c r="AE749" s="1">
        <v>1</v>
      </c>
    </row>
    <row r="750" spans="1:31" x14ac:dyDescent="0.2">
      <c r="A750" s="1">
        <v>749</v>
      </c>
      <c r="B750" s="1">
        <v>2021</v>
      </c>
      <c r="C750" s="1" t="s">
        <v>31</v>
      </c>
      <c r="D750" s="1" t="s">
        <v>805</v>
      </c>
      <c r="E750" s="1" t="s">
        <v>717</v>
      </c>
      <c r="F750" s="1" t="s">
        <v>32</v>
      </c>
      <c r="G750" s="1">
        <v>120</v>
      </c>
      <c r="H750" s="1" t="s">
        <v>89</v>
      </c>
      <c r="I750" s="12">
        <v>6.5081611333165004</v>
      </c>
      <c r="J750" s="12">
        <v>18.594746095000001</v>
      </c>
      <c r="K750" s="1" t="s">
        <v>89</v>
      </c>
      <c r="L750" s="16">
        <v>3302.8048696840001</v>
      </c>
      <c r="M750" s="16" t="s">
        <v>89</v>
      </c>
      <c r="N750" s="16">
        <v>21433.174060002999</v>
      </c>
      <c r="O750" s="15">
        <v>34.069022500000003</v>
      </c>
      <c r="P750" s="15">
        <v>7.3831903570000001</v>
      </c>
      <c r="Q750" s="15">
        <v>41.289065430999997</v>
      </c>
      <c r="R750" s="15">
        <v>58.859465235999998</v>
      </c>
      <c r="T750" s="15">
        <v>23.833816922</v>
      </c>
      <c r="U750" s="15">
        <v>38.537597249000001</v>
      </c>
      <c r="V750" s="15">
        <v>6.7830871579999998</v>
      </c>
      <c r="W750" s="12">
        <v>0.69867313039000001</v>
      </c>
      <c r="X750" s="15"/>
      <c r="Y750" s="15">
        <v>71.809376243000003</v>
      </c>
      <c r="Z750" s="12"/>
      <c r="AA750" s="15">
        <v>0.77218743599999995</v>
      </c>
      <c r="AB750" s="16">
        <f>AA750*33.334</f>
        <v>25.740095991623999</v>
      </c>
      <c r="AD750" s="16"/>
      <c r="AE750" s="1">
        <v>1</v>
      </c>
    </row>
    <row r="751" spans="1:31" x14ac:dyDescent="0.2">
      <c r="A751" s="1">
        <v>750</v>
      </c>
      <c r="B751" s="1">
        <v>2013</v>
      </c>
      <c r="C751" s="1" t="s">
        <v>31</v>
      </c>
      <c r="D751" s="8" t="s">
        <v>125</v>
      </c>
      <c r="E751" s="8">
        <v>590</v>
      </c>
      <c r="F751" s="1" t="s">
        <v>32</v>
      </c>
      <c r="G751" s="8">
        <v>115</v>
      </c>
      <c r="H751" s="8"/>
      <c r="I751" s="12">
        <v>8.23</v>
      </c>
      <c r="J751" s="7">
        <v>23.514285714285698</v>
      </c>
      <c r="K751" s="13"/>
      <c r="L751" s="14">
        <v>3303</v>
      </c>
      <c r="M751" s="8"/>
      <c r="N751" s="14">
        <v>27166</v>
      </c>
      <c r="O751" s="13">
        <v>29.6</v>
      </c>
      <c r="P751" s="13">
        <v>8.6</v>
      </c>
      <c r="Q751" s="13">
        <v>41.9</v>
      </c>
      <c r="R751" s="13">
        <v>55.8</v>
      </c>
      <c r="S751" s="13" t="s">
        <v>89</v>
      </c>
      <c r="T751" s="13"/>
      <c r="U751" s="13">
        <v>32.799999999999997</v>
      </c>
      <c r="V751" s="13">
        <v>3.8</v>
      </c>
      <c r="W751" s="7">
        <v>0.71</v>
      </c>
      <c r="X751" s="15" t="s">
        <v>89</v>
      </c>
      <c r="Y751" s="15" t="s">
        <v>89</v>
      </c>
      <c r="Z751" s="7">
        <v>1.93</v>
      </c>
      <c r="AB751" s="16"/>
      <c r="AD751" s="16"/>
      <c r="AE751" s="1">
        <v>1</v>
      </c>
    </row>
    <row r="752" spans="1:31" x14ac:dyDescent="0.2">
      <c r="A752" s="1">
        <v>751</v>
      </c>
      <c r="B752" s="1">
        <v>2014</v>
      </c>
      <c r="C752" s="1" t="s">
        <v>31</v>
      </c>
      <c r="D752" s="1" t="s">
        <v>37</v>
      </c>
      <c r="E752" s="1" t="s">
        <v>375</v>
      </c>
      <c r="F752" s="1" t="s">
        <v>32</v>
      </c>
      <c r="G752" s="1">
        <v>116</v>
      </c>
      <c r="I752" s="12">
        <v>10.220000000000001</v>
      </c>
      <c r="J752" s="12">
        <v>29.2</v>
      </c>
      <c r="L752" s="16">
        <v>3303</v>
      </c>
      <c r="M752" s="1" t="s">
        <v>34</v>
      </c>
      <c r="N752" s="16">
        <v>33710</v>
      </c>
      <c r="O752" s="15">
        <v>31.2</v>
      </c>
      <c r="P752" s="15">
        <v>8</v>
      </c>
      <c r="Q752" s="15">
        <v>45.7</v>
      </c>
      <c r="R752" s="15">
        <v>57.3</v>
      </c>
      <c r="T752" s="15"/>
      <c r="U752" s="15">
        <v>27.8</v>
      </c>
      <c r="V752" s="15">
        <v>5.2</v>
      </c>
      <c r="W752" s="12">
        <v>0.7</v>
      </c>
      <c r="X752" s="15"/>
      <c r="Y752" s="15">
        <v>68</v>
      </c>
      <c r="Z752" s="12">
        <v>2.68</v>
      </c>
      <c r="AB752" s="16"/>
      <c r="AD752" s="16"/>
      <c r="AE752" s="1">
        <v>1</v>
      </c>
    </row>
    <row r="753" spans="1:31" x14ac:dyDescent="0.2">
      <c r="A753" s="1">
        <v>752</v>
      </c>
      <c r="B753" s="1">
        <v>2013</v>
      </c>
      <c r="C753" s="1" t="s">
        <v>31</v>
      </c>
      <c r="D753" s="8" t="s">
        <v>125</v>
      </c>
      <c r="E753" s="8" t="s">
        <v>379</v>
      </c>
      <c r="F753" s="1" t="s">
        <v>32</v>
      </c>
      <c r="G753" s="8">
        <v>115</v>
      </c>
      <c r="H753" s="8"/>
      <c r="I753" s="12">
        <v>8.43</v>
      </c>
      <c r="J753" s="7">
        <v>24.0857142857143</v>
      </c>
      <c r="K753" s="13"/>
      <c r="L753" s="14">
        <v>3305</v>
      </c>
      <c r="M753" s="14"/>
      <c r="N753" s="14">
        <v>27851</v>
      </c>
      <c r="O753" s="13">
        <v>29.2</v>
      </c>
      <c r="P753" s="13">
        <v>8</v>
      </c>
      <c r="Q753" s="13">
        <v>41.8</v>
      </c>
      <c r="R753" s="13">
        <v>52.3</v>
      </c>
      <c r="S753" s="13" t="s">
        <v>89</v>
      </c>
      <c r="T753" s="13"/>
      <c r="U753" s="13">
        <v>33.1</v>
      </c>
      <c r="V753" s="13">
        <v>4.4000000000000004</v>
      </c>
      <c r="W753" s="7">
        <v>0.72</v>
      </c>
      <c r="X753" s="15" t="s">
        <v>89</v>
      </c>
      <c r="Y753" s="15" t="s">
        <v>89</v>
      </c>
      <c r="Z753" s="7">
        <v>1.84</v>
      </c>
      <c r="AB753" s="16"/>
      <c r="AD753" s="16"/>
      <c r="AE753" s="1">
        <v>1</v>
      </c>
    </row>
    <row r="754" spans="1:31" x14ac:dyDescent="0.2">
      <c r="A754" s="1">
        <v>753</v>
      </c>
      <c r="B754" s="1">
        <v>2016</v>
      </c>
      <c r="C754" s="1" t="s">
        <v>31</v>
      </c>
      <c r="D754" s="19" t="s">
        <v>985</v>
      </c>
      <c r="E754" s="8" t="s">
        <v>529</v>
      </c>
      <c r="F754" s="1" t="s">
        <v>32</v>
      </c>
      <c r="G754" s="8">
        <v>116</v>
      </c>
      <c r="I754" s="12">
        <v>9.0500000000000007</v>
      </c>
      <c r="J754" s="7">
        <v>25.8571428571429</v>
      </c>
      <c r="L754" s="14">
        <v>3305</v>
      </c>
      <c r="N754" s="14">
        <v>29958</v>
      </c>
      <c r="O754" s="13">
        <v>32.1</v>
      </c>
      <c r="P754" s="13">
        <v>8.4</v>
      </c>
      <c r="Q754" s="13">
        <v>43.8</v>
      </c>
      <c r="R754" s="13">
        <v>53.1</v>
      </c>
      <c r="S754" s="13"/>
      <c r="T754" s="13">
        <v>25.8</v>
      </c>
      <c r="U754" s="13">
        <v>31</v>
      </c>
      <c r="V754" s="13">
        <v>3.4</v>
      </c>
      <c r="W754" s="7">
        <v>0.71</v>
      </c>
      <c r="X754" s="13"/>
      <c r="Y754" s="13">
        <v>69.900000000000006</v>
      </c>
      <c r="Z754" s="7">
        <v>2.11</v>
      </c>
      <c r="AA754" s="15" t="s">
        <v>89</v>
      </c>
      <c r="AB754" s="16"/>
      <c r="AD754" s="16"/>
      <c r="AE754" s="1">
        <v>1</v>
      </c>
    </row>
    <row r="755" spans="1:31" x14ac:dyDescent="0.2">
      <c r="A755" s="1">
        <v>754</v>
      </c>
      <c r="B755" s="1">
        <v>2012</v>
      </c>
      <c r="C755" s="1" t="s">
        <v>31</v>
      </c>
      <c r="D755" s="22" t="s">
        <v>917</v>
      </c>
      <c r="E755" s="1" t="s">
        <v>300</v>
      </c>
      <c r="F755" s="1" t="s">
        <v>83</v>
      </c>
      <c r="I755" s="12">
        <v>5.4</v>
      </c>
      <c r="J755" s="12">
        <v>15.4</v>
      </c>
      <c r="L755" s="16">
        <v>3306</v>
      </c>
      <c r="N755" s="16">
        <v>17860</v>
      </c>
      <c r="O755" s="15">
        <v>31.8</v>
      </c>
      <c r="P755" s="15">
        <v>7.69</v>
      </c>
      <c r="Q755" s="15">
        <v>42.6</v>
      </c>
      <c r="R755" s="15">
        <v>55.8</v>
      </c>
      <c r="T755" s="15"/>
      <c r="U755" s="15">
        <v>38.299999999999997</v>
      </c>
      <c r="V755" s="15">
        <v>3.4</v>
      </c>
      <c r="W755" s="12">
        <v>0.72</v>
      </c>
      <c r="X755" s="15"/>
      <c r="Y755" s="15"/>
      <c r="Z755" s="12">
        <v>1.28</v>
      </c>
      <c r="AB755" s="16"/>
      <c r="AD755" s="16"/>
      <c r="AE755" s="1">
        <v>1</v>
      </c>
    </row>
    <row r="756" spans="1:31" x14ac:dyDescent="0.2">
      <c r="A756" s="1">
        <v>755</v>
      </c>
      <c r="B756" s="1">
        <v>2018</v>
      </c>
      <c r="C756" s="1" t="s">
        <v>31</v>
      </c>
      <c r="D756" s="1" t="s">
        <v>916</v>
      </c>
      <c r="E756" s="1" t="s">
        <v>656</v>
      </c>
      <c r="F756" s="1" t="s">
        <v>32</v>
      </c>
      <c r="G756" s="1">
        <v>124</v>
      </c>
      <c r="I756" s="12">
        <v>7.6</v>
      </c>
      <c r="J756" s="3">
        <v>21.7</v>
      </c>
      <c r="L756" s="5">
        <v>3307</v>
      </c>
      <c r="N756" s="5">
        <v>25133</v>
      </c>
      <c r="O756" s="6">
        <v>30.6</v>
      </c>
      <c r="P756" s="18">
        <v>8.1</v>
      </c>
      <c r="Q756" s="6">
        <v>44.74</v>
      </c>
      <c r="R756" s="6">
        <v>56.262500000000003</v>
      </c>
      <c r="S756" s="3"/>
      <c r="T756" s="6">
        <v>27.1525</v>
      </c>
      <c r="U756" s="6">
        <v>28.2</v>
      </c>
      <c r="V756" s="6">
        <v>8.1</v>
      </c>
      <c r="W756" s="3">
        <v>0.71177499999999994</v>
      </c>
      <c r="X756" s="6"/>
      <c r="Y756" s="6">
        <v>68.8125</v>
      </c>
      <c r="Z756" s="3">
        <v>1.91</v>
      </c>
      <c r="AB756" s="16"/>
      <c r="AD756" s="16"/>
      <c r="AE756" s="1">
        <v>1</v>
      </c>
    </row>
    <row r="757" spans="1:31" x14ac:dyDescent="0.2">
      <c r="A757" s="1">
        <v>756</v>
      </c>
      <c r="B757" s="1">
        <v>2016</v>
      </c>
      <c r="C757" s="1" t="s">
        <v>31</v>
      </c>
      <c r="D757" s="1" t="s">
        <v>916</v>
      </c>
      <c r="E757" s="8" t="s">
        <v>413</v>
      </c>
      <c r="F757" s="1" t="s">
        <v>32</v>
      </c>
      <c r="G757" s="8">
        <v>118</v>
      </c>
      <c r="I757" s="12">
        <v>9.02</v>
      </c>
      <c r="J757" s="7">
        <v>25.771428571428601</v>
      </c>
      <c r="L757" s="14">
        <v>3307</v>
      </c>
      <c r="N757" s="14">
        <v>29832</v>
      </c>
      <c r="O757" s="13">
        <v>34.4</v>
      </c>
      <c r="P757" s="13">
        <v>7.6</v>
      </c>
      <c r="Q757" s="13">
        <v>44.1</v>
      </c>
      <c r="R757" s="13">
        <v>54.4</v>
      </c>
      <c r="S757" s="13"/>
      <c r="T757" s="13">
        <v>26.4</v>
      </c>
      <c r="U757" s="13">
        <v>32.799999999999997</v>
      </c>
      <c r="V757" s="13">
        <v>2.6</v>
      </c>
      <c r="W757" s="7">
        <v>0.72</v>
      </c>
      <c r="X757" s="13"/>
      <c r="Y757" s="13">
        <v>70.7</v>
      </c>
      <c r="Z757" s="7">
        <v>2.17</v>
      </c>
      <c r="AA757" s="15" t="s">
        <v>89</v>
      </c>
      <c r="AB757" s="16"/>
      <c r="AD757" s="16"/>
      <c r="AE757" s="1">
        <v>1</v>
      </c>
    </row>
    <row r="758" spans="1:31" x14ac:dyDescent="0.2">
      <c r="A758" s="1">
        <v>757</v>
      </c>
      <c r="B758" s="1">
        <v>2015</v>
      </c>
      <c r="C758" s="8" t="s">
        <v>31</v>
      </c>
      <c r="D758" s="8" t="s">
        <v>402</v>
      </c>
      <c r="E758" s="8" t="s">
        <v>403</v>
      </c>
      <c r="F758" s="1" t="s">
        <v>32</v>
      </c>
      <c r="G758" s="8">
        <v>116</v>
      </c>
      <c r="I758" s="12">
        <v>9.4499999999999993</v>
      </c>
      <c r="J758" s="7">
        <v>27</v>
      </c>
      <c r="L758" s="14">
        <v>3307</v>
      </c>
      <c r="N758" s="14">
        <v>31273</v>
      </c>
      <c r="O758" s="13">
        <v>34.9</v>
      </c>
      <c r="P758" s="13">
        <v>6.5</v>
      </c>
      <c r="Q758" s="13">
        <v>38.5</v>
      </c>
      <c r="R758" s="13">
        <v>52.8</v>
      </c>
      <c r="S758" s="8"/>
      <c r="T758" s="13">
        <v>25.6</v>
      </c>
      <c r="U758" s="13">
        <v>36.5</v>
      </c>
      <c r="V758" s="13">
        <v>3</v>
      </c>
      <c r="W758" s="7">
        <v>0.73</v>
      </c>
      <c r="X758" s="13"/>
      <c r="Y758" s="13">
        <v>71.2</v>
      </c>
      <c r="Z758" s="7">
        <v>1.92</v>
      </c>
      <c r="AA758" s="1" t="s">
        <v>89</v>
      </c>
      <c r="AB758" s="16" t="s">
        <v>89</v>
      </c>
      <c r="AC758" s="1" t="s">
        <v>89</v>
      </c>
      <c r="AD758" s="16" t="s">
        <v>89</v>
      </c>
      <c r="AE758" s="1">
        <v>1</v>
      </c>
    </row>
    <row r="759" spans="1:31" x14ac:dyDescent="0.2">
      <c r="A759" s="1">
        <v>758</v>
      </c>
      <c r="B759" s="1">
        <v>2014</v>
      </c>
      <c r="C759" s="1" t="s">
        <v>31</v>
      </c>
      <c r="D759" s="1" t="s">
        <v>108</v>
      </c>
      <c r="E759" s="1" t="s">
        <v>230</v>
      </c>
      <c r="F759" s="1" t="s">
        <v>83</v>
      </c>
      <c r="G759" s="1">
        <v>114</v>
      </c>
      <c r="H759" s="1" t="s">
        <v>34</v>
      </c>
      <c r="I759" s="12">
        <v>5.89</v>
      </c>
      <c r="J759" s="12">
        <v>16.8</v>
      </c>
      <c r="K759" s="1" t="s">
        <v>34</v>
      </c>
      <c r="L759" s="16">
        <v>3308</v>
      </c>
      <c r="M759" s="1" t="s">
        <v>34</v>
      </c>
      <c r="N759" s="16">
        <v>19497</v>
      </c>
      <c r="O759" s="15">
        <v>32.1</v>
      </c>
      <c r="P759" s="15">
        <v>7.44</v>
      </c>
      <c r="Q759" s="15">
        <v>43</v>
      </c>
      <c r="R759" s="15">
        <v>54.4</v>
      </c>
      <c r="T759" s="15"/>
      <c r="U759" s="15">
        <v>33.700000000000003</v>
      </c>
      <c r="V759" s="15">
        <v>3.2</v>
      </c>
      <c r="W759" s="12">
        <v>0.71</v>
      </c>
      <c r="X759" s="15"/>
      <c r="Y759" s="15">
        <v>68.900000000000006</v>
      </c>
      <c r="Z759" s="12">
        <v>1.38</v>
      </c>
      <c r="AA759" s="1">
        <v>5</v>
      </c>
      <c r="AB759" s="16">
        <f>AA759*10</f>
        <v>50</v>
      </c>
      <c r="AD759" s="16"/>
      <c r="AE759" s="1">
        <v>1</v>
      </c>
    </row>
    <row r="760" spans="1:31" x14ac:dyDescent="0.2">
      <c r="A760" s="1">
        <v>759</v>
      </c>
      <c r="B760" s="1">
        <v>2010</v>
      </c>
      <c r="C760" s="1" t="s">
        <v>31</v>
      </c>
      <c r="D760" s="1" t="s">
        <v>916</v>
      </c>
      <c r="E760" s="8" t="s">
        <v>36</v>
      </c>
      <c r="F760" s="1" t="s">
        <v>32</v>
      </c>
      <c r="H760" s="1" t="s">
        <v>34</v>
      </c>
      <c r="I760" s="12">
        <v>12.65</v>
      </c>
      <c r="J760" s="7">
        <v>36.1</v>
      </c>
      <c r="L760" s="14">
        <v>3308</v>
      </c>
      <c r="M760" s="1" t="s">
        <v>34</v>
      </c>
      <c r="N760" s="14">
        <v>41857</v>
      </c>
      <c r="O760" s="13">
        <v>35</v>
      </c>
      <c r="P760" s="13">
        <v>9.6</v>
      </c>
      <c r="Q760" s="13">
        <v>43.3</v>
      </c>
      <c r="R760" s="13">
        <v>55.6</v>
      </c>
      <c r="S760" s="13"/>
      <c r="T760" s="15"/>
      <c r="U760" s="13">
        <v>34.1</v>
      </c>
      <c r="V760" s="13">
        <v>8.9</v>
      </c>
      <c r="W760" s="12"/>
      <c r="X760" s="15"/>
      <c r="Y760" s="13">
        <v>71.8</v>
      </c>
      <c r="Z760" s="7">
        <v>3.04</v>
      </c>
      <c r="AB760" s="16"/>
      <c r="AD760" s="16"/>
      <c r="AE760" s="1">
        <v>1</v>
      </c>
    </row>
    <row r="761" spans="1:31" x14ac:dyDescent="0.2">
      <c r="A761" s="1">
        <v>760</v>
      </c>
      <c r="B761" s="1">
        <v>2020</v>
      </c>
      <c r="C761" s="1" t="s">
        <v>31</v>
      </c>
      <c r="D761" s="1" t="s">
        <v>108</v>
      </c>
      <c r="E761" s="1" t="s">
        <v>779</v>
      </c>
      <c r="F761" s="1" t="s">
        <v>83</v>
      </c>
      <c r="G761" s="1">
        <v>115</v>
      </c>
      <c r="H761" s="1" t="s">
        <v>754</v>
      </c>
      <c r="I761" s="12">
        <v>5.508476201033</v>
      </c>
      <c r="J761" s="12">
        <v>15.738503432</v>
      </c>
      <c r="L761" s="16">
        <v>3308.6288233710002</v>
      </c>
      <c r="M761" s="16" t="s">
        <v>34</v>
      </c>
      <c r="N761" s="16">
        <v>18183.034219149999</v>
      </c>
      <c r="O761" s="15">
        <v>30.389521000000002</v>
      </c>
      <c r="P761" s="15">
        <v>8.9525000000000006</v>
      </c>
      <c r="Q761" s="15">
        <v>44.13</v>
      </c>
      <c r="R761" s="15">
        <v>45.91</v>
      </c>
      <c r="S761" s="15"/>
      <c r="T761" s="15">
        <v>24.914999999999999</v>
      </c>
      <c r="U761" s="15">
        <v>27.66</v>
      </c>
      <c r="V761" s="15">
        <v>6.23</v>
      </c>
      <c r="W761" s="12">
        <v>0.70027090000000003</v>
      </c>
      <c r="X761" s="15"/>
      <c r="Y761" s="15">
        <v>71.810697047999994</v>
      </c>
      <c r="Z761" s="12"/>
      <c r="AA761" s="15">
        <v>1.75</v>
      </c>
      <c r="AB761" s="16">
        <f>AA761*33.334</f>
        <v>58.334500000000006</v>
      </c>
      <c r="AD761" s="16"/>
      <c r="AE761" s="1">
        <v>1</v>
      </c>
    </row>
    <row r="762" spans="1:31" x14ac:dyDescent="0.2">
      <c r="A762" s="1">
        <v>761</v>
      </c>
      <c r="B762" s="1">
        <v>2017</v>
      </c>
      <c r="C762" s="1" t="s">
        <v>88</v>
      </c>
      <c r="D762" s="1" t="s">
        <v>246</v>
      </c>
      <c r="E762" s="1" t="s">
        <v>642</v>
      </c>
      <c r="F762" s="1" t="s">
        <v>32</v>
      </c>
      <c r="I762" s="12">
        <v>5.69722025</v>
      </c>
      <c r="J762" s="3">
        <v>16.277772200000001</v>
      </c>
      <c r="K762" s="1" t="s">
        <v>34</v>
      </c>
      <c r="L762" s="5">
        <v>3309</v>
      </c>
      <c r="M762" s="1" t="s">
        <v>34</v>
      </c>
      <c r="N762" s="5">
        <v>18835</v>
      </c>
      <c r="O762" s="6">
        <v>27.947448399999999</v>
      </c>
      <c r="P762" s="6">
        <v>4.41</v>
      </c>
      <c r="Q762" s="6">
        <v>57.1175</v>
      </c>
      <c r="R762" s="15">
        <v>61</v>
      </c>
      <c r="S762" s="15">
        <v>17.3</v>
      </c>
      <c r="U762" s="6">
        <v>11.28</v>
      </c>
      <c r="V762" s="6">
        <v>17.8</v>
      </c>
      <c r="W762" s="3">
        <v>0.64832499999999993</v>
      </c>
      <c r="X762" s="6"/>
      <c r="Y762" s="15">
        <v>65.900000000000006</v>
      </c>
      <c r="Z762" s="3">
        <v>1.97989865</v>
      </c>
      <c r="AB762" s="16"/>
      <c r="AD762" s="16"/>
      <c r="AE762" s="1">
        <v>1</v>
      </c>
    </row>
    <row r="763" spans="1:31" x14ac:dyDescent="0.2">
      <c r="A763" s="1">
        <v>762</v>
      </c>
      <c r="B763" s="1">
        <v>2008</v>
      </c>
      <c r="C763" s="1" t="s">
        <v>31</v>
      </c>
      <c r="D763" s="8" t="s">
        <v>1024</v>
      </c>
      <c r="E763" s="8">
        <v>9701</v>
      </c>
      <c r="F763" s="8" t="s">
        <v>83</v>
      </c>
      <c r="G763" s="8"/>
      <c r="H763" s="8"/>
      <c r="I763" s="12">
        <v>5.1100000000000003</v>
      </c>
      <c r="J763" s="7">
        <v>14.600000000000001</v>
      </c>
      <c r="K763" s="13" t="s">
        <v>34</v>
      </c>
      <c r="L763" s="14">
        <v>3310</v>
      </c>
      <c r="M763" s="14"/>
      <c r="N763" s="14">
        <v>16933</v>
      </c>
      <c r="O763" s="13">
        <v>33.700000000000003</v>
      </c>
      <c r="P763" s="13">
        <v>9.9</v>
      </c>
      <c r="Q763" s="13">
        <v>39.9</v>
      </c>
      <c r="R763" s="13">
        <v>48</v>
      </c>
      <c r="S763" s="13"/>
      <c r="T763" s="13">
        <v>20</v>
      </c>
      <c r="U763" s="13">
        <v>31.4</v>
      </c>
      <c r="V763" s="15"/>
      <c r="X763" s="15"/>
      <c r="Y763" s="13">
        <v>71.2</v>
      </c>
      <c r="Z763" s="7">
        <v>0.98</v>
      </c>
      <c r="AB763" s="16"/>
      <c r="AD763" s="16"/>
      <c r="AE763" s="1">
        <v>1</v>
      </c>
    </row>
    <row r="764" spans="1:31" x14ac:dyDescent="0.2">
      <c r="A764" s="1">
        <v>763</v>
      </c>
      <c r="B764" s="1">
        <v>2013</v>
      </c>
      <c r="C764" s="1" t="s">
        <v>31</v>
      </c>
      <c r="D764" s="28" t="s">
        <v>914</v>
      </c>
      <c r="E764" s="8" t="s">
        <v>287</v>
      </c>
      <c r="F764" s="1" t="s">
        <v>32</v>
      </c>
      <c r="G764" s="8">
        <v>117</v>
      </c>
      <c r="H764" s="8"/>
      <c r="I764" s="12">
        <v>8.17</v>
      </c>
      <c r="J764" s="7">
        <v>23.342857142857099</v>
      </c>
      <c r="K764" s="13"/>
      <c r="L764" s="14">
        <v>3310</v>
      </c>
      <c r="M764" s="14"/>
      <c r="N764" s="14">
        <v>27002</v>
      </c>
      <c r="O764" s="13">
        <v>29.6</v>
      </c>
      <c r="P764" s="13">
        <v>7.7</v>
      </c>
      <c r="Q764" s="13">
        <v>40.9</v>
      </c>
      <c r="R764" s="13">
        <v>52.4</v>
      </c>
      <c r="S764" s="13" t="s">
        <v>89</v>
      </c>
      <c r="T764" s="13"/>
      <c r="U764" s="13">
        <v>33.299999999999997</v>
      </c>
      <c r="V764" s="13">
        <v>4.4000000000000004</v>
      </c>
      <c r="W764" s="7">
        <v>0.72</v>
      </c>
      <c r="X764" s="15" t="s">
        <v>89</v>
      </c>
      <c r="Y764" s="15" t="s">
        <v>89</v>
      </c>
      <c r="Z764" s="7">
        <v>1.75</v>
      </c>
      <c r="AB764" s="16"/>
      <c r="AD764" s="16"/>
      <c r="AE764" s="1">
        <v>1</v>
      </c>
    </row>
    <row r="765" spans="1:31" x14ac:dyDescent="0.2">
      <c r="A765" s="1">
        <v>764</v>
      </c>
      <c r="B765" s="1">
        <v>2013</v>
      </c>
      <c r="C765" s="1" t="s">
        <v>31</v>
      </c>
      <c r="D765" s="8" t="s">
        <v>37</v>
      </c>
      <c r="E765" s="8" t="s">
        <v>374</v>
      </c>
      <c r="F765" s="1" t="s">
        <v>32</v>
      </c>
      <c r="G765" s="8">
        <v>116</v>
      </c>
      <c r="H765" s="8"/>
      <c r="I765" s="12">
        <v>8.64</v>
      </c>
      <c r="J765" s="7">
        <v>24.685714285714301</v>
      </c>
      <c r="K765" s="13"/>
      <c r="L765" s="14">
        <v>3310</v>
      </c>
      <c r="M765" s="14"/>
      <c r="N765" s="14">
        <v>28635</v>
      </c>
      <c r="O765" s="13">
        <v>29.2</v>
      </c>
      <c r="P765" s="13">
        <v>8.8000000000000007</v>
      </c>
      <c r="Q765" s="13">
        <v>42</v>
      </c>
      <c r="R765" s="13">
        <v>52.9</v>
      </c>
      <c r="S765" s="13"/>
      <c r="T765" s="13"/>
      <c r="U765" s="13">
        <v>30.4</v>
      </c>
      <c r="V765" s="13">
        <v>4.9000000000000004</v>
      </c>
      <c r="W765" s="7">
        <v>0.72</v>
      </c>
      <c r="X765" s="15"/>
      <c r="Y765" s="15"/>
      <c r="Z765" s="7">
        <v>1.92</v>
      </c>
      <c r="AB765" s="16"/>
      <c r="AD765" s="16"/>
      <c r="AE765" s="1">
        <v>1</v>
      </c>
    </row>
    <row r="766" spans="1:31" x14ac:dyDescent="0.2">
      <c r="A766" s="1">
        <v>765</v>
      </c>
      <c r="B766" s="1">
        <v>2021</v>
      </c>
      <c r="C766" s="1" t="s">
        <v>31</v>
      </c>
      <c r="D766" s="1" t="s">
        <v>805</v>
      </c>
      <c r="E766" s="1" t="s">
        <v>807</v>
      </c>
      <c r="F766" s="1" t="s">
        <v>32</v>
      </c>
      <c r="G766" s="1">
        <v>117</v>
      </c>
      <c r="H766" s="1" t="s">
        <v>89</v>
      </c>
      <c r="I766" s="12">
        <v>8.1860883610219997</v>
      </c>
      <c r="J766" s="12">
        <v>23.388823889000001</v>
      </c>
      <c r="K766" s="1" t="s">
        <v>89</v>
      </c>
      <c r="L766" s="16">
        <v>3310.5548696840001</v>
      </c>
      <c r="M766" s="16" t="s">
        <v>89</v>
      </c>
      <c r="N766" s="16">
        <v>27107.098787415998</v>
      </c>
      <c r="O766" s="15">
        <v>35.016646099999996</v>
      </c>
      <c r="P766" s="15">
        <v>7.6556903570000001</v>
      </c>
      <c r="Q766" s="15">
        <v>39.349065431</v>
      </c>
      <c r="R766" s="15">
        <v>57.376965235999997</v>
      </c>
      <c r="T766" s="15">
        <v>23.041316922</v>
      </c>
      <c r="U766" s="15">
        <v>40.725097249000001</v>
      </c>
      <c r="V766" s="15">
        <v>6.7055871580000002</v>
      </c>
      <c r="W766" s="12">
        <v>0.70134813038999999</v>
      </c>
      <c r="X766" s="15"/>
      <c r="Y766" s="15">
        <v>71.674376242999998</v>
      </c>
      <c r="Z766" s="12"/>
      <c r="AA766" s="15">
        <v>0.147187436</v>
      </c>
      <c r="AB766" s="16">
        <f>AA766*33.334</f>
        <v>4.9063459916240006</v>
      </c>
      <c r="AD766" s="16"/>
      <c r="AE766" s="1">
        <v>1</v>
      </c>
    </row>
    <row r="767" spans="1:31" x14ac:dyDescent="0.2">
      <c r="A767" s="1">
        <v>766</v>
      </c>
      <c r="B767" s="1">
        <v>2014</v>
      </c>
      <c r="C767" s="1" t="s">
        <v>31</v>
      </c>
      <c r="D767" s="1" t="s">
        <v>71</v>
      </c>
      <c r="E767" s="1" t="s">
        <v>442</v>
      </c>
      <c r="F767" s="1" t="s">
        <v>83</v>
      </c>
      <c r="G767" s="1">
        <v>123</v>
      </c>
      <c r="I767" s="12">
        <v>5.59</v>
      </c>
      <c r="J767" s="12">
        <v>16</v>
      </c>
      <c r="K767" s="1" t="s">
        <v>34</v>
      </c>
      <c r="L767" s="16">
        <v>3311</v>
      </c>
      <c r="M767" s="1" t="s">
        <v>34</v>
      </c>
      <c r="N767" s="16">
        <v>18495</v>
      </c>
      <c r="O767" s="15">
        <v>34.6</v>
      </c>
      <c r="P767" s="15">
        <v>6.71</v>
      </c>
      <c r="Q767" s="15">
        <v>44.3</v>
      </c>
      <c r="R767" s="15">
        <v>55.5</v>
      </c>
      <c r="T767" s="15"/>
      <c r="U767" s="15">
        <v>25.8</v>
      </c>
      <c r="V767" s="15">
        <v>7.5</v>
      </c>
      <c r="W767" s="12">
        <v>0.73</v>
      </c>
      <c r="X767" s="15"/>
      <c r="Y767" s="15">
        <v>70.2</v>
      </c>
      <c r="Z767" s="12">
        <v>1.37</v>
      </c>
      <c r="AA767" s="1">
        <v>2</v>
      </c>
      <c r="AB767" s="16">
        <f>AA767*10</f>
        <v>20</v>
      </c>
      <c r="AD767" s="16"/>
      <c r="AE767" s="1">
        <v>1</v>
      </c>
    </row>
    <row r="768" spans="1:31" x14ac:dyDescent="0.2">
      <c r="A768" s="1">
        <v>767</v>
      </c>
      <c r="B768" s="1">
        <v>2014</v>
      </c>
      <c r="C768" s="1" t="s">
        <v>31</v>
      </c>
      <c r="D768" s="8" t="s">
        <v>874</v>
      </c>
      <c r="E768" s="1" t="s">
        <v>408</v>
      </c>
      <c r="F768" s="1" t="s">
        <v>32</v>
      </c>
      <c r="G768" s="1">
        <v>117</v>
      </c>
      <c r="I768" s="12">
        <v>10.32</v>
      </c>
      <c r="J768" s="12">
        <v>29.5</v>
      </c>
      <c r="L768" s="16">
        <v>3312</v>
      </c>
      <c r="M768" s="1" t="s">
        <v>34</v>
      </c>
      <c r="N768" s="16">
        <v>34227</v>
      </c>
      <c r="O768" s="15">
        <v>33.5</v>
      </c>
      <c r="P768" s="15">
        <v>7.5</v>
      </c>
      <c r="Q768" s="15">
        <v>41.1</v>
      </c>
      <c r="R768" s="15">
        <v>53.7</v>
      </c>
      <c r="T768" s="15"/>
      <c r="U768" s="15">
        <v>31.8</v>
      </c>
      <c r="V768" s="15">
        <v>5.5</v>
      </c>
      <c r="W768" s="12">
        <v>0.72</v>
      </c>
      <c r="X768" s="15"/>
      <c r="Y768" s="15">
        <v>69.599999999999994</v>
      </c>
      <c r="Z768" s="12">
        <v>2.27</v>
      </c>
      <c r="AB768" s="16"/>
      <c r="AD768" s="16"/>
      <c r="AE768" s="1">
        <v>1</v>
      </c>
    </row>
    <row r="769" spans="1:31" x14ac:dyDescent="0.2">
      <c r="A769" s="1">
        <v>768</v>
      </c>
      <c r="B769" s="1">
        <v>2021</v>
      </c>
      <c r="C769" s="1" t="s">
        <v>31</v>
      </c>
      <c r="D769" s="19" t="s">
        <v>900</v>
      </c>
      <c r="E769" s="1" t="s">
        <v>769</v>
      </c>
      <c r="F769" s="1" t="s">
        <v>32</v>
      </c>
      <c r="G769" s="1">
        <v>115</v>
      </c>
      <c r="H769" s="1" t="s">
        <v>89</v>
      </c>
      <c r="I769" s="12">
        <v>6.4703986490330001</v>
      </c>
      <c r="J769" s="12">
        <v>18.486853282999999</v>
      </c>
      <c r="K769" s="1" t="s">
        <v>89</v>
      </c>
      <c r="L769" s="16">
        <v>3312.373856874</v>
      </c>
      <c r="M769" s="16" t="s">
        <v>89</v>
      </c>
      <c r="N769" s="16">
        <v>22664.713052846</v>
      </c>
      <c r="O769" s="15">
        <v>32.922754699999999</v>
      </c>
      <c r="P769" s="15">
        <v>7.5652371760000001</v>
      </c>
      <c r="Q769" s="15">
        <v>40.269506145999998</v>
      </c>
      <c r="R769" s="15">
        <v>59.755639406999997</v>
      </c>
      <c r="T769" s="15">
        <v>23.358306644999999</v>
      </c>
      <c r="U769" s="15">
        <v>39.130698508000002</v>
      </c>
      <c r="V769" s="15">
        <v>6.5749311239999999</v>
      </c>
      <c r="W769" s="12">
        <v>0.69937581089</v>
      </c>
      <c r="X769" s="15"/>
      <c r="Y769" s="15">
        <v>72.048039693000007</v>
      </c>
      <c r="Z769" s="12"/>
      <c r="AA769" s="15">
        <v>0.524373851</v>
      </c>
      <c r="AB769" s="16">
        <f>AA769*33.334</f>
        <v>17.479477949234003</v>
      </c>
      <c r="AD769" s="16"/>
      <c r="AE769" s="1">
        <v>1</v>
      </c>
    </row>
    <row r="770" spans="1:31" x14ac:dyDescent="0.2">
      <c r="A770" s="1">
        <v>769</v>
      </c>
      <c r="B770" s="1">
        <v>2011</v>
      </c>
      <c r="C770" s="1" t="s">
        <v>96</v>
      </c>
      <c r="D770" s="8" t="s">
        <v>1023</v>
      </c>
      <c r="E770" s="8" t="s">
        <v>253</v>
      </c>
      <c r="F770" s="1" t="s">
        <v>83</v>
      </c>
      <c r="I770" s="12">
        <v>4.32</v>
      </c>
      <c r="J770" s="7">
        <v>12.3</v>
      </c>
      <c r="K770" s="8" t="s">
        <v>34</v>
      </c>
      <c r="L770" s="14">
        <v>3313</v>
      </c>
      <c r="M770" s="8"/>
      <c r="N770" s="14">
        <v>14303</v>
      </c>
      <c r="O770" s="13">
        <v>31.9</v>
      </c>
      <c r="P770" s="13">
        <v>8.4</v>
      </c>
      <c r="Q770" s="13">
        <v>54.6</v>
      </c>
      <c r="R770" s="13">
        <v>56.9</v>
      </c>
      <c r="S770" s="13"/>
      <c r="T770" s="13"/>
      <c r="U770" s="13">
        <v>14</v>
      </c>
      <c r="V770" s="13">
        <v>1.9</v>
      </c>
      <c r="W770" s="7"/>
      <c r="X770" s="13"/>
      <c r="Y770" s="13">
        <v>63.4</v>
      </c>
      <c r="Z770" s="7">
        <v>1.34</v>
      </c>
      <c r="AA770" s="8">
        <v>1.4</v>
      </c>
      <c r="AB770" s="16">
        <f>AA770*10</f>
        <v>14</v>
      </c>
      <c r="AC770" s="13">
        <v>0.8</v>
      </c>
      <c r="AD770" s="16">
        <f>AC770*10</f>
        <v>8</v>
      </c>
      <c r="AE770" s="1">
        <v>0</v>
      </c>
    </row>
    <row r="771" spans="1:31" x14ac:dyDescent="0.2">
      <c r="A771" s="1">
        <v>770</v>
      </c>
      <c r="B771" s="1">
        <v>2014</v>
      </c>
      <c r="C771" s="1" t="s">
        <v>31</v>
      </c>
      <c r="D771" s="1" t="s">
        <v>805</v>
      </c>
      <c r="E771" s="1" t="s">
        <v>419</v>
      </c>
      <c r="F771" s="1" t="s">
        <v>32</v>
      </c>
      <c r="G771" s="1">
        <v>114</v>
      </c>
      <c r="I771" s="12">
        <v>8.2100000000000009</v>
      </c>
      <c r="J771" s="12">
        <v>23.5</v>
      </c>
      <c r="L771" s="16">
        <v>3313</v>
      </c>
      <c r="N771" s="16">
        <v>27214</v>
      </c>
      <c r="O771" s="15">
        <v>30.1</v>
      </c>
      <c r="P771" s="15">
        <v>8.1999999999999993</v>
      </c>
      <c r="Q771" s="15">
        <v>43.5</v>
      </c>
      <c r="R771" s="15">
        <v>55.6</v>
      </c>
      <c r="T771" s="15"/>
      <c r="U771" s="15">
        <v>31.3</v>
      </c>
      <c r="V771" s="15">
        <v>4.5</v>
      </c>
      <c r="W771" s="12">
        <v>0.7</v>
      </c>
      <c r="X771" s="15"/>
      <c r="Y771" s="15">
        <v>68.2</v>
      </c>
      <c r="Z771" s="12">
        <v>1.98</v>
      </c>
      <c r="AB771" s="16"/>
      <c r="AD771" s="16"/>
      <c r="AE771" s="1">
        <v>1</v>
      </c>
    </row>
    <row r="772" spans="1:31" x14ac:dyDescent="0.2">
      <c r="A772" s="1">
        <v>771</v>
      </c>
      <c r="B772" s="1">
        <v>2018</v>
      </c>
      <c r="C772" s="1" t="s">
        <v>31</v>
      </c>
      <c r="D772" s="28" t="s">
        <v>914</v>
      </c>
      <c r="E772" s="1" t="s">
        <v>482</v>
      </c>
      <c r="F772" s="1" t="s">
        <v>32</v>
      </c>
      <c r="G772" s="1">
        <v>118</v>
      </c>
      <c r="H772" s="1" t="s">
        <v>34</v>
      </c>
      <c r="I772" s="12">
        <v>8.9</v>
      </c>
      <c r="J772" s="3">
        <v>25.5</v>
      </c>
      <c r="L772" s="5">
        <v>3313.25</v>
      </c>
      <c r="M772" s="1" t="s">
        <v>34</v>
      </c>
      <c r="N772" s="5">
        <v>29702</v>
      </c>
      <c r="O772" s="6">
        <v>35.47</v>
      </c>
      <c r="P772" s="18">
        <v>7.61</v>
      </c>
      <c r="Q772" s="6">
        <v>39.96</v>
      </c>
      <c r="R772" s="6">
        <v>55.92</v>
      </c>
      <c r="S772" s="3"/>
      <c r="T772" s="6">
        <v>24.522500000000001</v>
      </c>
      <c r="U772" s="6">
        <v>36.799999999999997</v>
      </c>
      <c r="V772" s="6">
        <v>5.1074999999999999</v>
      </c>
      <c r="W772" s="3">
        <v>0.74</v>
      </c>
      <c r="X772" s="6"/>
      <c r="Y772" s="6">
        <v>71.3</v>
      </c>
      <c r="Z772" s="3">
        <v>1.99</v>
      </c>
      <c r="AB772" s="16"/>
      <c r="AD772" s="16"/>
      <c r="AE772" s="1">
        <v>1</v>
      </c>
    </row>
    <row r="773" spans="1:31" x14ac:dyDescent="0.2">
      <c r="A773" s="1">
        <v>772</v>
      </c>
      <c r="B773" s="1">
        <v>2012</v>
      </c>
      <c r="C773" s="1" t="s">
        <v>31</v>
      </c>
      <c r="D773" s="1" t="s">
        <v>108</v>
      </c>
      <c r="E773" s="1" t="s">
        <v>312</v>
      </c>
      <c r="F773" s="1" t="s">
        <v>83</v>
      </c>
      <c r="I773" s="12">
        <v>5.93</v>
      </c>
      <c r="J773" s="12">
        <v>16.899999999999999</v>
      </c>
      <c r="L773" s="16">
        <v>3314</v>
      </c>
      <c r="N773" s="16">
        <v>19728</v>
      </c>
      <c r="O773" s="15">
        <v>28.9</v>
      </c>
      <c r="P773" s="15">
        <v>7.54</v>
      </c>
      <c r="Q773" s="15">
        <v>45.7</v>
      </c>
      <c r="R773" s="15">
        <v>58.5</v>
      </c>
      <c r="T773" s="15"/>
      <c r="U773" s="15">
        <v>34.9</v>
      </c>
      <c r="V773" s="15">
        <v>3.2</v>
      </c>
      <c r="W773" s="12">
        <v>0.71</v>
      </c>
      <c r="X773" s="15"/>
      <c r="Y773" s="15"/>
      <c r="Z773" s="12">
        <v>1.58</v>
      </c>
      <c r="AB773" s="16"/>
      <c r="AD773" s="16"/>
      <c r="AE773" s="1">
        <v>1</v>
      </c>
    </row>
    <row r="774" spans="1:31" x14ac:dyDescent="0.2">
      <c r="A774" s="1">
        <v>773</v>
      </c>
      <c r="B774" s="1">
        <v>2010</v>
      </c>
      <c r="C774" s="1" t="s">
        <v>31</v>
      </c>
      <c r="D774" s="8" t="s">
        <v>150</v>
      </c>
      <c r="E774" s="8" t="s">
        <v>164</v>
      </c>
      <c r="F774" s="1" t="s">
        <v>32</v>
      </c>
      <c r="I774" s="12">
        <v>7.87</v>
      </c>
      <c r="J774" s="7">
        <v>22.485714285714302</v>
      </c>
      <c r="L774" s="14">
        <v>3314</v>
      </c>
      <c r="N774" s="14">
        <v>26109</v>
      </c>
      <c r="O774" s="13">
        <v>31</v>
      </c>
      <c r="P774" s="13">
        <v>10.9</v>
      </c>
      <c r="Q774" s="13">
        <v>46.8</v>
      </c>
      <c r="R774" s="13">
        <v>57.4</v>
      </c>
      <c r="S774" s="13"/>
      <c r="T774" s="15"/>
      <c r="U774" s="13">
        <v>29.9</v>
      </c>
      <c r="V774" s="13">
        <v>5.6</v>
      </c>
      <c r="W774" s="12"/>
      <c r="X774" s="15"/>
      <c r="Y774" s="13">
        <v>69.599999999999994</v>
      </c>
      <c r="Z774" s="7">
        <v>2.13</v>
      </c>
      <c r="AB774" s="16"/>
      <c r="AD774" s="16"/>
      <c r="AE774" s="1">
        <v>1</v>
      </c>
    </row>
    <row r="775" spans="1:31" x14ac:dyDescent="0.2">
      <c r="A775" s="1">
        <v>774</v>
      </c>
      <c r="B775" s="1">
        <v>2014</v>
      </c>
      <c r="C775" s="1" t="s">
        <v>31</v>
      </c>
      <c r="D775" s="1" t="s">
        <v>291</v>
      </c>
      <c r="E775" s="1" t="s">
        <v>383</v>
      </c>
      <c r="F775" s="1" t="s">
        <v>32</v>
      </c>
      <c r="G775" s="1">
        <v>118</v>
      </c>
      <c r="I775" s="12">
        <v>9.0500000000000007</v>
      </c>
      <c r="J775" s="12">
        <v>25.9</v>
      </c>
      <c r="L775" s="16">
        <v>3314</v>
      </c>
      <c r="N775" s="16">
        <v>29998</v>
      </c>
      <c r="O775" s="15">
        <v>32.299999999999997</v>
      </c>
      <c r="P775" s="15">
        <v>7.5</v>
      </c>
      <c r="Q775" s="15">
        <v>43.2</v>
      </c>
      <c r="R775" s="15">
        <v>55.2</v>
      </c>
      <c r="T775" s="15"/>
      <c r="U775" s="15">
        <v>28.3</v>
      </c>
      <c r="V775" s="15">
        <v>6.4</v>
      </c>
      <c r="W775" s="12">
        <v>0.71</v>
      </c>
      <c r="X775" s="15"/>
      <c r="Y775" s="15">
        <v>68.5</v>
      </c>
      <c r="Z775" s="12">
        <v>2.16</v>
      </c>
      <c r="AB775" s="16"/>
      <c r="AD775" s="16"/>
      <c r="AE775" s="1">
        <v>1</v>
      </c>
    </row>
    <row r="776" spans="1:31" x14ac:dyDescent="0.2">
      <c r="A776" s="1">
        <v>775</v>
      </c>
      <c r="B776" s="1">
        <v>2016</v>
      </c>
      <c r="C776" s="1" t="s">
        <v>88</v>
      </c>
      <c r="D776" s="8" t="s">
        <v>246</v>
      </c>
      <c r="E776" s="8" t="s">
        <v>250</v>
      </c>
      <c r="F776" s="1" t="s">
        <v>32</v>
      </c>
      <c r="I776" s="12">
        <v>7.2</v>
      </c>
      <c r="J776" s="7">
        <v>20.571428571428601</v>
      </c>
      <c r="L776" s="5">
        <v>3314.75</v>
      </c>
      <c r="N776" s="5">
        <v>24122.924999999999</v>
      </c>
      <c r="O776" s="6">
        <v>25.322500000000002</v>
      </c>
      <c r="P776" s="6">
        <v>6.5549999999999997</v>
      </c>
      <c r="Q776" s="6">
        <v>47.935000000000002</v>
      </c>
      <c r="R776" s="6">
        <v>45.225000000000001</v>
      </c>
      <c r="S776" s="6"/>
      <c r="T776" s="6">
        <v>31.04</v>
      </c>
      <c r="U776" s="6">
        <v>22.302499999999998</v>
      </c>
      <c r="V776" s="6">
        <v>11.154999999999999</v>
      </c>
      <c r="W776" s="7">
        <v>0.68</v>
      </c>
      <c r="X776" s="13"/>
      <c r="Y776" s="6">
        <v>63.11</v>
      </c>
      <c r="Z776" s="3">
        <v>1.5499922699999999</v>
      </c>
      <c r="AA776" s="6">
        <v>0.75</v>
      </c>
      <c r="AB776" s="16">
        <f>AA776*10</f>
        <v>7.5</v>
      </c>
      <c r="AC776" s="6">
        <v>1.37</v>
      </c>
      <c r="AD776" s="16">
        <f>AC776*10</f>
        <v>13.700000000000001</v>
      </c>
      <c r="AE776" s="1">
        <v>1</v>
      </c>
    </row>
    <row r="777" spans="1:31" x14ac:dyDescent="0.2">
      <c r="A777" s="1">
        <v>776</v>
      </c>
      <c r="B777" s="1">
        <v>2019</v>
      </c>
      <c r="C777" s="1" t="s">
        <v>31</v>
      </c>
      <c r="D777" s="1" t="s">
        <v>805</v>
      </c>
      <c r="E777" s="1" t="s">
        <v>716</v>
      </c>
      <c r="F777" s="1" t="s">
        <v>83</v>
      </c>
      <c r="G777" s="8">
        <v>118</v>
      </c>
      <c r="H777" s="1" t="s">
        <v>34</v>
      </c>
      <c r="I777" s="12">
        <v>7.25</v>
      </c>
      <c r="J777" s="3">
        <v>20.72</v>
      </c>
      <c r="L777" s="5">
        <v>3315.5</v>
      </c>
      <c r="N777" s="5">
        <v>23957.825000000001</v>
      </c>
      <c r="O777" s="6">
        <v>42.58</v>
      </c>
      <c r="P777" s="6">
        <v>9.1225000000000005</v>
      </c>
      <c r="Q777" s="6">
        <v>33.162500000000001</v>
      </c>
      <c r="R777" s="6">
        <v>62.085000000000001</v>
      </c>
      <c r="S777" s="3"/>
      <c r="T777" s="6">
        <v>17.965</v>
      </c>
      <c r="U777" s="6">
        <v>43.22</v>
      </c>
      <c r="V777" s="6">
        <v>7.5350000000000001</v>
      </c>
      <c r="W777" s="3">
        <v>0.70784999999999998</v>
      </c>
      <c r="X777" s="6"/>
      <c r="Y777" s="6">
        <v>68.462500000000006</v>
      </c>
      <c r="Z777" s="3">
        <v>1.47</v>
      </c>
      <c r="AB777" s="16"/>
      <c r="AD777" s="16"/>
      <c r="AE777" s="1">
        <v>1</v>
      </c>
    </row>
    <row r="778" spans="1:31" x14ac:dyDescent="0.2">
      <c r="A778" s="1">
        <v>777</v>
      </c>
      <c r="B778" s="1">
        <v>2020</v>
      </c>
      <c r="C778" s="1" t="s">
        <v>31</v>
      </c>
      <c r="D778" s="1" t="s">
        <v>37</v>
      </c>
      <c r="E778" s="1" t="s">
        <v>724</v>
      </c>
      <c r="F778" s="1" t="s">
        <v>32</v>
      </c>
      <c r="G778" s="1">
        <v>118</v>
      </c>
      <c r="H778" s="1" t="s">
        <v>754</v>
      </c>
      <c r="I778" s="12">
        <v>9.2601264542325001</v>
      </c>
      <c r="J778" s="12">
        <v>26.486421200999999</v>
      </c>
      <c r="K778" s="1" t="s">
        <v>754</v>
      </c>
      <c r="L778" s="16">
        <v>3316.8386455300001</v>
      </c>
      <c r="M778" s="16" t="s">
        <v>754</v>
      </c>
      <c r="N778" s="16">
        <v>22983.493295773002</v>
      </c>
      <c r="O778" s="10">
        <v>46.459395100000002</v>
      </c>
      <c r="P778" s="15">
        <v>7.5549999999999997</v>
      </c>
      <c r="Q778" s="15">
        <v>44.26</v>
      </c>
      <c r="R778" s="15">
        <v>51.746729623</v>
      </c>
      <c r="S778" s="15"/>
      <c r="T778" s="15">
        <v>23.765000000000001</v>
      </c>
      <c r="U778" s="15">
        <v>28.875</v>
      </c>
      <c r="V778" s="15">
        <v>5.4457304000000004</v>
      </c>
      <c r="W778" s="12">
        <v>0.69298101899999986</v>
      </c>
      <c r="X778" s="15"/>
      <c r="Y778" s="15">
        <v>73.24052125</v>
      </c>
      <c r="Z778" s="12"/>
      <c r="AA778" s="15">
        <v>1.125</v>
      </c>
      <c r="AB778" s="16">
        <f>AA778*33.334</f>
        <v>37.500750000000004</v>
      </c>
      <c r="AD778" s="16"/>
      <c r="AE778" s="1">
        <v>1</v>
      </c>
    </row>
    <row r="779" spans="1:31" x14ac:dyDescent="0.2">
      <c r="A779" s="1">
        <v>778</v>
      </c>
      <c r="B779" s="1">
        <v>2011</v>
      </c>
      <c r="C779" s="1" t="s">
        <v>31</v>
      </c>
      <c r="D779" s="1" t="s">
        <v>67</v>
      </c>
      <c r="E779" s="1" t="s">
        <v>222</v>
      </c>
      <c r="F779" s="1" t="s">
        <v>32</v>
      </c>
      <c r="I779" s="12">
        <v>8.7100000000000009</v>
      </c>
      <c r="J779" s="12">
        <v>24.9</v>
      </c>
      <c r="L779" s="16">
        <v>3317</v>
      </c>
      <c r="N779" s="16">
        <v>28938</v>
      </c>
      <c r="O779" s="15">
        <v>26.6</v>
      </c>
      <c r="P779" s="15">
        <v>9.1</v>
      </c>
      <c r="Q779" s="15">
        <v>51.1</v>
      </c>
      <c r="R779" s="15">
        <v>64.5</v>
      </c>
      <c r="T779" s="15"/>
      <c r="U779" s="15">
        <v>27</v>
      </c>
      <c r="V779" s="15">
        <v>4.0999999999999996</v>
      </c>
      <c r="W779" s="12"/>
      <c r="X779" s="15"/>
      <c r="Y779" s="15">
        <v>66.900000000000006</v>
      </c>
      <c r="Z779" s="12">
        <v>2.87</v>
      </c>
      <c r="AB779" s="16"/>
      <c r="AD779" s="16"/>
      <c r="AE779" s="1">
        <v>1</v>
      </c>
    </row>
    <row r="780" spans="1:31" x14ac:dyDescent="0.2">
      <c r="A780" s="1">
        <v>779</v>
      </c>
      <c r="B780" s="1">
        <v>2013</v>
      </c>
      <c r="C780" s="1" t="s">
        <v>31</v>
      </c>
      <c r="D780" s="8" t="s">
        <v>108</v>
      </c>
      <c r="E780" s="8" t="s">
        <v>369</v>
      </c>
      <c r="F780" s="1" t="s">
        <v>32</v>
      </c>
      <c r="G780" s="8">
        <v>116</v>
      </c>
      <c r="H780" s="8"/>
      <c r="I780" s="12">
        <v>8.23</v>
      </c>
      <c r="J780" s="7">
        <v>23.514285714285698</v>
      </c>
      <c r="K780" s="13"/>
      <c r="L780" s="14">
        <v>3319</v>
      </c>
      <c r="M780" s="8"/>
      <c r="N780" s="14">
        <v>27349</v>
      </c>
      <c r="O780" s="13">
        <v>30</v>
      </c>
      <c r="P780" s="13">
        <v>8.5</v>
      </c>
      <c r="Q780" s="13">
        <v>40.700000000000003</v>
      </c>
      <c r="R780" s="13">
        <v>54.9</v>
      </c>
      <c r="S780" s="13"/>
      <c r="T780" s="13"/>
      <c r="U780" s="13">
        <v>34.5</v>
      </c>
      <c r="V780" s="13">
        <v>4</v>
      </c>
      <c r="W780" s="7">
        <v>0.72</v>
      </c>
      <c r="X780" s="15"/>
      <c r="Y780" s="15"/>
      <c r="Z780" s="7">
        <v>1.84</v>
      </c>
      <c r="AB780" s="16"/>
      <c r="AD780" s="16"/>
      <c r="AE780" s="1">
        <v>1</v>
      </c>
    </row>
    <row r="781" spans="1:31" x14ac:dyDescent="0.2">
      <c r="A781" s="1">
        <v>780</v>
      </c>
      <c r="B781" s="1">
        <v>2018</v>
      </c>
      <c r="C781" s="1" t="s">
        <v>31</v>
      </c>
      <c r="D781" s="1" t="s">
        <v>916</v>
      </c>
      <c r="E781" s="1" t="s">
        <v>649</v>
      </c>
      <c r="F781" s="1" t="s">
        <v>32</v>
      </c>
      <c r="G781" s="1">
        <v>130</v>
      </c>
      <c r="H781" s="1" t="s">
        <v>34</v>
      </c>
      <c r="I781" s="12">
        <v>8.3000000000000007</v>
      </c>
      <c r="J781" s="3">
        <v>23.8</v>
      </c>
      <c r="K781" s="1" t="s">
        <v>34</v>
      </c>
      <c r="L781" s="5">
        <v>3319</v>
      </c>
      <c r="M781" s="1" t="s">
        <v>34</v>
      </c>
      <c r="N781" s="5">
        <v>27548</v>
      </c>
      <c r="O781" s="6">
        <v>32.5</v>
      </c>
      <c r="P781" s="18">
        <v>8.6999999999999993</v>
      </c>
      <c r="Q781" s="6">
        <v>41.5833333</v>
      </c>
      <c r="R781" s="6">
        <v>53.536666699999998</v>
      </c>
      <c r="S781" s="3"/>
      <c r="T781" s="6">
        <v>25.466666700000001</v>
      </c>
      <c r="U781" s="6">
        <v>31.0966667</v>
      </c>
      <c r="V781" s="6">
        <v>7.7</v>
      </c>
      <c r="W781" s="3">
        <v>0.71716666700000009</v>
      </c>
      <c r="X781" s="6"/>
      <c r="Y781" s="6">
        <v>69.296666700000003</v>
      </c>
      <c r="Z781" s="3">
        <v>1.85</v>
      </c>
      <c r="AB781" s="16"/>
      <c r="AD781" s="16"/>
      <c r="AE781" s="1">
        <v>1</v>
      </c>
    </row>
    <row r="782" spans="1:31" x14ac:dyDescent="0.2">
      <c r="A782" s="1">
        <v>781</v>
      </c>
      <c r="B782" s="1">
        <v>2016</v>
      </c>
      <c r="C782" s="1" t="s">
        <v>88</v>
      </c>
      <c r="D782" s="8" t="s">
        <v>187</v>
      </c>
      <c r="E782" s="8" t="s">
        <v>577</v>
      </c>
      <c r="F782" s="1" t="s">
        <v>32</v>
      </c>
      <c r="I782" s="12">
        <v>5.8250000000000002</v>
      </c>
      <c r="J782" s="7">
        <v>16.6428571428571</v>
      </c>
      <c r="L782" s="5">
        <v>3319.25</v>
      </c>
      <c r="N782" s="5">
        <v>19508.8</v>
      </c>
      <c r="O782" s="6">
        <v>27.002500000000001</v>
      </c>
      <c r="P782" s="6">
        <v>7.9</v>
      </c>
      <c r="Q782" s="6">
        <v>48.11</v>
      </c>
      <c r="R782" s="6">
        <v>51.015000000000001</v>
      </c>
      <c r="S782" s="6"/>
      <c r="T782" s="6">
        <v>33.252499999999998</v>
      </c>
      <c r="U782" s="6">
        <v>23.2575</v>
      </c>
      <c r="V782" s="6">
        <v>3.1324999999999998</v>
      </c>
      <c r="W782" s="7">
        <v>0.65</v>
      </c>
      <c r="X782" s="13"/>
      <c r="Y782" s="6">
        <v>64.114999999999995</v>
      </c>
      <c r="Z782" s="3">
        <v>1.4259678899999999</v>
      </c>
      <c r="AA782" s="13">
        <v>2.875</v>
      </c>
      <c r="AB782" s="16">
        <f>AA782*10</f>
        <v>28.75</v>
      </c>
      <c r="AC782" s="13">
        <v>1</v>
      </c>
      <c r="AD782" s="16">
        <f>AC782*10</f>
        <v>10</v>
      </c>
      <c r="AE782" s="1">
        <v>1</v>
      </c>
    </row>
    <row r="783" spans="1:31" x14ac:dyDescent="0.2">
      <c r="A783" s="1">
        <v>782</v>
      </c>
      <c r="B783" s="1">
        <v>2019</v>
      </c>
      <c r="C783" s="1" t="s">
        <v>88</v>
      </c>
      <c r="D783" s="8" t="s">
        <v>187</v>
      </c>
      <c r="E783" s="8">
        <v>19155</v>
      </c>
      <c r="F783" s="1" t="s">
        <v>32</v>
      </c>
      <c r="I783" s="12">
        <v>6.6174999999999997</v>
      </c>
      <c r="J783" s="3">
        <v>18.907499999999999</v>
      </c>
      <c r="K783" s="1" t="s">
        <v>34</v>
      </c>
      <c r="L783" s="5">
        <v>3319.3</v>
      </c>
      <c r="N783" s="5">
        <v>22044.25</v>
      </c>
      <c r="O783" s="6">
        <v>34.902500000000003</v>
      </c>
      <c r="P783" s="6">
        <v>6.4625000000000004</v>
      </c>
      <c r="Q783" s="6">
        <v>40.270000000000003</v>
      </c>
      <c r="R783" s="6">
        <v>35.802500000000002</v>
      </c>
      <c r="S783" s="3"/>
      <c r="T783" s="6">
        <v>29.47</v>
      </c>
      <c r="U783" s="6">
        <v>20.982500000000002</v>
      </c>
      <c r="V783" s="6">
        <v>14.475</v>
      </c>
      <c r="W783" s="3">
        <v>0.72787499999999994</v>
      </c>
      <c r="X783" s="6"/>
      <c r="Y783" s="6">
        <v>62.8</v>
      </c>
      <c r="Z783" s="3">
        <v>0.98</v>
      </c>
      <c r="AB783" s="16"/>
      <c r="AC783" s="6">
        <v>3</v>
      </c>
      <c r="AD783" s="16">
        <f>AC783*10</f>
        <v>30</v>
      </c>
      <c r="AE783" s="1">
        <v>1</v>
      </c>
    </row>
    <row r="784" spans="1:31" x14ac:dyDescent="0.2">
      <c r="A784" s="1">
        <v>783</v>
      </c>
      <c r="B784" s="1">
        <v>2018</v>
      </c>
      <c r="C784" s="1" t="s">
        <v>88</v>
      </c>
      <c r="D784" s="28" t="s">
        <v>914</v>
      </c>
      <c r="E784" s="1" t="s">
        <v>638</v>
      </c>
      <c r="F784" s="1" t="s">
        <v>32</v>
      </c>
      <c r="I784" s="12">
        <v>6.5738848106455601</v>
      </c>
      <c r="J784" s="12">
        <v>18.7825280304159</v>
      </c>
      <c r="K784" s="1" t="s">
        <v>34</v>
      </c>
      <c r="L784" s="16">
        <v>3319.8</v>
      </c>
      <c r="N784" s="16">
        <v>21847.1036237722</v>
      </c>
      <c r="O784" s="15">
        <v>35.065472529162697</v>
      </c>
      <c r="P784" s="15">
        <v>10.6225</v>
      </c>
      <c r="Q784" s="15">
        <v>38.5075</v>
      </c>
      <c r="R784" s="15">
        <v>23.75</v>
      </c>
      <c r="S784" s="12">
        <v>19.927499999999998</v>
      </c>
      <c r="U784" s="15">
        <v>32.369999999999997</v>
      </c>
      <c r="V784" s="15">
        <v>2.5775000000000001</v>
      </c>
      <c r="W784" s="12">
        <v>0.72120000000000006</v>
      </c>
      <c r="X784" s="15"/>
      <c r="Y784" s="15">
        <v>62.61</v>
      </c>
      <c r="Z784" s="12">
        <v>0.27229591166060402</v>
      </c>
      <c r="AA784" s="16">
        <v>1.25</v>
      </c>
      <c r="AB784" s="16">
        <f>AA784*33.334</f>
        <v>41.667500000000004</v>
      </c>
      <c r="AC784" s="16">
        <v>0.25</v>
      </c>
      <c r="AD784" s="16">
        <f>AC784*33.334</f>
        <v>8.3335000000000008</v>
      </c>
      <c r="AE784" s="1">
        <v>1</v>
      </c>
    </row>
    <row r="785" spans="1:31" x14ac:dyDescent="0.2">
      <c r="A785" s="1">
        <v>784</v>
      </c>
      <c r="B785" s="1">
        <v>2016</v>
      </c>
      <c r="C785" s="1" t="s">
        <v>88</v>
      </c>
      <c r="D785" s="8" t="s">
        <v>246</v>
      </c>
      <c r="E785" s="8" t="s">
        <v>582</v>
      </c>
      <c r="F785" s="1" t="s">
        <v>32</v>
      </c>
      <c r="I785" s="12">
        <v>6.8250000000000002</v>
      </c>
      <c r="J785" s="7">
        <v>19.5</v>
      </c>
      <c r="L785" s="5">
        <v>3322</v>
      </c>
      <c r="N785" s="5">
        <v>22700.799999999999</v>
      </c>
      <c r="O785" s="6">
        <v>27.647500000000001</v>
      </c>
      <c r="P785" s="6">
        <v>7.4950000000000001</v>
      </c>
      <c r="Q785" s="6">
        <v>49.365000000000002</v>
      </c>
      <c r="R785" s="6">
        <v>54.9</v>
      </c>
      <c r="S785" s="6"/>
      <c r="T785" s="6">
        <v>31.835000000000001</v>
      </c>
      <c r="U785" s="6">
        <v>23.135000000000002</v>
      </c>
      <c r="V785" s="6">
        <v>5.8724999999999996</v>
      </c>
      <c r="W785" s="7">
        <v>0.65</v>
      </c>
      <c r="X785" s="13"/>
      <c r="Y785" s="6">
        <v>64.8</v>
      </c>
      <c r="Z785" s="3">
        <v>1.8426473999999999</v>
      </c>
      <c r="AA785" s="6">
        <v>1.1200000000000001</v>
      </c>
      <c r="AB785" s="16">
        <f>AA785*10</f>
        <v>11.200000000000001</v>
      </c>
      <c r="AC785" s="6">
        <v>1</v>
      </c>
      <c r="AD785" s="16">
        <f>AC785*10</f>
        <v>10</v>
      </c>
      <c r="AE785" s="1">
        <v>1</v>
      </c>
    </row>
    <row r="786" spans="1:31" x14ac:dyDescent="0.2">
      <c r="A786" s="1">
        <v>785</v>
      </c>
      <c r="B786" s="1">
        <v>2018</v>
      </c>
      <c r="C786" s="1" t="s">
        <v>31</v>
      </c>
      <c r="D786" s="1" t="s">
        <v>916</v>
      </c>
      <c r="E786" s="1" t="s">
        <v>655</v>
      </c>
      <c r="F786" s="1" t="s">
        <v>32</v>
      </c>
      <c r="G786" s="1">
        <v>118</v>
      </c>
      <c r="H786" s="1" t="s">
        <v>34</v>
      </c>
      <c r="I786" s="12">
        <v>9.1999999999999993</v>
      </c>
      <c r="J786" s="3">
        <v>26.2</v>
      </c>
      <c r="L786" s="5">
        <v>3322</v>
      </c>
      <c r="M786" s="1" t="s">
        <v>34</v>
      </c>
      <c r="N786" s="5">
        <v>30438</v>
      </c>
      <c r="O786" s="6">
        <v>36.86</v>
      </c>
      <c r="P786" s="18">
        <v>7.7275</v>
      </c>
      <c r="Q786" s="6">
        <v>38.255000000000003</v>
      </c>
      <c r="R786" s="6">
        <v>55.79</v>
      </c>
      <c r="S786" s="3"/>
      <c r="T786" s="6">
        <v>23.2425</v>
      </c>
      <c r="U786" s="6">
        <v>39.4</v>
      </c>
      <c r="V786" s="6">
        <v>4.3674999999999997</v>
      </c>
      <c r="W786" s="3">
        <v>0.75099999999999989</v>
      </c>
      <c r="X786" s="6"/>
      <c r="Y786" s="6">
        <v>72.3</v>
      </c>
      <c r="Z786" s="3">
        <v>1.96</v>
      </c>
      <c r="AB786" s="16"/>
      <c r="AD786" s="16"/>
      <c r="AE786" s="1">
        <v>1</v>
      </c>
    </row>
    <row r="787" spans="1:31" x14ac:dyDescent="0.2">
      <c r="A787" s="1">
        <v>786</v>
      </c>
      <c r="B787" s="1">
        <v>2021</v>
      </c>
      <c r="C787" s="1" t="s">
        <v>31</v>
      </c>
      <c r="D787" s="1" t="s">
        <v>402</v>
      </c>
      <c r="E787" s="1" t="s">
        <v>802</v>
      </c>
      <c r="F787" s="1" t="s">
        <v>32</v>
      </c>
      <c r="G787" s="1">
        <v>117</v>
      </c>
      <c r="H787" s="1" t="s">
        <v>89</v>
      </c>
      <c r="I787" s="12">
        <v>7.7917211242855</v>
      </c>
      <c r="J787" s="12">
        <v>22.262060354999999</v>
      </c>
      <c r="K787" s="1" t="s">
        <v>89</v>
      </c>
      <c r="L787" s="16">
        <v>3322.8048696840001</v>
      </c>
      <c r="M787" s="16" t="s">
        <v>89</v>
      </c>
      <c r="N787" s="16">
        <v>25927.686941772001</v>
      </c>
      <c r="O787" s="15">
        <v>47.439653900000003</v>
      </c>
      <c r="P787" s="15">
        <v>7.535690357</v>
      </c>
      <c r="Q787" s="15">
        <v>36.179065430999998</v>
      </c>
      <c r="R787" s="15">
        <v>56.379465236000001</v>
      </c>
      <c r="T787" s="15">
        <v>21.676316922000002</v>
      </c>
      <c r="U787" s="15">
        <v>46.190097248999997</v>
      </c>
      <c r="V787" s="15">
        <v>6.1155871580000003</v>
      </c>
      <c r="W787" s="12">
        <v>0.70424813039</v>
      </c>
      <c r="X787" s="15"/>
      <c r="Y787" s="15">
        <v>71.716876243000002</v>
      </c>
      <c r="Z787" s="12"/>
      <c r="AA787" s="15">
        <v>2.7721874359999998</v>
      </c>
      <c r="AB787" s="16">
        <f>AA787*33.334</f>
        <v>92.408095991624009</v>
      </c>
      <c r="AD787" s="16"/>
      <c r="AE787" s="1">
        <v>1</v>
      </c>
    </row>
    <row r="788" spans="1:31" x14ac:dyDescent="0.2">
      <c r="A788" s="1">
        <v>787</v>
      </c>
      <c r="B788" s="1">
        <v>2016</v>
      </c>
      <c r="C788" s="1" t="s">
        <v>88</v>
      </c>
      <c r="D788" s="8" t="s">
        <v>187</v>
      </c>
      <c r="E788" s="8" t="s">
        <v>568</v>
      </c>
      <c r="F788" s="1" t="s">
        <v>32</v>
      </c>
      <c r="I788" s="12">
        <v>6.75</v>
      </c>
      <c r="J788" s="7">
        <v>19.285714285714299</v>
      </c>
      <c r="L788" s="5">
        <v>3324.25</v>
      </c>
      <c r="N788" s="5">
        <v>22549.200000000001</v>
      </c>
      <c r="O788" s="6">
        <v>32.774999999999999</v>
      </c>
      <c r="P788" s="6">
        <v>8.1</v>
      </c>
      <c r="Q788" s="6">
        <v>52.25</v>
      </c>
      <c r="R788" s="6">
        <v>54.6</v>
      </c>
      <c r="S788" s="6"/>
      <c r="T788" s="6">
        <v>33</v>
      </c>
      <c r="U788" s="6">
        <v>17.91</v>
      </c>
      <c r="V788" s="6">
        <v>7.8624999999999998</v>
      </c>
      <c r="W788" s="7">
        <v>0.66</v>
      </c>
      <c r="X788" s="13"/>
      <c r="Y788" s="6">
        <v>64.7</v>
      </c>
      <c r="Z788" s="3">
        <v>1.91854119</v>
      </c>
      <c r="AA788" s="13">
        <v>1.62</v>
      </c>
      <c r="AB788" s="16">
        <f>AA788*10</f>
        <v>16.200000000000003</v>
      </c>
      <c r="AC788" s="13">
        <v>1</v>
      </c>
      <c r="AD788" s="16">
        <f>AC788*10</f>
        <v>10</v>
      </c>
      <c r="AE788" s="1">
        <v>1</v>
      </c>
    </row>
    <row r="789" spans="1:31" x14ac:dyDescent="0.2">
      <c r="A789" s="1">
        <v>788</v>
      </c>
      <c r="B789" s="1">
        <v>2020</v>
      </c>
      <c r="C789" s="1" t="s">
        <v>31</v>
      </c>
      <c r="D789" s="1" t="s">
        <v>805</v>
      </c>
      <c r="E789" s="1" t="s">
        <v>717</v>
      </c>
      <c r="F789" s="1" t="s">
        <v>83</v>
      </c>
      <c r="G789" s="1">
        <v>119</v>
      </c>
      <c r="H789" s="1" t="s">
        <v>34</v>
      </c>
      <c r="I789" s="12">
        <v>6.4799938513750002</v>
      </c>
      <c r="J789" s="12">
        <v>18.514268146999999</v>
      </c>
      <c r="L789" s="16">
        <v>3325.4346075829999</v>
      </c>
      <c r="M789" s="16" t="s">
        <v>34</v>
      </c>
      <c r="N789" s="16">
        <v>21561.682042065</v>
      </c>
      <c r="O789" s="15">
        <v>30.080068399999998</v>
      </c>
      <c r="P789" s="15">
        <v>8.8324999999999996</v>
      </c>
      <c r="Q789" s="15">
        <v>45.22</v>
      </c>
      <c r="R789" s="15">
        <v>42.825000000000003</v>
      </c>
      <c r="S789" s="15"/>
      <c r="T789" s="15">
        <v>25.26</v>
      </c>
      <c r="U789" s="15">
        <v>25.712499999999999</v>
      </c>
      <c r="V789" s="15">
        <v>6.6924999999999999</v>
      </c>
      <c r="W789" s="12">
        <v>0.704639609</v>
      </c>
      <c r="X789" s="15"/>
      <c r="Y789" s="15">
        <v>71.790397704</v>
      </c>
      <c r="Z789" s="12"/>
      <c r="AA789" s="15">
        <v>1</v>
      </c>
      <c r="AB789" s="16">
        <f>AA789*33.334</f>
        <v>33.334000000000003</v>
      </c>
      <c r="AD789" s="16"/>
      <c r="AE789" s="1">
        <v>1</v>
      </c>
    </row>
    <row r="790" spans="1:31" x14ac:dyDescent="0.2">
      <c r="A790" s="1">
        <v>789</v>
      </c>
      <c r="B790" s="1">
        <v>2019</v>
      </c>
      <c r="C790" s="1" t="s">
        <v>31</v>
      </c>
      <c r="D790" s="1" t="s">
        <v>719</v>
      </c>
      <c r="E790" s="1" t="s">
        <v>722</v>
      </c>
      <c r="F790" s="1" t="s">
        <v>32</v>
      </c>
      <c r="I790" s="12">
        <v>8.8000000000000007</v>
      </c>
      <c r="J790" s="7">
        <v>25</v>
      </c>
      <c r="L790" s="5">
        <v>3325.75</v>
      </c>
      <c r="N790" s="5">
        <v>29225.519625032699</v>
      </c>
      <c r="O790" s="6">
        <v>29.942499999999999</v>
      </c>
      <c r="P790" s="6">
        <v>9.0124999999999993</v>
      </c>
      <c r="Q790" s="6">
        <v>46.9</v>
      </c>
      <c r="R790" s="6">
        <v>59.157499999999999</v>
      </c>
      <c r="S790" s="3"/>
      <c r="T790" s="6">
        <v>26.3</v>
      </c>
      <c r="U790" s="6">
        <v>26.46</v>
      </c>
      <c r="V790" s="6">
        <v>8.8025000000000002</v>
      </c>
      <c r="W790" s="3">
        <v>0.69974999999999998</v>
      </c>
      <c r="X790" s="6"/>
      <c r="Y790" s="6">
        <v>67.732500000000002</v>
      </c>
      <c r="Z790" s="3">
        <v>2.4196626529662102</v>
      </c>
      <c r="AB790" s="16"/>
      <c r="AD790" s="16"/>
      <c r="AE790" s="1">
        <v>1</v>
      </c>
    </row>
    <row r="791" spans="1:31" x14ac:dyDescent="0.2">
      <c r="A791" s="1">
        <v>790</v>
      </c>
      <c r="B791" s="1">
        <v>2012</v>
      </c>
      <c r="C791" s="1" t="s">
        <v>31</v>
      </c>
      <c r="D791" s="1" t="s">
        <v>291</v>
      </c>
      <c r="E791" s="1" t="s">
        <v>293</v>
      </c>
      <c r="F791" s="1" t="s">
        <v>83</v>
      </c>
      <c r="I791" s="12">
        <v>6.02</v>
      </c>
      <c r="J791" s="12">
        <v>17.2</v>
      </c>
      <c r="L791" s="16">
        <v>3326</v>
      </c>
      <c r="N791" s="16">
        <v>20002</v>
      </c>
      <c r="O791" s="15">
        <v>29</v>
      </c>
      <c r="P791" s="15">
        <v>7.58</v>
      </c>
      <c r="Q791" s="15">
        <v>45.4</v>
      </c>
      <c r="R791" s="15">
        <v>58.9</v>
      </c>
      <c r="T791" s="15"/>
      <c r="U791" s="15">
        <v>34.5</v>
      </c>
      <c r="V791" s="15">
        <v>3.5</v>
      </c>
      <c r="W791" s="12">
        <v>0.71</v>
      </c>
      <c r="X791" s="15"/>
      <c r="Y791" s="15"/>
      <c r="Z791" s="12">
        <v>1.61</v>
      </c>
      <c r="AB791" s="16"/>
      <c r="AD791" s="16"/>
      <c r="AE791" s="1">
        <v>1</v>
      </c>
    </row>
    <row r="792" spans="1:31" x14ac:dyDescent="0.2">
      <c r="A792" s="1">
        <v>791</v>
      </c>
      <c r="B792" s="1">
        <v>2014</v>
      </c>
      <c r="C792" s="1" t="s">
        <v>31</v>
      </c>
      <c r="D792" s="1" t="s">
        <v>71</v>
      </c>
      <c r="E792" s="1" t="s">
        <v>442</v>
      </c>
      <c r="F792" s="1" t="s">
        <v>32</v>
      </c>
      <c r="G792" s="1">
        <v>123</v>
      </c>
      <c r="I792" s="12">
        <v>8.7899999999999991</v>
      </c>
      <c r="J792" s="12">
        <v>25.1</v>
      </c>
      <c r="L792" s="16">
        <v>3326</v>
      </c>
      <c r="N792" s="16">
        <v>29350</v>
      </c>
      <c r="O792" s="15">
        <v>29.9</v>
      </c>
      <c r="P792" s="15">
        <v>8.1999999999999993</v>
      </c>
      <c r="Q792" s="15">
        <v>44.9</v>
      </c>
      <c r="R792" s="15">
        <v>54.1</v>
      </c>
      <c r="T792" s="15"/>
      <c r="U792" s="15">
        <v>26.6</v>
      </c>
      <c r="V792" s="15">
        <v>6.3</v>
      </c>
      <c r="W792" s="12">
        <v>0.71</v>
      </c>
      <c r="X792" s="15"/>
      <c r="Y792" s="15">
        <v>68.7</v>
      </c>
      <c r="Z792" s="12">
        <v>2.13</v>
      </c>
      <c r="AB792" s="16"/>
      <c r="AD792" s="16"/>
      <c r="AE792" s="1">
        <v>1</v>
      </c>
    </row>
    <row r="793" spans="1:31" x14ac:dyDescent="0.2">
      <c r="A793" s="1">
        <v>792</v>
      </c>
      <c r="B793" s="1">
        <v>2021</v>
      </c>
      <c r="C793" s="1" t="s">
        <v>31</v>
      </c>
      <c r="D793" s="1" t="s">
        <v>916</v>
      </c>
      <c r="E793" s="1" t="s">
        <v>503</v>
      </c>
      <c r="F793" s="1" t="s">
        <v>32</v>
      </c>
      <c r="G793" s="1">
        <v>117</v>
      </c>
      <c r="H793" s="1" t="s">
        <v>89</v>
      </c>
      <c r="I793" s="12">
        <v>8.4517876137464985</v>
      </c>
      <c r="J793" s="12">
        <v>24.147964610999999</v>
      </c>
      <c r="K793" s="1" t="s">
        <v>89</v>
      </c>
      <c r="L793" s="16">
        <v>3326.231738685</v>
      </c>
      <c r="M793" s="16" t="s">
        <v>89</v>
      </c>
      <c r="N793" s="16">
        <v>28034.010746795</v>
      </c>
      <c r="O793" s="15">
        <v>42.033191500000001</v>
      </c>
      <c r="P793" s="15">
        <v>7.79801652</v>
      </c>
      <c r="Q793" s="15">
        <v>38.082456274000002</v>
      </c>
      <c r="R793" s="15">
        <v>58.483880366000001</v>
      </c>
      <c r="T793" s="15">
        <v>21.665061544</v>
      </c>
      <c r="U793" s="15">
        <v>42.597392315</v>
      </c>
      <c r="V793" s="15">
        <v>5.805560828</v>
      </c>
      <c r="W793" s="12">
        <v>0.70265076104000002</v>
      </c>
      <c r="X793" s="15"/>
      <c r="Y793" s="15">
        <v>72.006089087000007</v>
      </c>
      <c r="Z793" s="12"/>
      <c r="AA793" s="15">
        <v>2.166797114</v>
      </c>
      <c r="AB793" s="16">
        <f>AA793*33.334</f>
        <v>72.228014998076006</v>
      </c>
      <c r="AD793" s="16"/>
      <c r="AE793" s="1">
        <v>1</v>
      </c>
    </row>
    <row r="794" spans="1:31" x14ac:dyDescent="0.2">
      <c r="A794" s="1">
        <v>793</v>
      </c>
      <c r="B794" s="1">
        <v>2008</v>
      </c>
      <c r="C794" s="1" t="s">
        <v>31</v>
      </c>
      <c r="D794" s="8" t="s">
        <v>1024</v>
      </c>
      <c r="E794" s="8">
        <v>9691</v>
      </c>
      <c r="F794" s="8" t="s">
        <v>32</v>
      </c>
      <c r="G794" s="8"/>
      <c r="H794" s="8"/>
      <c r="I794" s="12">
        <v>9.81</v>
      </c>
      <c r="J794" s="7">
        <v>28.1</v>
      </c>
      <c r="K794" s="13"/>
      <c r="L794" s="14">
        <v>3327</v>
      </c>
      <c r="M794" s="14"/>
      <c r="N794" s="14">
        <v>32698</v>
      </c>
      <c r="O794" s="13">
        <v>32.5</v>
      </c>
      <c r="P794" s="13">
        <v>7.5</v>
      </c>
      <c r="Q794" s="13">
        <v>48.8</v>
      </c>
      <c r="R794" s="13">
        <v>65.900000000000006</v>
      </c>
      <c r="S794" s="13"/>
      <c r="T794" s="13"/>
      <c r="U794" s="13">
        <v>24.9</v>
      </c>
      <c r="V794" s="13"/>
      <c r="W794" s="13"/>
      <c r="X794" s="15"/>
      <c r="Y794" s="13">
        <v>72.7</v>
      </c>
      <c r="Z794" s="7">
        <v>3.15</v>
      </c>
      <c r="AB794" s="16"/>
      <c r="AD794" s="16"/>
      <c r="AE794" s="1">
        <v>1</v>
      </c>
    </row>
    <row r="795" spans="1:31" x14ac:dyDescent="0.2">
      <c r="A795" s="1">
        <v>794</v>
      </c>
      <c r="B795" s="1">
        <v>2014</v>
      </c>
      <c r="C795" s="1" t="s">
        <v>31</v>
      </c>
      <c r="D795" s="1" t="s">
        <v>291</v>
      </c>
      <c r="E795" s="1" t="s">
        <v>451</v>
      </c>
      <c r="F795" s="1" t="s">
        <v>83</v>
      </c>
      <c r="G795" s="1">
        <v>116</v>
      </c>
      <c r="I795" s="12">
        <v>5.64</v>
      </c>
      <c r="J795" s="12">
        <v>16.100000000000001</v>
      </c>
      <c r="K795" s="1" t="s">
        <v>34</v>
      </c>
      <c r="L795" s="16">
        <v>3328</v>
      </c>
      <c r="M795" s="1" t="s">
        <v>34</v>
      </c>
      <c r="N795" s="16">
        <v>18797</v>
      </c>
      <c r="O795" s="15">
        <v>34.299999999999997</v>
      </c>
      <c r="P795" s="15">
        <v>6.66</v>
      </c>
      <c r="Q795" s="15">
        <v>42.9</v>
      </c>
      <c r="R795" s="15">
        <v>57.5</v>
      </c>
      <c r="T795" s="15"/>
      <c r="U795" s="15">
        <v>30.6</v>
      </c>
      <c r="V795" s="15">
        <v>5.9</v>
      </c>
      <c r="W795" s="12">
        <v>0.72</v>
      </c>
      <c r="X795" s="15"/>
      <c r="Y795" s="15">
        <v>69.900000000000006</v>
      </c>
      <c r="Z795" s="12">
        <v>1.39</v>
      </c>
      <c r="AA795" s="1">
        <v>5</v>
      </c>
      <c r="AB795" s="16">
        <f>AA795*10</f>
        <v>50</v>
      </c>
      <c r="AD795" s="16"/>
      <c r="AE795" s="1">
        <v>1</v>
      </c>
    </row>
    <row r="796" spans="1:31" x14ac:dyDescent="0.2">
      <c r="A796" s="1">
        <v>795</v>
      </c>
      <c r="B796" s="1">
        <v>2020</v>
      </c>
      <c r="C796" s="1" t="s">
        <v>31</v>
      </c>
      <c r="D796" s="28" t="s">
        <v>914</v>
      </c>
      <c r="E796" s="1" t="s">
        <v>765</v>
      </c>
      <c r="F796" s="1" t="s">
        <v>32</v>
      </c>
      <c r="G796" s="1">
        <v>118</v>
      </c>
      <c r="H796" s="1" t="s">
        <v>754</v>
      </c>
      <c r="I796" s="12">
        <v>9.4808935424089995</v>
      </c>
      <c r="J796" s="12">
        <v>27.082909612000002</v>
      </c>
      <c r="K796" s="1" t="s">
        <v>754</v>
      </c>
      <c r="L796" s="16">
        <v>3328.0663129670002</v>
      </c>
      <c r="M796" s="16" t="s">
        <v>34</v>
      </c>
      <c r="N796" s="16">
        <v>31557.255987553999</v>
      </c>
      <c r="O796" s="10">
        <v>47.799625299999995</v>
      </c>
      <c r="P796" s="15">
        <v>7.9625000000000004</v>
      </c>
      <c r="Q796" s="15">
        <v>42.247500000000002</v>
      </c>
      <c r="R796" s="15">
        <v>48.409229623000002</v>
      </c>
      <c r="S796" s="15"/>
      <c r="T796" s="15">
        <v>22.524999999999999</v>
      </c>
      <c r="U796" s="15">
        <v>30.605</v>
      </c>
      <c r="V796" s="15">
        <v>5.2807304000000004</v>
      </c>
      <c r="W796" s="12">
        <v>0.69767311600000004</v>
      </c>
      <c r="X796" s="15"/>
      <c r="Y796" s="15">
        <v>72.814888999999994</v>
      </c>
      <c r="Z796" s="12"/>
      <c r="AA796" s="15">
        <v>1</v>
      </c>
      <c r="AB796" s="16">
        <f>AA796*33.334</f>
        <v>33.334000000000003</v>
      </c>
      <c r="AD796" s="16"/>
      <c r="AE796" s="1">
        <v>1</v>
      </c>
    </row>
    <row r="797" spans="1:31" x14ac:dyDescent="0.2">
      <c r="A797" s="1">
        <v>796</v>
      </c>
      <c r="B797" s="1">
        <v>2021</v>
      </c>
      <c r="C797" s="1" t="s">
        <v>31</v>
      </c>
      <c r="D797" s="1" t="s">
        <v>821</v>
      </c>
      <c r="E797" s="1" t="s">
        <v>824</v>
      </c>
      <c r="F797" s="1" t="s">
        <v>83</v>
      </c>
      <c r="G797" s="1">
        <v>117</v>
      </c>
      <c r="I797" s="12">
        <v>5.7237616641134998</v>
      </c>
      <c r="J797" s="12">
        <v>16.353604754999999</v>
      </c>
      <c r="L797" s="16">
        <v>3329.6028339999998</v>
      </c>
      <c r="N797" s="16">
        <v>19070.839500894999</v>
      </c>
      <c r="O797" s="15">
        <v>37.925795699999995</v>
      </c>
      <c r="P797" s="15">
        <v>8.9841885030000004</v>
      </c>
      <c r="Q797" s="15">
        <v>23.03</v>
      </c>
      <c r="R797" s="15">
        <v>41.177500000000002</v>
      </c>
      <c r="U797" s="15">
        <v>32.622500000000002</v>
      </c>
      <c r="V797" s="15">
        <v>7.95</v>
      </c>
      <c r="W797" s="12">
        <v>0.70117331393000004</v>
      </c>
      <c r="X797" s="15"/>
      <c r="Y797" s="15">
        <v>72.289875113999997</v>
      </c>
      <c r="Z797" s="12"/>
      <c r="AA797" s="15">
        <v>0.375</v>
      </c>
      <c r="AB797" s="16">
        <f>AA797*33.334</f>
        <v>12.500250000000001</v>
      </c>
      <c r="AD797" s="16"/>
      <c r="AE797" s="1">
        <v>1</v>
      </c>
    </row>
    <row r="798" spans="1:31" x14ac:dyDescent="0.2">
      <c r="A798" s="1">
        <v>797</v>
      </c>
      <c r="B798" s="1">
        <v>2010</v>
      </c>
      <c r="C798" s="1" t="s">
        <v>31</v>
      </c>
      <c r="D798" s="8" t="s">
        <v>37</v>
      </c>
      <c r="E798" s="8" t="s">
        <v>130</v>
      </c>
      <c r="F798" s="1" t="s">
        <v>83</v>
      </c>
      <c r="I798" s="12">
        <v>7.4</v>
      </c>
      <c r="J798" s="7">
        <v>21.1428571428571</v>
      </c>
      <c r="L798" s="14">
        <v>3331</v>
      </c>
      <c r="N798" s="14">
        <v>24620</v>
      </c>
      <c r="O798" s="13">
        <v>28.5</v>
      </c>
      <c r="P798" s="13">
        <v>8.9</v>
      </c>
      <c r="Q798" s="13">
        <v>43.5</v>
      </c>
      <c r="R798" s="13">
        <v>54.4</v>
      </c>
      <c r="S798" s="13"/>
      <c r="T798" s="15"/>
      <c r="U798" s="13">
        <v>30.6</v>
      </c>
      <c r="V798" s="13">
        <v>6.5</v>
      </c>
      <c r="W798" s="12"/>
      <c r="X798" s="15"/>
      <c r="Y798" s="13">
        <v>68.900000000000006</v>
      </c>
      <c r="Z798" s="7">
        <v>1.74</v>
      </c>
      <c r="AB798" s="16"/>
      <c r="AD798" s="16"/>
      <c r="AE798" s="1">
        <v>1</v>
      </c>
    </row>
    <row r="799" spans="1:31" x14ac:dyDescent="0.2">
      <c r="A799" s="1">
        <v>798</v>
      </c>
      <c r="B799" s="1">
        <v>2012</v>
      </c>
      <c r="C799" s="1" t="s">
        <v>31</v>
      </c>
      <c r="D799" s="22" t="s">
        <v>917</v>
      </c>
      <c r="E799" s="1" t="s">
        <v>310</v>
      </c>
      <c r="F799" s="1" t="s">
        <v>83</v>
      </c>
      <c r="I799" s="12">
        <v>5.3</v>
      </c>
      <c r="J799" s="12">
        <v>15.1</v>
      </c>
      <c r="L799" s="16">
        <v>3332</v>
      </c>
      <c r="N799" s="16">
        <v>17651</v>
      </c>
      <c r="O799" s="15">
        <v>31.1</v>
      </c>
      <c r="P799" s="15">
        <v>7.81</v>
      </c>
      <c r="Q799" s="15">
        <v>43.6</v>
      </c>
      <c r="R799" s="15">
        <v>57.5</v>
      </c>
      <c r="T799" s="15"/>
      <c r="U799" s="15">
        <v>37.1</v>
      </c>
      <c r="V799" s="15">
        <v>3.2</v>
      </c>
      <c r="W799" s="12">
        <v>0.71</v>
      </c>
      <c r="X799" s="15"/>
      <c r="Y799" s="15"/>
      <c r="Z799" s="12">
        <v>1.32</v>
      </c>
      <c r="AB799" s="16"/>
      <c r="AD799" s="16"/>
      <c r="AE799" s="1">
        <v>1</v>
      </c>
    </row>
    <row r="800" spans="1:31" x14ac:dyDescent="0.2">
      <c r="A800" s="1">
        <v>799</v>
      </c>
      <c r="B800" s="1">
        <v>2020</v>
      </c>
      <c r="C800" s="1" t="s">
        <v>31</v>
      </c>
      <c r="D800" s="1" t="s">
        <v>402</v>
      </c>
      <c r="E800" s="1" t="s">
        <v>761</v>
      </c>
      <c r="F800" s="1" t="s">
        <v>32</v>
      </c>
      <c r="G800" s="1">
        <v>115</v>
      </c>
      <c r="H800" s="1" t="s">
        <v>754</v>
      </c>
      <c r="I800" s="12">
        <v>8.4648363547664989</v>
      </c>
      <c r="J800" s="12">
        <v>24.179889075999998</v>
      </c>
      <c r="K800" s="1" t="s">
        <v>754</v>
      </c>
      <c r="L800" s="16">
        <v>3332.4993394449998</v>
      </c>
      <c r="M800" s="16" t="s">
        <v>34</v>
      </c>
      <c r="N800" s="16">
        <v>28294.316794664999</v>
      </c>
      <c r="O800" s="10">
        <v>40.741253499999999</v>
      </c>
      <c r="P800" s="15">
        <v>8.42</v>
      </c>
      <c r="Q800" s="15">
        <v>45.607500000000002</v>
      </c>
      <c r="R800" s="15">
        <v>53.769229623000001</v>
      </c>
      <c r="S800" s="15"/>
      <c r="T800" s="15">
        <v>24.2075</v>
      </c>
      <c r="U800" s="15">
        <v>26.164999999999999</v>
      </c>
      <c r="V800" s="15">
        <v>6.8107303999999997</v>
      </c>
      <c r="W800" s="12">
        <v>0.69493377499999998</v>
      </c>
      <c r="X800" s="15"/>
      <c r="Y800" s="15">
        <v>73.537228537000004</v>
      </c>
      <c r="Z800" s="12"/>
      <c r="AA800" s="15">
        <v>1.375</v>
      </c>
      <c r="AB800" s="16">
        <f>AA800*33.334</f>
        <v>45.834250000000004</v>
      </c>
      <c r="AD800" s="16"/>
      <c r="AE800" s="1">
        <v>1</v>
      </c>
    </row>
    <row r="801" spans="1:31" x14ac:dyDescent="0.2">
      <c r="A801" s="1">
        <v>800</v>
      </c>
      <c r="B801" s="1">
        <v>2012</v>
      </c>
      <c r="C801" s="1" t="s">
        <v>31</v>
      </c>
      <c r="D801" s="1" t="s">
        <v>125</v>
      </c>
      <c r="E801" s="1" t="s">
        <v>171</v>
      </c>
      <c r="F801" s="1" t="s">
        <v>83</v>
      </c>
      <c r="I801" s="12">
        <v>6.17</v>
      </c>
      <c r="J801" s="12">
        <v>17.600000000000001</v>
      </c>
      <c r="L801" s="16">
        <v>3333</v>
      </c>
      <c r="N801" s="16">
        <v>20616</v>
      </c>
      <c r="O801" s="15">
        <v>29</v>
      </c>
      <c r="P801" s="15">
        <v>8.31</v>
      </c>
      <c r="Q801" s="15">
        <v>45.1</v>
      </c>
      <c r="R801" s="15">
        <v>58.3</v>
      </c>
      <c r="T801" s="15"/>
      <c r="U801" s="15">
        <v>33.700000000000003</v>
      </c>
      <c r="V801" s="15">
        <v>3.9</v>
      </c>
      <c r="W801" s="12">
        <v>0.72</v>
      </c>
      <c r="X801" s="15"/>
      <c r="Y801" s="15"/>
      <c r="Z801" s="12">
        <v>1.62</v>
      </c>
      <c r="AB801" s="16"/>
      <c r="AD801" s="16"/>
      <c r="AE801" s="1">
        <v>1</v>
      </c>
    </row>
    <row r="802" spans="1:31" x14ac:dyDescent="0.2">
      <c r="A802" s="1">
        <v>801</v>
      </c>
      <c r="B802" s="1">
        <v>2014</v>
      </c>
      <c r="C802" s="1" t="s">
        <v>31</v>
      </c>
      <c r="D802" s="1" t="s">
        <v>291</v>
      </c>
      <c r="E802" s="1" t="s">
        <v>437</v>
      </c>
      <c r="F802" s="1" t="s">
        <v>32</v>
      </c>
      <c r="G802" s="1">
        <v>120</v>
      </c>
      <c r="I802" s="12">
        <v>9.8000000000000007</v>
      </c>
      <c r="J802" s="12">
        <v>28</v>
      </c>
      <c r="L802" s="16">
        <v>3333</v>
      </c>
      <c r="M802" s="1" t="s">
        <v>34</v>
      </c>
      <c r="N802" s="16">
        <v>32664</v>
      </c>
      <c r="O802" s="15">
        <v>34.1</v>
      </c>
      <c r="P802" s="15">
        <v>7.5</v>
      </c>
      <c r="Q802" s="15">
        <v>42.3</v>
      </c>
      <c r="R802" s="15">
        <v>53.9</v>
      </c>
      <c r="T802" s="15"/>
      <c r="U802" s="15">
        <v>31.8</v>
      </c>
      <c r="V802" s="15">
        <v>5.0999999999999996</v>
      </c>
      <c r="W802" s="12">
        <v>0.72</v>
      </c>
      <c r="X802" s="15"/>
      <c r="Y802" s="15">
        <v>70</v>
      </c>
      <c r="Z802" s="12">
        <v>2.23</v>
      </c>
      <c r="AB802" s="16"/>
      <c r="AD802" s="16"/>
      <c r="AE802" s="1">
        <v>1</v>
      </c>
    </row>
    <row r="803" spans="1:31" x14ac:dyDescent="0.2">
      <c r="A803" s="1">
        <v>802</v>
      </c>
      <c r="B803" s="1">
        <v>2021</v>
      </c>
      <c r="C803" s="1" t="s">
        <v>31</v>
      </c>
      <c r="D803" s="1" t="s">
        <v>402</v>
      </c>
      <c r="E803" s="1" t="s">
        <v>801</v>
      </c>
      <c r="F803" s="1" t="s">
        <v>32</v>
      </c>
      <c r="G803" s="1">
        <v>117</v>
      </c>
      <c r="H803" s="1" t="s">
        <v>89</v>
      </c>
      <c r="I803" s="12">
        <v>6.8743768607684999</v>
      </c>
      <c r="J803" s="12">
        <v>19.641076744999999</v>
      </c>
      <c r="K803" s="1" t="s">
        <v>89</v>
      </c>
      <c r="L803" s="16">
        <v>3333.3962619980002</v>
      </c>
      <c r="M803" s="16" t="s">
        <v>89</v>
      </c>
      <c r="N803" s="16">
        <v>22883.639763061001</v>
      </c>
      <c r="O803" s="15">
        <v>38.122625900000003</v>
      </c>
      <c r="P803" s="15">
        <v>8.0128476729999996</v>
      </c>
      <c r="Q803" s="15">
        <v>38.753218312999998</v>
      </c>
      <c r="R803" s="15">
        <v>59.121169737999999</v>
      </c>
      <c r="T803" s="15">
        <v>22.402510756000002</v>
      </c>
      <c r="U803" s="15">
        <v>41.165409869999998</v>
      </c>
      <c r="V803" s="15">
        <v>6.4575526600000002</v>
      </c>
      <c r="W803" s="12">
        <v>0.70314473868999994</v>
      </c>
      <c r="X803" s="15"/>
      <c r="Y803" s="15">
        <v>72.131574313000002</v>
      </c>
      <c r="Z803" s="12"/>
      <c r="AA803" s="15">
        <v>1.460780644</v>
      </c>
      <c r="AB803" s="16">
        <f>AA803*33.334</f>
        <v>48.693661987096</v>
      </c>
      <c r="AD803" s="16"/>
      <c r="AE803" s="1">
        <v>1</v>
      </c>
    </row>
    <row r="804" spans="1:31" x14ac:dyDescent="0.2">
      <c r="A804" s="1">
        <v>803</v>
      </c>
      <c r="B804" s="1">
        <v>2020</v>
      </c>
      <c r="C804" s="1" t="s">
        <v>31</v>
      </c>
      <c r="D804" s="1" t="s">
        <v>916</v>
      </c>
      <c r="E804" s="1" t="s">
        <v>503</v>
      </c>
      <c r="F804" s="1" t="s">
        <v>83</v>
      </c>
      <c r="H804" s="1" t="s">
        <v>754</v>
      </c>
      <c r="I804" s="12">
        <v>5.6488208186764997</v>
      </c>
      <c r="J804" s="12">
        <v>16.139488053000001</v>
      </c>
      <c r="L804" s="16">
        <v>3334.1146781080001</v>
      </c>
      <c r="M804" s="16" t="s">
        <v>34</v>
      </c>
      <c r="N804" s="16">
        <v>18842.221442812999</v>
      </c>
      <c r="O804" s="15">
        <v>29.543556799999998</v>
      </c>
      <c r="P804" s="15">
        <v>8.7774999999999999</v>
      </c>
      <c r="Q804" s="15">
        <v>46.195</v>
      </c>
      <c r="R804" s="15">
        <v>48.125</v>
      </c>
      <c r="S804" s="15"/>
      <c r="T804" s="15">
        <v>25.87</v>
      </c>
      <c r="U804" s="15">
        <v>26.9725</v>
      </c>
      <c r="V804" s="15">
        <v>4.9450000000000003</v>
      </c>
      <c r="W804" s="12">
        <v>0.70274325599999998</v>
      </c>
      <c r="X804" s="15"/>
      <c r="Y804" s="15">
        <v>72.398624499999997</v>
      </c>
      <c r="Z804" s="12"/>
      <c r="AA804" s="15">
        <v>0.875</v>
      </c>
      <c r="AB804" s="16">
        <f>AA804*33.334</f>
        <v>29.167250000000003</v>
      </c>
      <c r="AD804" s="16"/>
      <c r="AE804" s="1">
        <v>1</v>
      </c>
    </row>
    <row r="805" spans="1:31" x14ac:dyDescent="0.2">
      <c r="A805" s="1">
        <v>804</v>
      </c>
      <c r="B805" s="1">
        <v>2020</v>
      </c>
      <c r="C805" s="1" t="s">
        <v>31</v>
      </c>
      <c r="D805" s="1" t="s">
        <v>37</v>
      </c>
      <c r="E805" s="1" t="s">
        <v>724</v>
      </c>
      <c r="F805" s="1" t="s">
        <v>83</v>
      </c>
      <c r="G805" s="1">
        <v>118</v>
      </c>
      <c r="H805" s="1" t="s">
        <v>754</v>
      </c>
      <c r="I805" s="12">
        <v>5.4658262380759997</v>
      </c>
      <c r="J805" s="12">
        <v>15.616646395</v>
      </c>
      <c r="L805" s="16">
        <v>3334.8044284369998</v>
      </c>
      <c r="M805" s="16" t="s">
        <v>34</v>
      </c>
      <c r="N805" s="16">
        <v>18216.439912405</v>
      </c>
      <c r="O805" s="15">
        <v>27.853190900000001</v>
      </c>
      <c r="P805" s="15">
        <v>8.77</v>
      </c>
      <c r="Q805" s="15">
        <v>47.405000000000001</v>
      </c>
      <c r="R805" s="15">
        <v>46.462499999999999</v>
      </c>
      <c r="S805" s="15"/>
      <c r="T805" s="15">
        <v>27.215</v>
      </c>
      <c r="U805" s="15">
        <v>24.267499999999998</v>
      </c>
      <c r="V805" s="15">
        <v>5.2625000000000002</v>
      </c>
      <c r="W805" s="12">
        <v>0.70265387899999998</v>
      </c>
      <c r="X805" s="15"/>
      <c r="Y805" s="15">
        <v>72.456934250000003</v>
      </c>
      <c r="Z805" s="12"/>
      <c r="AA805" s="15">
        <v>1.375</v>
      </c>
      <c r="AB805" s="16">
        <f>AA805*33.334</f>
        <v>45.834250000000004</v>
      </c>
      <c r="AD805" s="16"/>
      <c r="AE805" s="1">
        <v>1</v>
      </c>
    </row>
    <row r="806" spans="1:31" x14ac:dyDescent="0.2">
      <c r="A806" s="1">
        <v>805</v>
      </c>
      <c r="B806" s="1">
        <v>2021</v>
      </c>
      <c r="C806" s="1" t="s">
        <v>31</v>
      </c>
      <c r="D806" s="1" t="s">
        <v>108</v>
      </c>
      <c r="E806" s="1" t="s">
        <v>781</v>
      </c>
      <c r="F806" s="1" t="s">
        <v>83</v>
      </c>
      <c r="G806" s="1">
        <v>117</v>
      </c>
      <c r="I806" s="12">
        <v>5.6483590303779998</v>
      </c>
      <c r="J806" s="12">
        <v>16.138168658000001</v>
      </c>
      <c r="L806" s="16">
        <v>3334.9006169999998</v>
      </c>
      <c r="N806" s="16">
        <v>18864.629391001999</v>
      </c>
      <c r="O806" s="15">
        <v>37.253589300000002</v>
      </c>
      <c r="P806" s="15">
        <v>9.0913615320000005</v>
      </c>
      <c r="Q806" s="15">
        <v>22.912500000000001</v>
      </c>
      <c r="R806" s="15">
        <v>40.564999999999998</v>
      </c>
      <c r="U806" s="15">
        <v>34.024999999999999</v>
      </c>
      <c r="V806" s="15">
        <v>7.8925000000000001</v>
      </c>
      <c r="W806" s="12">
        <v>0.70204658666999997</v>
      </c>
      <c r="X806" s="15"/>
      <c r="Y806" s="15">
        <v>72.371133407000002</v>
      </c>
      <c r="Z806" s="12"/>
      <c r="AA806" s="15">
        <v>0.5</v>
      </c>
      <c r="AB806" s="16">
        <f>AA806*33.334</f>
        <v>16.667000000000002</v>
      </c>
      <c r="AD806" s="16"/>
      <c r="AE806" s="1">
        <v>1</v>
      </c>
    </row>
    <row r="807" spans="1:31" x14ac:dyDescent="0.2">
      <c r="A807" s="1">
        <v>806</v>
      </c>
      <c r="B807" s="1">
        <v>2012</v>
      </c>
      <c r="C807" s="1" t="s">
        <v>31</v>
      </c>
      <c r="D807" s="22" t="s">
        <v>917</v>
      </c>
      <c r="E807" s="1" t="s">
        <v>306</v>
      </c>
      <c r="F807" s="1" t="s">
        <v>83</v>
      </c>
      <c r="I807" s="12">
        <v>4.28</v>
      </c>
      <c r="J807" s="12">
        <v>12.2</v>
      </c>
      <c r="L807" s="16">
        <v>3335</v>
      </c>
      <c r="N807" s="16">
        <v>14289</v>
      </c>
      <c r="O807" s="15">
        <v>34.1</v>
      </c>
      <c r="P807" s="15">
        <v>6.96</v>
      </c>
      <c r="Q807" s="15">
        <v>38.6</v>
      </c>
      <c r="R807" s="15">
        <v>55.7</v>
      </c>
      <c r="T807" s="15"/>
      <c r="U807" s="15">
        <v>43.8</v>
      </c>
      <c r="V807" s="15">
        <v>2.9</v>
      </c>
      <c r="W807" s="12">
        <v>0.74</v>
      </c>
      <c r="X807" s="15"/>
      <c r="Y807" s="15"/>
      <c r="Z807" s="12">
        <v>0.92</v>
      </c>
      <c r="AB807" s="16"/>
      <c r="AD807" s="16"/>
      <c r="AE807" s="1">
        <v>1</v>
      </c>
    </row>
    <row r="808" spans="1:31" x14ac:dyDescent="0.2">
      <c r="A808" s="1">
        <v>807</v>
      </c>
      <c r="B808" s="1">
        <v>2012</v>
      </c>
      <c r="C808" s="1" t="s">
        <v>31</v>
      </c>
      <c r="D808" s="1" t="s">
        <v>805</v>
      </c>
      <c r="E808" s="1" t="s">
        <v>316</v>
      </c>
      <c r="F808" s="1" t="s">
        <v>83</v>
      </c>
      <c r="I808" s="12">
        <v>5.5</v>
      </c>
      <c r="J808" s="12">
        <v>15.7</v>
      </c>
      <c r="L808" s="16">
        <v>3335</v>
      </c>
      <c r="N808" s="16">
        <v>18340</v>
      </c>
      <c r="O808" s="15">
        <v>31.5</v>
      </c>
      <c r="P808" s="15">
        <v>8.15</v>
      </c>
      <c r="Q808" s="15">
        <v>43.3</v>
      </c>
      <c r="R808" s="15">
        <v>56.9</v>
      </c>
      <c r="T808" s="15"/>
      <c r="U808" s="15">
        <v>36.4</v>
      </c>
      <c r="V808" s="15">
        <v>3.4</v>
      </c>
      <c r="W808" s="12">
        <v>0.71</v>
      </c>
      <c r="X808" s="15"/>
      <c r="Y808" s="15"/>
      <c r="Z808" s="12">
        <v>1.35</v>
      </c>
      <c r="AB808" s="16"/>
      <c r="AD808" s="16"/>
      <c r="AE808" s="1">
        <v>1</v>
      </c>
    </row>
    <row r="809" spans="1:31" x14ac:dyDescent="0.2">
      <c r="A809" s="1">
        <v>808</v>
      </c>
      <c r="B809" s="1">
        <v>2016</v>
      </c>
      <c r="C809" s="1" t="s">
        <v>88</v>
      </c>
      <c r="D809" s="8" t="s">
        <v>187</v>
      </c>
      <c r="E809" s="8" t="s">
        <v>572</v>
      </c>
      <c r="F809" s="1" t="s">
        <v>32</v>
      </c>
      <c r="I809" s="12">
        <v>8.1999999999999993</v>
      </c>
      <c r="J809" s="7">
        <v>23.428571428571399</v>
      </c>
      <c r="K809" s="1" t="s">
        <v>34</v>
      </c>
      <c r="L809" s="5">
        <v>3335</v>
      </c>
      <c r="N809" s="5">
        <v>27422</v>
      </c>
      <c r="O809" s="6">
        <v>30.26</v>
      </c>
      <c r="P809" s="6">
        <v>6.0449999999999999</v>
      </c>
      <c r="Q809" s="6">
        <v>46.667499999999997</v>
      </c>
      <c r="R809" s="6">
        <v>42.827500000000001</v>
      </c>
      <c r="S809" s="6"/>
      <c r="T809" s="6">
        <v>31.0975</v>
      </c>
      <c r="U809" s="6">
        <v>22.265000000000001</v>
      </c>
      <c r="V809" s="6">
        <v>9.9175000000000004</v>
      </c>
      <c r="W809" s="7">
        <v>0.67</v>
      </c>
      <c r="X809" s="13"/>
      <c r="Y809" s="6">
        <v>63.06</v>
      </c>
      <c r="Z809" s="3">
        <v>1.6325657</v>
      </c>
      <c r="AA809" s="13">
        <v>1.87</v>
      </c>
      <c r="AB809" s="16">
        <f>AA809*10</f>
        <v>18.700000000000003</v>
      </c>
      <c r="AC809" s="13">
        <v>1</v>
      </c>
      <c r="AD809" s="16">
        <f>AC809*10</f>
        <v>10</v>
      </c>
      <c r="AE809" s="1">
        <v>1</v>
      </c>
    </row>
    <row r="810" spans="1:31" x14ac:dyDescent="0.2">
      <c r="A810" s="1">
        <v>809</v>
      </c>
      <c r="B810" s="1">
        <v>2014</v>
      </c>
      <c r="C810" s="1" t="s">
        <v>31</v>
      </c>
      <c r="D810" s="1" t="s">
        <v>71</v>
      </c>
      <c r="E810" s="1" t="s">
        <v>443</v>
      </c>
      <c r="F810" s="1" t="s">
        <v>32</v>
      </c>
      <c r="G810" s="1">
        <v>118</v>
      </c>
      <c r="I810" s="12">
        <v>9.15</v>
      </c>
      <c r="J810" s="12">
        <v>26.1</v>
      </c>
      <c r="L810" s="16">
        <v>3335</v>
      </c>
      <c r="N810" s="16">
        <v>30410</v>
      </c>
      <c r="O810" s="15">
        <v>28.8</v>
      </c>
      <c r="P810" s="15">
        <v>7.1</v>
      </c>
      <c r="Q810" s="15">
        <v>44.5</v>
      </c>
      <c r="R810" s="15">
        <v>54.6</v>
      </c>
      <c r="T810" s="15"/>
      <c r="U810" s="15">
        <v>26.7</v>
      </c>
      <c r="V810" s="15">
        <v>6.4</v>
      </c>
      <c r="W810" s="12">
        <v>0.71</v>
      </c>
      <c r="X810" s="15"/>
      <c r="Y810" s="15">
        <v>68.8</v>
      </c>
      <c r="Z810" s="12">
        <v>2.2200000000000002</v>
      </c>
      <c r="AB810" s="16"/>
      <c r="AD810" s="16"/>
      <c r="AE810" s="1">
        <v>1</v>
      </c>
    </row>
    <row r="811" spans="1:31" x14ac:dyDescent="0.2">
      <c r="A811" s="1">
        <v>810</v>
      </c>
      <c r="B811" s="1">
        <v>2009</v>
      </c>
      <c r="C811" s="1" t="s">
        <v>31</v>
      </c>
      <c r="D811" s="1" t="s">
        <v>805</v>
      </c>
      <c r="E811" s="8" t="s">
        <v>139</v>
      </c>
      <c r="F811" s="1" t="s">
        <v>83</v>
      </c>
      <c r="H811" s="1" t="s">
        <v>34</v>
      </c>
      <c r="I811" s="12">
        <v>9.42</v>
      </c>
      <c r="J811" s="7">
        <v>26.9</v>
      </c>
      <c r="L811" s="14">
        <v>3335</v>
      </c>
      <c r="M811" s="14"/>
      <c r="N811" s="14">
        <v>31430</v>
      </c>
      <c r="O811" s="13">
        <v>36.4</v>
      </c>
      <c r="P811" s="13">
        <v>9.4</v>
      </c>
      <c r="Q811" s="13">
        <v>38.5</v>
      </c>
      <c r="R811" s="13">
        <v>54</v>
      </c>
      <c r="S811" s="8"/>
      <c r="T811" s="13">
        <v>23.1</v>
      </c>
      <c r="U811" s="13">
        <v>40.700000000000003</v>
      </c>
      <c r="V811" s="15"/>
      <c r="W811" s="7" t="s">
        <v>89</v>
      </c>
      <c r="X811" s="13"/>
      <c r="Y811" s="13">
        <v>72.2</v>
      </c>
      <c r="Z811" s="7">
        <v>1.96</v>
      </c>
      <c r="AB811" s="16"/>
      <c r="AD811" s="16"/>
      <c r="AE811" s="1">
        <v>1</v>
      </c>
    </row>
    <row r="812" spans="1:31" x14ac:dyDescent="0.2">
      <c r="A812" s="1">
        <v>811</v>
      </c>
      <c r="B812" s="1">
        <v>2014</v>
      </c>
      <c r="C812" s="1" t="s">
        <v>31</v>
      </c>
      <c r="D812" s="1" t="s">
        <v>291</v>
      </c>
      <c r="E812" s="1" t="s">
        <v>409</v>
      </c>
      <c r="F812" s="1" t="s">
        <v>32</v>
      </c>
      <c r="G812" s="1">
        <v>120</v>
      </c>
      <c r="I812" s="12">
        <v>9.0500000000000007</v>
      </c>
      <c r="J812" s="12">
        <v>25.9</v>
      </c>
      <c r="L812" s="16">
        <v>3336</v>
      </c>
      <c r="N812" s="16">
        <v>30203</v>
      </c>
      <c r="O812" s="15">
        <v>32.1</v>
      </c>
      <c r="P812" s="15">
        <v>7.7</v>
      </c>
      <c r="Q812" s="15">
        <v>42.4</v>
      </c>
      <c r="R812" s="15">
        <v>53.4</v>
      </c>
      <c r="T812" s="15"/>
      <c r="U812" s="15">
        <v>30.4</v>
      </c>
      <c r="V812" s="15">
        <v>5.3</v>
      </c>
      <c r="W812" s="12">
        <v>0.71</v>
      </c>
      <c r="X812" s="15"/>
      <c r="Y812" s="15">
        <v>68.900000000000006</v>
      </c>
      <c r="Z812" s="12">
        <v>2.0499999999999998</v>
      </c>
      <c r="AB812" s="16"/>
      <c r="AD812" s="16"/>
      <c r="AE812" s="1">
        <v>1</v>
      </c>
    </row>
    <row r="813" spans="1:31" x14ac:dyDescent="0.2">
      <c r="A813" s="1">
        <v>812</v>
      </c>
      <c r="B813" s="1">
        <v>2016</v>
      </c>
      <c r="C813" s="1" t="s">
        <v>31</v>
      </c>
      <c r="D813" s="8" t="s">
        <v>402</v>
      </c>
      <c r="E813" s="8" t="s">
        <v>526</v>
      </c>
      <c r="F813" s="1" t="s">
        <v>32</v>
      </c>
      <c r="G813" s="8">
        <v>119</v>
      </c>
      <c r="I813" s="12">
        <v>9.42</v>
      </c>
      <c r="J813" s="7">
        <v>26.9142857142857</v>
      </c>
      <c r="L813" s="14">
        <v>3336</v>
      </c>
      <c r="N813" s="14">
        <v>31475</v>
      </c>
      <c r="O813" s="13">
        <v>33.6</v>
      </c>
      <c r="P813" s="13">
        <v>8.5</v>
      </c>
      <c r="Q813" s="13">
        <v>41.1</v>
      </c>
      <c r="R813" s="13">
        <v>54.2</v>
      </c>
      <c r="S813" s="13"/>
      <c r="T813" s="13">
        <v>24.7</v>
      </c>
      <c r="U813" s="13">
        <v>33.9</v>
      </c>
      <c r="V813" s="13">
        <v>3.2</v>
      </c>
      <c r="W813" s="7">
        <v>0.72</v>
      </c>
      <c r="X813" s="13"/>
      <c r="Y813" s="13">
        <v>70.7</v>
      </c>
      <c r="Z813" s="7">
        <v>2.09</v>
      </c>
      <c r="AA813" s="15" t="s">
        <v>89</v>
      </c>
      <c r="AB813" s="16"/>
      <c r="AD813" s="16"/>
      <c r="AE813" s="1">
        <v>1</v>
      </c>
    </row>
    <row r="814" spans="1:31" x14ac:dyDescent="0.2">
      <c r="A814" s="1">
        <v>813</v>
      </c>
      <c r="B814" s="1">
        <v>2016</v>
      </c>
      <c r="C814" s="1" t="s">
        <v>88</v>
      </c>
      <c r="D814" s="8" t="s">
        <v>187</v>
      </c>
      <c r="E814" s="8" t="s">
        <v>573</v>
      </c>
      <c r="F814" s="1" t="s">
        <v>32</v>
      </c>
      <c r="I814" s="12">
        <v>7.1</v>
      </c>
      <c r="J814" s="7">
        <v>20.285714285714299</v>
      </c>
      <c r="K814" s="1" t="s">
        <v>34</v>
      </c>
      <c r="L814" s="5">
        <v>3337</v>
      </c>
      <c r="N814" s="5">
        <v>23842.5</v>
      </c>
      <c r="O814" s="6">
        <v>28.305</v>
      </c>
      <c r="P814" s="6">
        <v>7.2275</v>
      </c>
      <c r="Q814" s="6">
        <v>46.704999999999998</v>
      </c>
      <c r="R814" s="6">
        <v>44.6</v>
      </c>
      <c r="S814" s="6"/>
      <c r="T814" s="6">
        <v>30.73</v>
      </c>
      <c r="U814" s="6">
        <v>21.412500000000001</v>
      </c>
      <c r="V814" s="6">
        <v>10.157500000000001</v>
      </c>
      <c r="W814" s="7">
        <v>0.67</v>
      </c>
      <c r="X814" s="13"/>
      <c r="Y814" s="6">
        <v>63.442500000000003</v>
      </c>
      <c r="Z814" s="3">
        <v>1.46073801</v>
      </c>
      <c r="AA814" s="13">
        <v>1.75</v>
      </c>
      <c r="AB814" s="16">
        <f>AA814*10</f>
        <v>17.5</v>
      </c>
      <c r="AC814" s="13">
        <v>1</v>
      </c>
      <c r="AD814" s="16">
        <f>AC814*10</f>
        <v>10</v>
      </c>
      <c r="AE814" s="1">
        <v>1</v>
      </c>
    </row>
    <row r="815" spans="1:31" x14ac:dyDescent="0.2">
      <c r="A815" s="1">
        <v>814</v>
      </c>
      <c r="B815" s="1">
        <v>2017</v>
      </c>
      <c r="C815" s="1" t="s">
        <v>31</v>
      </c>
      <c r="D815" s="8" t="s">
        <v>615</v>
      </c>
      <c r="E815" s="8" t="s">
        <v>616</v>
      </c>
      <c r="F815" s="1" t="s">
        <v>32</v>
      </c>
      <c r="G815" s="1">
        <v>114</v>
      </c>
      <c r="I815" s="12">
        <v>8.3767560000000003</v>
      </c>
      <c r="J815" s="3">
        <v>23.9335886</v>
      </c>
      <c r="L815" s="5">
        <v>3337.25</v>
      </c>
      <c r="N815" s="5">
        <v>27969.175999999999</v>
      </c>
      <c r="O815" s="6">
        <v>32.137115100000003</v>
      </c>
      <c r="P815" s="6">
        <v>7.3449999999999998</v>
      </c>
      <c r="Q815" s="6">
        <v>45.3</v>
      </c>
      <c r="R815" s="6">
        <v>56.372500000000002</v>
      </c>
      <c r="S815" s="3"/>
      <c r="T815" s="6">
        <v>27.6</v>
      </c>
      <c r="U815" s="6">
        <v>31.05</v>
      </c>
      <c r="V815" s="6">
        <v>3.5</v>
      </c>
      <c r="W815" s="7">
        <v>0.74245430000000001</v>
      </c>
      <c r="X815" s="13"/>
      <c r="Y815" s="6">
        <v>69.097499999999997</v>
      </c>
      <c r="Z815" s="3">
        <v>2.13</v>
      </c>
      <c r="AB815" s="16"/>
      <c r="AD815" s="16"/>
      <c r="AE815" s="1">
        <v>1</v>
      </c>
    </row>
    <row r="816" spans="1:31" x14ac:dyDescent="0.2">
      <c r="A816" s="1">
        <v>815</v>
      </c>
      <c r="B816" s="1">
        <v>2009</v>
      </c>
      <c r="C816" s="1" t="s">
        <v>88</v>
      </c>
      <c r="D816" s="8" t="s">
        <v>146</v>
      </c>
      <c r="E816" s="8">
        <v>200</v>
      </c>
      <c r="F816" s="1" t="s">
        <v>83</v>
      </c>
      <c r="I816" s="12">
        <v>5.5</v>
      </c>
      <c r="J816" s="7">
        <v>15.714285714285699</v>
      </c>
      <c r="K816" s="1" t="s">
        <v>34</v>
      </c>
      <c r="L816" s="14">
        <v>3339</v>
      </c>
      <c r="M816" s="1" t="s">
        <v>34</v>
      </c>
      <c r="N816" s="14">
        <v>18397</v>
      </c>
      <c r="O816" s="13">
        <v>29</v>
      </c>
      <c r="P816" s="13">
        <v>10.4</v>
      </c>
      <c r="Q816" s="13">
        <v>47.2</v>
      </c>
      <c r="R816" s="13">
        <v>61.3</v>
      </c>
      <c r="S816" s="13"/>
      <c r="T816" s="13">
        <v>33.200000000000003</v>
      </c>
      <c r="U816" s="13">
        <v>25.2</v>
      </c>
      <c r="V816" s="13">
        <v>3.9</v>
      </c>
      <c r="W816" s="12" t="s">
        <v>89</v>
      </c>
      <c r="X816" s="13">
        <v>81.7</v>
      </c>
      <c r="Y816" s="13">
        <v>63.1</v>
      </c>
      <c r="Z816" s="7">
        <v>1.59</v>
      </c>
      <c r="AA816" s="13">
        <v>1</v>
      </c>
      <c r="AB816" s="14">
        <v>10</v>
      </c>
      <c r="AC816" s="13">
        <v>1.5</v>
      </c>
      <c r="AD816" s="16">
        <f>AC816*10</f>
        <v>15</v>
      </c>
      <c r="AE816" s="1">
        <v>1</v>
      </c>
    </row>
    <row r="817" spans="1:31" x14ac:dyDescent="0.2">
      <c r="A817" s="1">
        <v>816</v>
      </c>
      <c r="B817" s="1">
        <v>2021</v>
      </c>
      <c r="C817" s="1" t="s">
        <v>31</v>
      </c>
      <c r="D817" s="1" t="s">
        <v>821</v>
      </c>
      <c r="E817" s="1" t="s">
        <v>823</v>
      </c>
      <c r="F817" s="1" t="s">
        <v>83</v>
      </c>
      <c r="G817" s="1">
        <v>116</v>
      </c>
      <c r="I817" s="12">
        <v>5.3028474559229997</v>
      </c>
      <c r="J817" s="12">
        <v>15.150992731000001</v>
      </c>
      <c r="L817" s="16">
        <v>3339.7696470000001</v>
      </c>
      <c r="N817" s="16">
        <v>17707.308255226999</v>
      </c>
      <c r="O817" s="15">
        <v>39.731943600000001</v>
      </c>
      <c r="P817" s="15">
        <v>9.1119873699999996</v>
      </c>
      <c r="Q817" s="15">
        <v>21.3825</v>
      </c>
      <c r="R817" s="15">
        <v>38.477499999999999</v>
      </c>
      <c r="U817" s="15">
        <v>36.942500000000003</v>
      </c>
      <c r="V817" s="15">
        <v>7.5149999999999997</v>
      </c>
      <c r="W817" s="12">
        <v>0.70590091325000004</v>
      </c>
      <c r="X817" s="15"/>
      <c r="Y817" s="15">
        <v>72.056171868000007</v>
      </c>
      <c r="Z817" s="12"/>
      <c r="AA817" s="15">
        <v>0.75</v>
      </c>
      <c r="AB817" s="16">
        <f>AA817*33.334</f>
        <v>25.000500000000002</v>
      </c>
      <c r="AD817" s="16"/>
      <c r="AE817" s="1">
        <v>1</v>
      </c>
    </row>
    <row r="818" spans="1:31" x14ac:dyDescent="0.2">
      <c r="A818" s="1">
        <v>817</v>
      </c>
      <c r="B818" s="1">
        <v>2020</v>
      </c>
      <c r="C818" s="1" t="s">
        <v>31</v>
      </c>
      <c r="D818" s="22" t="s">
        <v>917</v>
      </c>
      <c r="E818" s="1" t="s">
        <v>783</v>
      </c>
      <c r="F818" s="1" t="s">
        <v>32</v>
      </c>
      <c r="G818" s="1">
        <v>117</v>
      </c>
      <c r="H818" s="1" t="s">
        <v>754</v>
      </c>
      <c r="I818" s="12">
        <v>7.9452706047885</v>
      </c>
      <c r="J818" s="12">
        <v>22.729690203000001</v>
      </c>
      <c r="K818" s="1" t="s">
        <v>754</v>
      </c>
      <c r="L818" s="16">
        <v>3340.3950793180002</v>
      </c>
      <c r="M818" s="16" t="s">
        <v>754</v>
      </c>
      <c r="N818" s="16">
        <v>19656.610440650998</v>
      </c>
      <c r="O818" s="10">
        <v>46.5002408</v>
      </c>
      <c r="P818" s="15">
        <v>8.9649999999999999</v>
      </c>
      <c r="Q818" s="15">
        <v>44.327500000000001</v>
      </c>
      <c r="R818" s="15">
        <v>48.696729623000003</v>
      </c>
      <c r="S818" s="15"/>
      <c r="T818" s="15">
        <v>24.517499999999998</v>
      </c>
      <c r="U818" s="15">
        <v>27.177499999999998</v>
      </c>
      <c r="V818" s="15">
        <v>5.3707304000000002</v>
      </c>
      <c r="W818" s="12">
        <v>0.69392855799999997</v>
      </c>
      <c r="X818" s="15"/>
      <c r="Y818" s="15">
        <v>73.901422600999993</v>
      </c>
      <c r="Z818" s="12"/>
      <c r="AA818" s="15">
        <v>0.75</v>
      </c>
      <c r="AB818" s="16">
        <f>AA818*33.334</f>
        <v>25.000500000000002</v>
      </c>
      <c r="AD818" s="16"/>
      <c r="AE818" s="1">
        <v>1</v>
      </c>
    </row>
    <row r="819" spans="1:31" x14ac:dyDescent="0.2">
      <c r="A819" s="1">
        <v>818</v>
      </c>
      <c r="B819" s="1">
        <v>2021</v>
      </c>
      <c r="C819" s="1" t="s">
        <v>31</v>
      </c>
      <c r="D819" s="1" t="s">
        <v>805</v>
      </c>
      <c r="E819" s="1" t="s">
        <v>808</v>
      </c>
      <c r="F819" s="1" t="s">
        <v>32</v>
      </c>
      <c r="G819" s="1">
        <v>119</v>
      </c>
      <c r="H819" s="1" t="s">
        <v>89</v>
      </c>
      <c r="I819" s="12">
        <v>8.5921431883660002</v>
      </c>
      <c r="J819" s="12">
        <v>24.548980537999999</v>
      </c>
      <c r="K819" s="1" t="s">
        <v>89</v>
      </c>
      <c r="L819" s="16">
        <v>3341.7376543119999</v>
      </c>
      <c r="M819" s="16" t="s">
        <v>89</v>
      </c>
      <c r="N819" s="16">
        <v>28758.032875292</v>
      </c>
      <c r="O819" s="15">
        <v>45.4976901</v>
      </c>
      <c r="P819" s="15">
        <v>7.47250499</v>
      </c>
      <c r="Q819" s="15">
        <v>38.479871195000001</v>
      </c>
      <c r="R819" s="15">
        <v>58.192874240999998</v>
      </c>
      <c r="T819" s="15">
        <v>22.191204590000002</v>
      </c>
      <c r="U819" s="15">
        <v>42.063222490000001</v>
      </c>
      <c r="V819" s="15">
        <v>6.1020181610000002</v>
      </c>
      <c r="W819" s="12">
        <v>0.7053163469899999</v>
      </c>
      <c r="X819" s="15"/>
      <c r="Y819" s="15">
        <v>72.118772383000007</v>
      </c>
      <c r="Z819" s="12"/>
      <c r="AA819" s="15">
        <v>1.399373851</v>
      </c>
      <c r="AB819" s="16">
        <f>AA819*33.334</f>
        <v>46.646727949234005</v>
      </c>
      <c r="AD819" s="16"/>
      <c r="AE819" s="1">
        <v>1</v>
      </c>
    </row>
    <row r="820" spans="1:31" x14ac:dyDescent="0.2">
      <c r="A820" s="1">
        <v>819</v>
      </c>
      <c r="B820" s="1">
        <v>2012</v>
      </c>
      <c r="C820" s="1" t="s">
        <v>31</v>
      </c>
      <c r="D820" s="19" t="s">
        <v>861</v>
      </c>
      <c r="E820" s="1" t="s">
        <v>315</v>
      </c>
      <c r="F820" s="1" t="s">
        <v>83</v>
      </c>
      <c r="I820" s="12">
        <v>5.98</v>
      </c>
      <c r="J820" s="12">
        <v>17.100000000000001</v>
      </c>
      <c r="L820" s="16">
        <v>3342</v>
      </c>
      <c r="N820" s="16">
        <v>19972</v>
      </c>
      <c r="O820" s="15">
        <v>30.8</v>
      </c>
      <c r="P820" s="15">
        <v>7.81</v>
      </c>
      <c r="Q820" s="15">
        <v>45</v>
      </c>
      <c r="R820" s="15">
        <v>58</v>
      </c>
      <c r="T820" s="15"/>
      <c r="U820" s="15">
        <v>35.4</v>
      </c>
      <c r="V820" s="15">
        <v>3.7</v>
      </c>
      <c r="W820" s="12">
        <v>0.72</v>
      </c>
      <c r="X820" s="15"/>
      <c r="Y820" s="15"/>
      <c r="Z820" s="12">
        <v>1.56</v>
      </c>
      <c r="AB820" s="16"/>
      <c r="AD820" s="16"/>
      <c r="AE820" s="1">
        <v>1</v>
      </c>
    </row>
    <row r="821" spans="1:31" x14ac:dyDescent="0.2">
      <c r="A821" s="1">
        <v>820</v>
      </c>
      <c r="B821" s="1">
        <v>2014</v>
      </c>
      <c r="C821" s="1" t="s">
        <v>31</v>
      </c>
      <c r="D821" s="1" t="s">
        <v>71</v>
      </c>
      <c r="E821" s="1" t="s">
        <v>385</v>
      </c>
      <c r="F821" s="1" t="s">
        <v>32</v>
      </c>
      <c r="G821" s="1">
        <v>117</v>
      </c>
      <c r="I821" s="12">
        <v>9.82</v>
      </c>
      <c r="J821" s="12">
        <v>28.1</v>
      </c>
      <c r="L821" s="16">
        <v>3343</v>
      </c>
      <c r="M821" s="1" t="s">
        <v>34</v>
      </c>
      <c r="N821" s="16">
        <v>32773</v>
      </c>
      <c r="O821" s="15">
        <v>30.8</v>
      </c>
      <c r="P821" s="15">
        <v>6.8</v>
      </c>
      <c r="Q821" s="15">
        <v>43.4</v>
      </c>
      <c r="R821" s="15">
        <v>52.4</v>
      </c>
      <c r="T821" s="15"/>
      <c r="U821" s="15">
        <v>30.8</v>
      </c>
      <c r="V821" s="15">
        <v>5.8</v>
      </c>
      <c r="W821" s="12">
        <v>0.72</v>
      </c>
      <c r="X821" s="15"/>
      <c r="Y821" s="15">
        <v>69.2</v>
      </c>
      <c r="Z821" s="12">
        <v>2.2400000000000002</v>
      </c>
      <c r="AB821" s="16"/>
      <c r="AD821" s="16"/>
      <c r="AE821" s="1">
        <v>1</v>
      </c>
    </row>
    <row r="822" spans="1:31" x14ac:dyDescent="0.2">
      <c r="A822" s="1">
        <v>821</v>
      </c>
      <c r="B822" s="1">
        <v>2008</v>
      </c>
      <c r="C822" s="1" t="s">
        <v>31</v>
      </c>
      <c r="D822" s="1" t="s">
        <v>916</v>
      </c>
      <c r="E822" s="8">
        <v>8753</v>
      </c>
      <c r="F822" s="8" t="s">
        <v>32</v>
      </c>
      <c r="G822" s="8"/>
      <c r="H822" s="8"/>
      <c r="I822" s="12">
        <v>9.16</v>
      </c>
      <c r="J822" s="7">
        <v>26.171428571428574</v>
      </c>
      <c r="K822" s="13"/>
      <c r="L822" s="14">
        <v>3344</v>
      </c>
      <c r="M822" s="14"/>
      <c r="N822" s="14">
        <v>30651</v>
      </c>
      <c r="O822" s="13">
        <v>28.9</v>
      </c>
      <c r="P822" s="13">
        <v>8.1</v>
      </c>
      <c r="Q822" s="13">
        <v>48.7</v>
      </c>
      <c r="R822" s="13">
        <v>66.099999999999994</v>
      </c>
      <c r="S822" s="13"/>
      <c r="T822" s="13"/>
      <c r="U822" s="13">
        <v>25.1</v>
      </c>
      <c r="V822" s="13"/>
      <c r="W822" s="13"/>
      <c r="X822" s="15"/>
      <c r="Y822" s="13">
        <v>72.900000000000006</v>
      </c>
      <c r="Z822" s="7">
        <v>2.95</v>
      </c>
      <c r="AB822" s="16"/>
      <c r="AD822" s="16"/>
      <c r="AE822" s="1">
        <v>1</v>
      </c>
    </row>
    <row r="823" spans="1:31" x14ac:dyDescent="0.2">
      <c r="A823" s="1">
        <v>822</v>
      </c>
      <c r="B823" s="1">
        <v>2014</v>
      </c>
      <c r="C823" s="1" t="s">
        <v>31</v>
      </c>
      <c r="D823" s="22" t="s">
        <v>917</v>
      </c>
      <c r="E823" s="1" t="s">
        <v>436</v>
      </c>
      <c r="F823" s="1" t="s">
        <v>83</v>
      </c>
      <c r="G823" s="1">
        <v>116</v>
      </c>
      <c r="I823" s="12">
        <v>5.77</v>
      </c>
      <c r="J823" s="12">
        <v>16.5</v>
      </c>
      <c r="K823" s="1" t="s">
        <v>34</v>
      </c>
      <c r="L823" s="16">
        <v>3345</v>
      </c>
      <c r="M823" s="1" t="s">
        <v>34</v>
      </c>
      <c r="N823" s="16">
        <v>19311</v>
      </c>
      <c r="O823" s="15">
        <v>34.200000000000003</v>
      </c>
      <c r="P823" s="15">
        <v>7.01</v>
      </c>
      <c r="Q823" s="15">
        <v>41</v>
      </c>
      <c r="R823" s="15">
        <v>54.6</v>
      </c>
      <c r="T823" s="15"/>
      <c r="U823" s="15">
        <v>33</v>
      </c>
      <c r="V823" s="15">
        <v>3.7</v>
      </c>
      <c r="W823" s="12">
        <v>0.73</v>
      </c>
      <c r="X823" s="15"/>
      <c r="Y823" s="15">
        <v>70.5</v>
      </c>
      <c r="Z823" s="12">
        <v>1.29</v>
      </c>
      <c r="AA823" s="1">
        <v>4</v>
      </c>
      <c r="AB823" s="16">
        <f>AA823*10</f>
        <v>40</v>
      </c>
      <c r="AD823" s="16"/>
      <c r="AE823" s="1">
        <v>1</v>
      </c>
    </row>
    <row r="824" spans="1:31" x14ac:dyDescent="0.2">
      <c r="A824" s="1">
        <v>823</v>
      </c>
      <c r="B824" s="1">
        <v>2016</v>
      </c>
      <c r="C824" s="1" t="s">
        <v>88</v>
      </c>
      <c r="D824" s="1" t="s">
        <v>246</v>
      </c>
      <c r="E824" s="1" t="s">
        <v>579</v>
      </c>
      <c r="F824" s="1" t="s">
        <v>83</v>
      </c>
      <c r="I824" s="12">
        <v>5.3429221399999998</v>
      </c>
      <c r="J824" s="3">
        <v>15.2654918</v>
      </c>
      <c r="K824" s="1" t="s">
        <v>34</v>
      </c>
      <c r="L824" s="5">
        <v>3346</v>
      </c>
      <c r="N824" s="5">
        <v>17877.618900000001</v>
      </c>
      <c r="O824" s="6">
        <v>30.197951400000001</v>
      </c>
      <c r="P824" s="6">
        <v>7.82</v>
      </c>
      <c r="Q824" s="6">
        <v>51.177500000000002</v>
      </c>
      <c r="R824" s="15">
        <v>52.005000000000003</v>
      </c>
      <c r="S824" s="6">
        <v>20.067499999999999</v>
      </c>
      <c r="T824" s="6"/>
      <c r="U824" s="6">
        <v>18.399999999999999</v>
      </c>
      <c r="V824" s="6">
        <v>8.9574999999999996</v>
      </c>
      <c r="W824" s="3">
        <v>0.66200000000000003</v>
      </c>
      <c r="X824" s="6"/>
      <c r="Y824" s="15">
        <v>64.400000000000006</v>
      </c>
      <c r="Z824" s="3">
        <v>1.38257933</v>
      </c>
      <c r="AA824" s="6">
        <v>3</v>
      </c>
      <c r="AB824" s="16">
        <f>AA824*10</f>
        <v>30</v>
      </c>
      <c r="AC824" s="6">
        <v>1.3</v>
      </c>
      <c r="AD824" s="16">
        <f>AC824*10</f>
        <v>13</v>
      </c>
      <c r="AE824" s="1">
        <v>1</v>
      </c>
    </row>
    <row r="825" spans="1:31" x14ac:dyDescent="0.2">
      <c r="A825" s="1">
        <v>824</v>
      </c>
      <c r="B825" s="1">
        <v>2013</v>
      </c>
      <c r="C825" s="1" t="s">
        <v>31</v>
      </c>
      <c r="D825" s="8" t="s">
        <v>352</v>
      </c>
      <c r="E825" s="8" t="s">
        <v>353</v>
      </c>
      <c r="F825" s="1" t="s">
        <v>32</v>
      </c>
      <c r="G825" s="8">
        <v>118</v>
      </c>
      <c r="H825" s="8"/>
      <c r="I825" s="12">
        <v>8.59</v>
      </c>
      <c r="J825" s="7">
        <v>24.542857142857098</v>
      </c>
      <c r="K825" s="13"/>
      <c r="L825" s="14">
        <v>3346</v>
      </c>
      <c r="M825" s="14"/>
      <c r="N825" s="14">
        <v>28742</v>
      </c>
      <c r="O825" s="13">
        <v>30.1</v>
      </c>
      <c r="P825" s="13">
        <v>7.6</v>
      </c>
      <c r="Q825" s="13">
        <v>37.299999999999997</v>
      </c>
      <c r="R825" s="13">
        <v>49</v>
      </c>
      <c r="S825" s="13" t="s">
        <v>89</v>
      </c>
      <c r="T825" s="13"/>
      <c r="U825" s="13">
        <v>37.299999999999997</v>
      </c>
      <c r="V825" s="13">
        <v>3.9</v>
      </c>
      <c r="W825" s="7">
        <v>0.73</v>
      </c>
      <c r="X825" s="15" t="s">
        <v>89</v>
      </c>
      <c r="Y825" s="15" t="s">
        <v>89</v>
      </c>
      <c r="Z825" s="7">
        <v>1.57</v>
      </c>
      <c r="AB825" s="16"/>
      <c r="AD825" s="16"/>
      <c r="AE825" s="1">
        <v>1</v>
      </c>
    </row>
    <row r="826" spans="1:31" x14ac:dyDescent="0.2">
      <c r="A826" s="1">
        <v>825</v>
      </c>
      <c r="B826" s="1">
        <v>2018</v>
      </c>
      <c r="C826" s="1" t="s">
        <v>31</v>
      </c>
      <c r="D826" s="1" t="s">
        <v>916</v>
      </c>
      <c r="E826" s="1" t="s">
        <v>650</v>
      </c>
      <c r="F826" s="1" t="s">
        <v>32</v>
      </c>
      <c r="G826" s="1">
        <v>115</v>
      </c>
      <c r="I826" s="12">
        <v>7.5</v>
      </c>
      <c r="J826" s="3">
        <v>21.466309599999999</v>
      </c>
      <c r="K826" s="1" t="s">
        <v>34</v>
      </c>
      <c r="L826" s="5">
        <v>3346.3</v>
      </c>
      <c r="N826" s="5">
        <v>25225.1541</v>
      </c>
      <c r="O826" s="6">
        <v>32.46</v>
      </c>
      <c r="P826" s="18">
        <v>8.5</v>
      </c>
      <c r="Q826" s="6">
        <v>43.145000000000003</v>
      </c>
      <c r="R826" s="6">
        <v>59.2</v>
      </c>
      <c r="S826" s="3"/>
      <c r="T826" s="6">
        <v>26.1525</v>
      </c>
      <c r="U826" s="6">
        <v>30.434999999999999</v>
      </c>
      <c r="V826" s="6">
        <v>6.4749999999999996</v>
      </c>
      <c r="W826" s="3">
        <v>0.71794999999999998</v>
      </c>
      <c r="X826" s="6"/>
      <c r="Y826" s="6">
        <v>69.367500000000007</v>
      </c>
      <c r="Z826" s="3">
        <v>1.92</v>
      </c>
      <c r="AB826" s="16"/>
      <c r="AD826" s="16"/>
      <c r="AE826" s="1">
        <v>1</v>
      </c>
    </row>
    <row r="827" spans="1:31" x14ac:dyDescent="0.2">
      <c r="A827" s="1">
        <v>826</v>
      </c>
      <c r="B827" s="1">
        <v>2020</v>
      </c>
      <c r="C827" s="1" t="s">
        <v>31</v>
      </c>
      <c r="D827" s="19" t="s">
        <v>900</v>
      </c>
      <c r="E827" s="1" t="s">
        <v>771</v>
      </c>
      <c r="F827" s="1" t="s">
        <v>32</v>
      </c>
      <c r="G827" s="1">
        <v>115</v>
      </c>
      <c r="H827" s="1" t="s">
        <v>754</v>
      </c>
      <c r="I827" s="12">
        <v>8.4897662693245</v>
      </c>
      <c r="J827" s="12">
        <v>24.251117402999999</v>
      </c>
      <c r="K827" s="1" t="s">
        <v>754</v>
      </c>
      <c r="L827" s="16">
        <v>3346.6829321179998</v>
      </c>
      <c r="M827" s="16" t="s">
        <v>34</v>
      </c>
      <c r="N827" s="16">
        <v>28283.849321148999</v>
      </c>
      <c r="O827" s="10">
        <v>50.255362999999996</v>
      </c>
      <c r="P827" s="15">
        <v>7.77</v>
      </c>
      <c r="Q827" s="15">
        <v>45.317500000000003</v>
      </c>
      <c r="R827" s="15">
        <v>50.079229623000003</v>
      </c>
      <c r="S827" s="15"/>
      <c r="T827" s="15">
        <v>24.22</v>
      </c>
      <c r="U827" s="15">
        <v>28.24</v>
      </c>
      <c r="V827" s="15">
        <v>5.0232304000000001</v>
      </c>
      <c r="W827" s="12">
        <v>0.69696203700000003</v>
      </c>
      <c r="X827" s="15"/>
      <c r="Y827" s="15">
        <v>73.753005000000002</v>
      </c>
      <c r="Z827" s="12"/>
      <c r="AA827" s="15">
        <v>1.25</v>
      </c>
      <c r="AB827" s="16">
        <f>AA827*33.334</f>
        <v>41.667500000000004</v>
      </c>
      <c r="AD827" s="16"/>
      <c r="AE827" s="1">
        <v>1</v>
      </c>
    </row>
    <row r="828" spans="1:31" x14ac:dyDescent="0.2">
      <c r="A828" s="1">
        <v>827</v>
      </c>
      <c r="B828" s="1">
        <v>2012</v>
      </c>
      <c r="C828" s="1" t="s">
        <v>31</v>
      </c>
      <c r="D828" s="1" t="s">
        <v>125</v>
      </c>
      <c r="E828" s="1" t="s">
        <v>318</v>
      </c>
      <c r="F828" s="1" t="s">
        <v>83</v>
      </c>
      <c r="I828" s="12">
        <v>4.57</v>
      </c>
      <c r="J828" s="12">
        <v>13.1</v>
      </c>
      <c r="K828" s="1" t="s">
        <v>34</v>
      </c>
      <c r="L828" s="16">
        <v>3347</v>
      </c>
      <c r="N828" s="16">
        <v>15303</v>
      </c>
      <c r="O828" s="15">
        <v>33.4</v>
      </c>
      <c r="P828" s="15">
        <v>7.51</v>
      </c>
      <c r="Q828" s="15">
        <v>43.6</v>
      </c>
      <c r="R828" s="15">
        <v>59.3</v>
      </c>
      <c r="T828" s="15"/>
      <c r="U828" s="15">
        <v>38.4</v>
      </c>
      <c r="V828" s="15">
        <v>3.5</v>
      </c>
      <c r="W828" s="12">
        <v>0.73</v>
      </c>
      <c r="X828" s="15"/>
      <c r="Y828" s="15"/>
      <c r="Z828" s="12">
        <v>1.18</v>
      </c>
      <c r="AB828" s="16"/>
      <c r="AD828" s="16"/>
      <c r="AE828" s="1">
        <v>1</v>
      </c>
    </row>
    <row r="829" spans="1:31" x14ac:dyDescent="0.2">
      <c r="A829" s="1">
        <v>828</v>
      </c>
      <c r="B829" s="1">
        <v>2009</v>
      </c>
      <c r="C829" s="1" t="s">
        <v>31</v>
      </c>
      <c r="D829" s="8" t="s">
        <v>37</v>
      </c>
      <c r="E829" s="8" t="s">
        <v>84</v>
      </c>
      <c r="F829" s="1" t="s">
        <v>83</v>
      </c>
      <c r="I829" s="12">
        <v>6.02</v>
      </c>
      <c r="J829" s="7">
        <v>17.2</v>
      </c>
      <c r="L829" s="14">
        <v>3348</v>
      </c>
      <c r="M829" s="14"/>
      <c r="N829" s="14">
        <v>20171</v>
      </c>
      <c r="O829" s="13">
        <v>29.8</v>
      </c>
      <c r="P829" s="13">
        <v>9.3000000000000007</v>
      </c>
      <c r="Q829" s="13">
        <v>39.9</v>
      </c>
      <c r="R829" s="13">
        <v>47</v>
      </c>
      <c r="S829" s="8"/>
      <c r="T829" s="13">
        <v>25</v>
      </c>
      <c r="U829" s="13">
        <v>36.799999999999997</v>
      </c>
      <c r="V829" s="15"/>
      <c r="W829" s="7" t="s">
        <v>89</v>
      </c>
      <c r="X829" s="13"/>
      <c r="Y829" s="13">
        <v>71.5</v>
      </c>
      <c r="Z829" s="7">
        <v>1.1299999999999999</v>
      </c>
      <c r="AB829" s="16"/>
      <c r="AD829" s="16"/>
      <c r="AE829" s="1">
        <v>1</v>
      </c>
    </row>
    <row r="830" spans="1:31" x14ac:dyDescent="0.2">
      <c r="A830" s="1">
        <v>829</v>
      </c>
      <c r="B830" s="1">
        <v>2021</v>
      </c>
      <c r="C830" s="1" t="s">
        <v>88</v>
      </c>
      <c r="D830" s="1" t="s">
        <v>838</v>
      </c>
      <c r="E830" s="1" t="s">
        <v>843</v>
      </c>
      <c r="F830" s="1" t="s">
        <v>83</v>
      </c>
      <c r="H830" s="1" t="s">
        <v>89</v>
      </c>
      <c r="I830" s="12">
        <v>4.5410904466784991</v>
      </c>
      <c r="J830" s="12">
        <v>12.974544133</v>
      </c>
      <c r="K830" s="1" t="s">
        <v>34</v>
      </c>
      <c r="L830" s="16">
        <v>3348.25</v>
      </c>
      <c r="N830" s="16">
        <v>15384.256447742</v>
      </c>
      <c r="O830" s="15">
        <v>29.814157299999998</v>
      </c>
      <c r="P830" s="15">
        <v>9.09</v>
      </c>
      <c r="Q830" s="15">
        <v>51.12</v>
      </c>
      <c r="R830" s="15">
        <v>58.6</v>
      </c>
      <c r="U830" s="15">
        <v>16.11</v>
      </c>
      <c r="V830" s="15">
        <v>7.19</v>
      </c>
      <c r="W830" s="12">
        <v>0.70757499999999995</v>
      </c>
      <c r="X830" s="15"/>
      <c r="Y830" s="15">
        <v>65.782499999999999</v>
      </c>
      <c r="Z830" s="12"/>
      <c r="AA830" s="15">
        <v>1</v>
      </c>
      <c r="AB830" s="16">
        <f>AA830*33.334</f>
        <v>33.334000000000003</v>
      </c>
      <c r="AC830" s="1">
        <v>0</v>
      </c>
      <c r="AD830" s="16">
        <f>AC830*33.334</f>
        <v>0</v>
      </c>
      <c r="AE830" s="1">
        <v>1</v>
      </c>
    </row>
    <row r="831" spans="1:31" x14ac:dyDescent="0.2">
      <c r="A831" s="1">
        <v>830</v>
      </c>
      <c r="B831" s="1">
        <v>2016</v>
      </c>
      <c r="C831" s="1" t="s">
        <v>88</v>
      </c>
      <c r="D831" s="8" t="s">
        <v>187</v>
      </c>
      <c r="E831" s="8" t="s">
        <v>567</v>
      </c>
      <c r="F831" s="1" t="s">
        <v>32</v>
      </c>
      <c r="I831" s="12">
        <v>7.25</v>
      </c>
      <c r="J831" s="7">
        <v>20.714285714285701</v>
      </c>
      <c r="K831" s="1" t="s">
        <v>34</v>
      </c>
      <c r="L831" s="5">
        <v>3349</v>
      </c>
      <c r="N831" s="5">
        <v>24318.025000000001</v>
      </c>
      <c r="O831" s="6">
        <v>35.9925</v>
      </c>
      <c r="P831" s="6">
        <v>8</v>
      </c>
      <c r="Q831" s="6">
        <v>51.41</v>
      </c>
      <c r="R831" s="6">
        <v>54.3</v>
      </c>
      <c r="S831" s="6"/>
      <c r="T831" s="6">
        <v>32.662500000000001</v>
      </c>
      <c r="U831" s="6">
        <v>17.184999999999999</v>
      </c>
      <c r="V831" s="6">
        <v>9.7125000000000004</v>
      </c>
      <c r="W831" s="7">
        <v>0.67</v>
      </c>
      <c r="X831" s="13"/>
      <c r="Y831" s="6">
        <v>64.900000000000006</v>
      </c>
      <c r="Z831" s="3">
        <v>2.01801276</v>
      </c>
      <c r="AA831" s="13">
        <v>1.75</v>
      </c>
      <c r="AB831" s="16">
        <f>AA831*10</f>
        <v>17.5</v>
      </c>
      <c r="AC831" s="13">
        <v>1</v>
      </c>
      <c r="AD831" s="16">
        <f>AC831*10</f>
        <v>10</v>
      </c>
      <c r="AE831" s="1">
        <v>1</v>
      </c>
    </row>
    <row r="832" spans="1:31" x14ac:dyDescent="0.2">
      <c r="A832" s="1">
        <v>831</v>
      </c>
      <c r="B832" s="1">
        <v>2008</v>
      </c>
      <c r="C832" s="1" t="s">
        <v>31</v>
      </c>
      <c r="D832" s="1" t="s">
        <v>916</v>
      </c>
      <c r="E832" s="8">
        <v>8763</v>
      </c>
      <c r="F832" s="8" t="s">
        <v>32</v>
      </c>
      <c r="G832" s="8"/>
      <c r="H832" s="8"/>
      <c r="I832" s="12">
        <v>9.2100000000000009</v>
      </c>
      <c r="J832" s="7">
        <v>28.7</v>
      </c>
      <c r="K832" s="13"/>
      <c r="L832" s="14">
        <v>3349</v>
      </c>
      <c r="M832" s="14"/>
      <c r="N832" s="14">
        <v>30877</v>
      </c>
      <c r="O832" s="13">
        <v>28.5</v>
      </c>
      <c r="P832" s="13">
        <v>8.3000000000000007</v>
      </c>
      <c r="Q832" s="13">
        <v>48.4</v>
      </c>
      <c r="R832" s="13">
        <v>66.099999999999994</v>
      </c>
      <c r="S832" s="13"/>
      <c r="T832" s="13"/>
      <c r="U832" s="13">
        <v>25.6</v>
      </c>
      <c r="V832" s="13"/>
      <c r="W832" s="13"/>
      <c r="X832" s="15"/>
      <c r="Y832" s="13">
        <v>72.900000000000006</v>
      </c>
      <c r="Z832" s="7">
        <v>2.94</v>
      </c>
      <c r="AB832" s="16"/>
      <c r="AD832" s="16"/>
      <c r="AE832" s="1">
        <v>1</v>
      </c>
    </row>
    <row r="833" spans="1:31" x14ac:dyDescent="0.2">
      <c r="A833" s="1">
        <v>832</v>
      </c>
      <c r="B833" s="1">
        <v>2018</v>
      </c>
      <c r="C833" s="1" t="s">
        <v>31</v>
      </c>
      <c r="D833" s="1" t="s">
        <v>402</v>
      </c>
      <c r="E833" s="1" t="s">
        <v>658</v>
      </c>
      <c r="F833" s="1" t="s">
        <v>32</v>
      </c>
      <c r="G833" s="1">
        <v>117</v>
      </c>
      <c r="H833" s="1" t="s">
        <v>34</v>
      </c>
      <c r="I833" s="12">
        <v>8.3000000000000007</v>
      </c>
      <c r="J833" s="3">
        <v>23.8</v>
      </c>
      <c r="K833" s="1" t="s">
        <v>34</v>
      </c>
      <c r="L833" s="5">
        <v>3349.5</v>
      </c>
      <c r="M833" s="1" t="s">
        <v>34</v>
      </c>
      <c r="N833" s="5">
        <v>27946</v>
      </c>
      <c r="O833" s="6">
        <v>37.072499999999998</v>
      </c>
      <c r="P833" s="18">
        <v>8.3000000000000007</v>
      </c>
      <c r="Q833" s="6">
        <v>39.71</v>
      </c>
      <c r="R833" s="6">
        <v>60.3</v>
      </c>
      <c r="S833" s="3"/>
      <c r="T833" s="6">
        <v>23.66</v>
      </c>
      <c r="U833" s="6">
        <v>34.9</v>
      </c>
      <c r="V833" s="6">
        <v>7.6</v>
      </c>
      <c r="W833" s="3">
        <v>0.7390000000000001</v>
      </c>
      <c r="X833" s="6"/>
      <c r="Y833" s="6">
        <v>71.3</v>
      </c>
      <c r="Z833" s="3">
        <v>2</v>
      </c>
      <c r="AB833" s="16"/>
      <c r="AD833" s="16"/>
      <c r="AE833" s="1">
        <v>1</v>
      </c>
    </row>
    <row r="834" spans="1:31" x14ac:dyDescent="0.2">
      <c r="A834" s="1">
        <v>833</v>
      </c>
      <c r="B834" s="1">
        <v>2014</v>
      </c>
      <c r="C834" s="1" t="s">
        <v>31</v>
      </c>
      <c r="D834" s="1" t="s">
        <v>291</v>
      </c>
      <c r="E834" s="1" t="s">
        <v>295</v>
      </c>
      <c r="F834" s="1" t="s">
        <v>83</v>
      </c>
      <c r="G834" s="1">
        <v>119</v>
      </c>
      <c r="I834" s="12">
        <v>5.62</v>
      </c>
      <c r="J834" s="12">
        <v>16.100000000000001</v>
      </c>
      <c r="K834" s="1" t="s">
        <v>34</v>
      </c>
      <c r="L834" s="16">
        <v>3350</v>
      </c>
      <c r="M834" s="1" t="s">
        <v>34</v>
      </c>
      <c r="N834" s="16">
        <v>18770</v>
      </c>
      <c r="O834" s="15">
        <v>33.799999999999997</v>
      </c>
      <c r="P834" s="15">
        <v>6.93</v>
      </c>
      <c r="Q834" s="15">
        <v>39.1</v>
      </c>
      <c r="R834" s="15">
        <v>52.6</v>
      </c>
      <c r="T834" s="15"/>
      <c r="U834" s="15">
        <v>34.9</v>
      </c>
      <c r="V834" s="15">
        <v>5.6</v>
      </c>
      <c r="W834" s="12">
        <v>0.73</v>
      </c>
      <c r="X834" s="15"/>
      <c r="Y834" s="15">
        <v>70.900000000000006</v>
      </c>
      <c r="Z834" s="12">
        <v>1.1499999999999999</v>
      </c>
      <c r="AA834" s="1">
        <v>4</v>
      </c>
      <c r="AB834" s="16">
        <f>AA834*10</f>
        <v>40</v>
      </c>
      <c r="AD834" s="16"/>
      <c r="AE834" s="1">
        <v>1</v>
      </c>
    </row>
    <row r="835" spans="1:31" x14ac:dyDescent="0.2">
      <c r="A835" s="1">
        <v>834</v>
      </c>
      <c r="B835" s="1">
        <v>2014</v>
      </c>
      <c r="C835" s="1" t="s">
        <v>31</v>
      </c>
      <c r="D835" s="1" t="s">
        <v>399</v>
      </c>
      <c r="E835" s="1" t="s">
        <v>400</v>
      </c>
      <c r="F835" s="1" t="s">
        <v>32</v>
      </c>
      <c r="G835" s="1">
        <v>116</v>
      </c>
      <c r="I835" s="12">
        <v>9.64</v>
      </c>
      <c r="J835" s="12">
        <v>27.5</v>
      </c>
      <c r="L835" s="16">
        <v>3351</v>
      </c>
      <c r="N835" s="16">
        <v>32168</v>
      </c>
      <c r="O835" s="15">
        <v>30.7</v>
      </c>
      <c r="P835" s="15">
        <v>8.1999999999999993</v>
      </c>
      <c r="Q835" s="15">
        <v>44.3</v>
      </c>
      <c r="R835" s="15">
        <v>56.5</v>
      </c>
      <c r="T835" s="15"/>
      <c r="U835" s="15">
        <v>26.6</v>
      </c>
      <c r="V835" s="15">
        <v>6.9</v>
      </c>
      <c r="W835" s="12">
        <v>0.71</v>
      </c>
      <c r="X835" s="15"/>
      <c r="Y835" s="15">
        <v>68.599999999999994</v>
      </c>
      <c r="Z835" s="12">
        <v>2.42</v>
      </c>
      <c r="AB835" s="16"/>
      <c r="AD835" s="16"/>
      <c r="AE835" s="1">
        <v>1</v>
      </c>
    </row>
    <row r="836" spans="1:31" x14ac:dyDescent="0.2">
      <c r="A836" s="1">
        <v>835</v>
      </c>
      <c r="B836" s="1">
        <v>2010</v>
      </c>
      <c r="C836" s="1" t="s">
        <v>31</v>
      </c>
      <c r="D836" s="8" t="s">
        <v>37</v>
      </c>
      <c r="E836" s="8" t="s">
        <v>153</v>
      </c>
      <c r="F836" s="1" t="s">
        <v>32</v>
      </c>
      <c r="I836" s="12">
        <v>9.17</v>
      </c>
      <c r="J836" s="7">
        <v>26.2</v>
      </c>
      <c r="L836" s="14">
        <v>3352</v>
      </c>
      <c r="N836" s="14">
        <v>30775</v>
      </c>
      <c r="O836" s="13">
        <v>30.8</v>
      </c>
      <c r="P836" s="13">
        <v>9.5</v>
      </c>
      <c r="Q836" s="13">
        <v>41.5</v>
      </c>
      <c r="R836" s="13">
        <v>52.8</v>
      </c>
      <c r="S836" s="13"/>
      <c r="T836" s="15"/>
      <c r="U836" s="13">
        <v>36.700000000000003</v>
      </c>
      <c r="V836" s="13">
        <v>6</v>
      </c>
      <c r="W836" s="12"/>
      <c r="X836" s="15"/>
      <c r="Y836" s="13">
        <v>71</v>
      </c>
      <c r="Z836" s="7">
        <v>2.0099999999999998</v>
      </c>
      <c r="AB836" s="16"/>
      <c r="AD836" s="16"/>
      <c r="AE836" s="1">
        <v>1</v>
      </c>
    </row>
    <row r="837" spans="1:31" x14ac:dyDescent="0.2">
      <c r="A837" s="1">
        <v>836</v>
      </c>
      <c r="B837" s="1">
        <v>2020</v>
      </c>
      <c r="C837" s="1" t="s">
        <v>31</v>
      </c>
      <c r="D837" s="1" t="s">
        <v>805</v>
      </c>
      <c r="E837" s="1" t="s">
        <v>766</v>
      </c>
      <c r="F837" s="1" t="s">
        <v>83</v>
      </c>
      <c r="G837" s="1">
        <v>114</v>
      </c>
      <c r="H837" s="1" t="s">
        <v>754</v>
      </c>
      <c r="I837" s="12">
        <v>5.2089083417684998</v>
      </c>
      <c r="J837" s="12">
        <v>14.882595262000001</v>
      </c>
      <c r="L837" s="16">
        <v>3353.99185416</v>
      </c>
      <c r="M837" s="16" t="s">
        <v>754</v>
      </c>
      <c r="N837" s="16">
        <v>17468.74287473</v>
      </c>
      <c r="O837" s="15">
        <v>34.356951099999996</v>
      </c>
      <c r="P837" s="15">
        <v>8.7850000000000001</v>
      </c>
      <c r="Q837" s="15">
        <v>43.585000000000001</v>
      </c>
      <c r="R837" s="15">
        <v>47.752499999999998</v>
      </c>
      <c r="S837" s="15"/>
      <c r="T837" s="15">
        <v>24.227499999999999</v>
      </c>
      <c r="U837" s="15">
        <v>28.297499999999999</v>
      </c>
      <c r="V837" s="15">
        <v>5.6624999999999996</v>
      </c>
      <c r="W837" s="12">
        <v>0.70645866800000012</v>
      </c>
      <c r="X837" s="15"/>
      <c r="Y837" s="15">
        <v>72.496072466000001</v>
      </c>
      <c r="Z837" s="12"/>
      <c r="AA837" s="15">
        <v>1.5</v>
      </c>
      <c r="AB837" s="16">
        <f>AA837*33.334</f>
        <v>50.001000000000005</v>
      </c>
      <c r="AD837" s="16"/>
      <c r="AE837" s="1">
        <v>1</v>
      </c>
    </row>
    <row r="838" spans="1:31" x14ac:dyDescent="0.2">
      <c r="A838" s="1">
        <v>837</v>
      </c>
      <c r="B838" s="1">
        <v>2015</v>
      </c>
      <c r="C838" s="8" t="s">
        <v>31</v>
      </c>
      <c r="D838" s="8" t="s">
        <v>71</v>
      </c>
      <c r="E838" s="8" t="s">
        <v>441</v>
      </c>
      <c r="F838" s="1" t="s">
        <v>83</v>
      </c>
      <c r="I838" s="12">
        <v>5.62</v>
      </c>
      <c r="J838" s="7">
        <v>16.057142857142857</v>
      </c>
      <c r="L838" s="14">
        <v>3354</v>
      </c>
      <c r="N838" s="14">
        <v>18866</v>
      </c>
      <c r="O838" s="13">
        <v>29.3</v>
      </c>
      <c r="P838" s="13">
        <v>6.7</v>
      </c>
      <c r="Q838" s="13">
        <v>43.2</v>
      </c>
      <c r="R838" s="13">
        <v>51.7</v>
      </c>
      <c r="S838" s="8"/>
      <c r="T838" s="13">
        <v>26.6</v>
      </c>
      <c r="U838" s="13">
        <v>32.4</v>
      </c>
      <c r="V838" s="13">
        <v>3.4</v>
      </c>
      <c r="W838" s="7">
        <v>0.73</v>
      </c>
      <c r="X838" s="13"/>
      <c r="Y838" s="13">
        <v>70</v>
      </c>
      <c r="Z838" s="7">
        <v>1.25</v>
      </c>
      <c r="AA838" s="18">
        <v>1.875</v>
      </c>
      <c r="AB838" s="16">
        <f>AA838*10</f>
        <v>18.75</v>
      </c>
      <c r="AC838" s="15" t="s">
        <v>89</v>
      </c>
      <c r="AD838" s="16"/>
      <c r="AE838" s="1">
        <v>1</v>
      </c>
    </row>
    <row r="839" spans="1:31" x14ac:dyDescent="0.2">
      <c r="A839" s="1">
        <v>838</v>
      </c>
      <c r="B839" s="1">
        <v>2012</v>
      </c>
      <c r="C839" s="1" t="s">
        <v>31</v>
      </c>
      <c r="D839" s="1" t="s">
        <v>916</v>
      </c>
      <c r="E839" s="1" t="s">
        <v>328</v>
      </c>
      <c r="F839" s="1" t="s">
        <v>83</v>
      </c>
      <c r="I839" s="12">
        <v>6.01</v>
      </c>
      <c r="J839" s="12">
        <v>17.2</v>
      </c>
      <c r="K839" s="1" t="s">
        <v>34</v>
      </c>
      <c r="L839" s="16">
        <v>3354</v>
      </c>
      <c r="N839" s="16">
        <v>20484</v>
      </c>
      <c r="O839" s="15">
        <v>32.700000000000003</v>
      </c>
      <c r="P839" s="15">
        <v>7.79</v>
      </c>
      <c r="Q839" s="15">
        <v>46.2</v>
      </c>
      <c r="R839" s="15">
        <v>58.8</v>
      </c>
      <c r="T839" s="15"/>
      <c r="U839" s="15">
        <v>33.700000000000003</v>
      </c>
      <c r="V839" s="15">
        <v>3.8</v>
      </c>
      <c r="W839" s="12">
        <v>0.72</v>
      </c>
      <c r="X839" s="15"/>
      <c r="Y839" s="15"/>
      <c r="Z839" s="12">
        <v>1.65</v>
      </c>
      <c r="AB839" s="16"/>
      <c r="AD839" s="16"/>
      <c r="AE839" s="1">
        <v>1</v>
      </c>
    </row>
    <row r="840" spans="1:31" x14ac:dyDescent="0.2">
      <c r="A840" s="1">
        <v>839</v>
      </c>
      <c r="B840" s="1">
        <v>2009</v>
      </c>
      <c r="C840" s="1" t="s">
        <v>31</v>
      </c>
      <c r="D840" s="1" t="s">
        <v>916</v>
      </c>
      <c r="E840" s="8">
        <v>9505</v>
      </c>
      <c r="F840" s="1" t="s">
        <v>83</v>
      </c>
      <c r="I840" s="12">
        <v>6.12</v>
      </c>
      <c r="J840" s="7">
        <v>17.5</v>
      </c>
      <c r="L840" s="14">
        <v>3354</v>
      </c>
      <c r="M840" s="14"/>
      <c r="N840" s="14">
        <v>20519</v>
      </c>
      <c r="O840" s="13">
        <v>32.1</v>
      </c>
      <c r="P840" s="13">
        <v>9.6199999999999992</v>
      </c>
      <c r="Q840" s="13">
        <v>40.799999999999997</v>
      </c>
      <c r="R840" s="13">
        <v>48.4</v>
      </c>
      <c r="S840" s="8"/>
      <c r="T840" s="13">
        <v>24.4</v>
      </c>
      <c r="U840" s="13">
        <v>39.299999999999997</v>
      </c>
      <c r="V840" s="15"/>
      <c r="W840" s="7" t="s">
        <v>89</v>
      </c>
      <c r="X840" s="13"/>
      <c r="Y840" s="13">
        <v>71.7</v>
      </c>
      <c r="Z840" s="7">
        <v>1.21</v>
      </c>
      <c r="AB840" s="16"/>
      <c r="AD840" s="16"/>
      <c r="AE840" s="1">
        <v>1</v>
      </c>
    </row>
    <row r="841" spans="1:31" x14ac:dyDescent="0.2">
      <c r="A841" s="1">
        <v>840</v>
      </c>
      <c r="B841" s="1">
        <v>2018</v>
      </c>
      <c r="C841" s="1" t="s">
        <v>31</v>
      </c>
      <c r="D841" s="28" t="s">
        <v>914</v>
      </c>
      <c r="E841" s="1" t="s">
        <v>416</v>
      </c>
      <c r="F841" s="1" t="s">
        <v>32</v>
      </c>
      <c r="G841" s="1">
        <v>118</v>
      </c>
      <c r="H841" s="1" t="s">
        <v>34</v>
      </c>
      <c r="I841" s="12">
        <v>7.9</v>
      </c>
      <c r="J841" s="3">
        <v>22.5</v>
      </c>
      <c r="K841" s="1" t="s">
        <v>34</v>
      </c>
      <c r="L841" s="5">
        <v>3354</v>
      </c>
      <c r="M841" s="1" t="s">
        <v>34</v>
      </c>
      <c r="N841" s="5">
        <v>26398</v>
      </c>
      <c r="O841" s="6">
        <v>33.193333299999999</v>
      </c>
      <c r="P841" s="18">
        <v>8.4</v>
      </c>
      <c r="Q841" s="6">
        <v>42.093333299999998</v>
      </c>
      <c r="R841" s="6">
        <v>57.143333300000002</v>
      </c>
      <c r="S841" s="3"/>
      <c r="T841" s="6">
        <v>25.6166667</v>
      </c>
      <c r="U841" s="6">
        <v>33.0266667</v>
      </c>
      <c r="V841" s="6">
        <v>6.1233333300000004</v>
      </c>
      <c r="W841" s="3">
        <v>0.72593333299999996</v>
      </c>
      <c r="X841" s="6"/>
      <c r="Y841" s="6">
        <v>70.083333300000007</v>
      </c>
      <c r="Z841" s="3">
        <v>1.9</v>
      </c>
      <c r="AB841" s="16"/>
      <c r="AD841" s="16"/>
      <c r="AE841" s="1">
        <v>1</v>
      </c>
    </row>
    <row r="842" spans="1:31" x14ac:dyDescent="0.2">
      <c r="A842" s="1">
        <v>841</v>
      </c>
      <c r="B842" s="1">
        <v>2015</v>
      </c>
      <c r="C842" s="8" t="s">
        <v>31</v>
      </c>
      <c r="D842" s="1" t="s">
        <v>916</v>
      </c>
      <c r="E842" s="8" t="s">
        <v>404</v>
      </c>
      <c r="F842" s="1" t="s">
        <v>83</v>
      </c>
      <c r="H842" s="1" t="s">
        <v>34</v>
      </c>
      <c r="I842" s="12">
        <v>8.25</v>
      </c>
      <c r="J842" s="7">
        <v>23.6</v>
      </c>
      <c r="L842" s="14">
        <v>3354</v>
      </c>
      <c r="M842" s="1" t="s">
        <v>34</v>
      </c>
      <c r="N842" s="14">
        <v>27716</v>
      </c>
      <c r="O842" s="13">
        <v>32.799999999999997</v>
      </c>
      <c r="P842" s="13">
        <v>7.5</v>
      </c>
      <c r="Q842" s="13">
        <v>40.9</v>
      </c>
      <c r="R842" s="13">
        <v>48</v>
      </c>
      <c r="S842" s="8"/>
      <c r="T842" s="13">
        <v>25.9</v>
      </c>
      <c r="U842" s="13">
        <v>32.6</v>
      </c>
      <c r="V842" s="13">
        <v>4.7</v>
      </c>
      <c r="W842" s="7">
        <v>0.74</v>
      </c>
      <c r="X842" s="13"/>
      <c r="Y842" s="13">
        <v>70.900000000000006</v>
      </c>
      <c r="Z842" s="7">
        <v>1.61</v>
      </c>
      <c r="AA842" s="18">
        <v>1</v>
      </c>
      <c r="AB842" s="16">
        <f>AA842*10</f>
        <v>10</v>
      </c>
      <c r="AC842" s="15" t="s">
        <v>89</v>
      </c>
      <c r="AD842" s="16"/>
      <c r="AE842" s="1">
        <v>1</v>
      </c>
    </row>
    <row r="843" spans="1:31" x14ac:dyDescent="0.2">
      <c r="A843" s="1">
        <v>842</v>
      </c>
      <c r="B843" s="1">
        <v>2013</v>
      </c>
      <c r="C843" s="1" t="s">
        <v>31</v>
      </c>
      <c r="D843" s="8" t="s">
        <v>291</v>
      </c>
      <c r="E843" s="8" t="s">
        <v>383</v>
      </c>
      <c r="F843" s="1" t="s">
        <v>32</v>
      </c>
      <c r="G843" s="8">
        <v>118</v>
      </c>
      <c r="H843" s="8"/>
      <c r="I843" s="12">
        <v>9.9</v>
      </c>
      <c r="J843" s="7">
        <v>28.285714285714299</v>
      </c>
      <c r="K843" s="13"/>
      <c r="L843" s="14">
        <v>3354</v>
      </c>
      <c r="M843" s="14"/>
      <c r="N843" s="14">
        <v>33175</v>
      </c>
      <c r="O843" s="13">
        <v>35.5</v>
      </c>
      <c r="P843" s="13">
        <v>7.4</v>
      </c>
      <c r="Q843" s="13">
        <v>37.1</v>
      </c>
      <c r="R843" s="13">
        <v>51.8</v>
      </c>
      <c r="S843" s="13"/>
      <c r="T843" s="13"/>
      <c r="U843" s="13">
        <v>36.6</v>
      </c>
      <c r="V843" s="13">
        <v>4</v>
      </c>
      <c r="W843" s="7">
        <v>0.75</v>
      </c>
      <c r="X843" s="15"/>
      <c r="Y843" s="15"/>
      <c r="Z843" s="7">
        <v>1.91</v>
      </c>
      <c r="AB843" s="16"/>
      <c r="AD843" s="16"/>
      <c r="AE843" s="1">
        <v>1</v>
      </c>
    </row>
    <row r="844" spans="1:31" x14ac:dyDescent="0.2">
      <c r="A844" s="1">
        <v>843</v>
      </c>
      <c r="B844" s="1">
        <v>2011</v>
      </c>
      <c r="C844" s="1" t="s">
        <v>31</v>
      </c>
      <c r="D844" s="1" t="s">
        <v>916</v>
      </c>
      <c r="E844" s="1">
        <v>40380</v>
      </c>
      <c r="F844" s="1" t="s">
        <v>83</v>
      </c>
      <c r="I844" s="12">
        <v>6.51</v>
      </c>
      <c r="J844" s="12">
        <v>18.600000000000001</v>
      </c>
      <c r="L844" s="16">
        <v>3355</v>
      </c>
      <c r="N844" s="16">
        <v>22002</v>
      </c>
      <c r="O844" s="15">
        <v>29.3</v>
      </c>
      <c r="P844" s="15">
        <v>7</v>
      </c>
      <c r="Q844" s="15">
        <v>50.1</v>
      </c>
      <c r="R844" s="15">
        <v>62.5</v>
      </c>
      <c r="T844" s="15"/>
      <c r="U844" s="15">
        <v>25.9</v>
      </c>
      <c r="V844" s="15">
        <v>5.8</v>
      </c>
      <c r="W844" s="12"/>
      <c r="X844" s="15"/>
      <c r="Y844" s="15">
        <v>68.3</v>
      </c>
      <c r="Z844" s="12">
        <v>2.0299999999999998</v>
      </c>
      <c r="AB844" s="16"/>
      <c r="AD844" s="16"/>
      <c r="AE844" s="1">
        <v>1</v>
      </c>
    </row>
    <row r="845" spans="1:31" x14ac:dyDescent="0.2">
      <c r="A845" s="1">
        <v>844</v>
      </c>
      <c r="B845" s="1">
        <v>2013</v>
      </c>
      <c r="C845" s="1" t="s">
        <v>31</v>
      </c>
      <c r="D845" s="8" t="s">
        <v>291</v>
      </c>
      <c r="E845" s="8" t="s">
        <v>351</v>
      </c>
      <c r="F845" s="1" t="s">
        <v>32</v>
      </c>
      <c r="G845" s="8">
        <v>119</v>
      </c>
      <c r="H845" s="8"/>
      <c r="I845" s="12">
        <v>8.82</v>
      </c>
      <c r="J845" s="7">
        <v>25.2</v>
      </c>
      <c r="K845" s="13"/>
      <c r="L845" s="14">
        <v>3355</v>
      </c>
      <c r="M845" s="14"/>
      <c r="N845" s="14">
        <v>29590</v>
      </c>
      <c r="O845" s="13">
        <v>30.9</v>
      </c>
      <c r="P845" s="13">
        <v>7.5</v>
      </c>
      <c r="Q845" s="13">
        <v>38.700000000000003</v>
      </c>
      <c r="R845" s="13">
        <v>52.2</v>
      </c>
      <c r="S845" s="13"/>
      <c r="T845" s="13"/>
      <c r="U845" s="13">
        <v>34.799999999999997</v>
      </c>
      <c r="V845" s="13">
        <v>4.5999999999999996</v>
      </c>
      <c r="W845" s="7">
        <v>0.72</v>
      </c>
      <c r="X845" s="15"/>
      <c r="Y845" s="15"/>
      <c r="Z845" s="7">
        <v>1.79</v>
      </c>
      <c r="AB845" s="16"/>
      <c r="AD845" s="16"/>
      <c r="AE845" s="1">
        <v>1</v>
      </c>
    </row>
    <row r="846" spans="1:31" x14ac:dyDescent="0.2">
      <c r="A846" s="1">
        <v>845</v>
      </c>
      <c r="B846" s="1">
        <v>2013</v>
      </c>
      <c r="C846" s="1" t="s">
        <v>31</v>
      </c>
      <c r="D846" s="8" t="s">
        <v>37</v>
      </c>
      <c r="E846" s="8" t="s">
        <v>371</v>
      </c>
      <c r="F846" s="1" t="s">
        <v>32</v>
      </c>
      <c r="G846" s="8">
        <v>113</v>
      </c>
      <c r="H846" s="8"/>
      <c r="I846" s="12">
        <v>9.31</v>
      </c>
      <c r="J846" s="7">
        <v>26.6</v>
      </c>
      <c r="K846" s="13"/>
      <c r="L846" s="14">
        <v>3355</v>
      </c>
      <c r="M846" s="14"/>
      <c r="N846" s="14">
        <v>31287</v>
      </c>
      <c r="O846" s="13">
        <v>32.299999999999997</v>
      </c>
      <c r="P846" s="13">
        <v>8.1</v>
      </c>
      <c r="Q846" s="13">
        <v>41</v>
      </c>
      <c r="R846" s="13">
        <v>53</v>
      </c>
      <c r="S846" s="13"/>
      <c r="T846" s="13"/>
      <c r="U846" s="13">
        <v>31.7</v>
      </c>
      <c r="V846" s="13">
        <v>5.8</v>
      </c>
      <c r="W846" s="7">
        <v>0.73</v>
      </c>
      <c r="X846" s="15"/>
      <c r="Y846" s="15"/>
      <c r="Z846" s="7">
        <v>2.0099999999999998</v>
      </c>
      <c r="AB846" s="16"/>
      <c r="AD846" s="16"/>
      <c r="AE846" s="1">
        <v>1</v>
      </c>
    </row>
    <row r="847" spans="1:31" x14ac:dyDescent="0.2">
      <c r="A847" s="1">
        <v>846</v>
      </c>
      <c r="B847" s="1">
        <v>2020</v>
      </c>
      <c r="C847" s="1" t="s">
        <v>31</v>
      </c>
      <c r="D847" s="1" t="s">
        <v>37</v>
      </c>
      <c r="E847" s="1" t="s">
        <v>789</v>
      </c>
      <c r="F847" s="1" t="s">
        <v>83</v>
      </c>
      <c r="G847" s="1">
        <v>135</v>
      </c>
      <c r="H847" s="1" t="s">
        <v>754</v>
      </c>
      <c r="I847" s="12">
        <v>5.4876227174870005</v>
      </c>
      <c r="J847" s="12">
        <v>15.678922050000001</v>
      </c>
      <c r="L847" s="16">
        <v>3355.5194035690001</v>
      </c>
      <c r="M847" s="16" t="s">
        <v>34</v>
      </c>
      <c r="N847" s="16">
        <v>18409.223638642001</v>
      </c>
      <c r="O847" s="15">
        <v>27.742577400000002</v>
      </c>
      <c r="P847" s="15">
        <v>10.0975</v>
      </c>
      <c r="Q847" s="15">
        <v>48.222499999999997</v>
      </c>
      <c r="R847" s="15">
        <v>47.647500000000001</v>
      </c>
      <c r="S847" s="15"/>
      <c r="T847" s="15">
        <v>25.842500000000001</v>
      </c>
      <c r="U847" s="15">
        <v>23.342500000000001</v>
      </c>
      <c r="V847" s="15">
        <v>6.4124999999999996</v>
      </c>
      <c r="W847" s="12">
        <v>0.70818529799999996</v>
      </c>
      <c r="X847" s="15"/>
      <c r="Y847" s="15">
        <v>72.379703000000006</v>
      </c>
      <c r="Z847" s="12"/>
      <c r="AA847" s="15">
        <v>0</v>
      </c>
      <c r="AB847" s="16">
        <f>AA847*33.334</f>
        <v>0</v>
      </c>
      <c r="AD847" s="16"/>
      <c r="AE847" s="1">
        <v>1</v>
      </c>
    </row>
    <row r="848" spans="1:31" x14ac:dyDescent="0.2">
      <c r="A848" s="1">
        <v>847</v>
      </c>
      <c r="B848" s="1">
        <v>2020</v>
      </c>
      <c r="C848" s="1" t="s">
        <v>31</v>
      </c>
      <c r="D848" s="8" t="s">
        <v>874</v>
      </c>
      <c r="E848" s="1" t="s">
        <v>726</v>
      </c>
      <c r="F848" s="1" t="s">
        <v>32</v>
      </c>
      <c r="G848" s="1">
        <v>118</v>
      </c>
      <c r="H848" s="1" t="s">
        <v>754</v>
      </c>
      <c r="I848" s="12">
        <v>9.3964999263855002</v>
      </c>
      <c r="J848" s="12">
        <v>26.841784995000001</v>
      </c>
      <c r="K848" s="1" t="s">
        <v>754</v>
      </c>
      <c r="L848" s="16">
        <v>3355.5912237849998</v>
      </c>
      <c r="M848" s="16" t="s">
        <v>34</v>
      </c>
      <c r="N848" s="16">
        <v>31541.352509390999</v>
      </c>
      <c r="O848" s="10">
        <v>46.579934899999998</v>
      </c>
      <c r="P848" s="15">
        <v>7.95</v>
      </c>
      <c r="Q848" s="15">
        <v>42.412500000000001</v>
      </c>
      <c r="R848" s="15">
        <v>48.871729623</v>
      </c>
      <c r="S848" s="15"/>
      <c r="T848" s="15">
        <v>23.1175</v>
      </c>
      <c r="U848" s="15">
        <v>30.954999999999998</v>
      </c>
      <c r="V848" s="15">
        <v>5.1482304000000001</v>
      </c>
      <c r="W848" s="12">
        <v>0.69807384299999997</v>
      </c>
      <c r="X848" s="15"/>
      <c r="Y848" s="15">
        <v>73.721180527000001</v>
      </c>
      <c r="Z848" s="12"/>
      <c r="AA848" s="15">
        <v>1.25</v>
      </c>
      <c r="AB848" s="16">
        <f>AA848*33.334</f>
        <v>41.667500000000004</v>
      </c>
      <c r="AD848" s="16"/>
      <c r="AE848" s="1">
        <v>1</v>
      </c>
    </row>
    <row r="849" spans="1:31" x14ac:dyDescent="0.2">
      <c r="A849" s="1">
        <v>848</v>
      </c>
      <c r="B849" s="1">
        <v>2016</v>
      </c>
      <c r="C849" s="1" t="s">
        <v>88</v>
      </c>
      <c r="D849" s="8" t="s">
        <v>246</v>
      </c>
      <c r="E849" s="8" t="s">
        <v>579</v>
      </c>
      <c r="F849" s="1" t="s">
        <v>32</v>
      </c>
      <c r="I849" s="12">
        <v>7.0250000000000004</v>
      </c>
      <c r="J849" s="7">
        <v>20.071428571428601</v>
      </c>
      <c r="K849" s="1" t="s">
        <v>34</v>
      </c>
      <c r="L849" s="5">
        <v>3356</v>
      </c>
      <c r="N849" s="5">
        <v>23600.875</v>
      </c>
      <c r="O849" s="6">
        <v>29.557500000000001</v>
      </c>
      <c r="P849" s="6">
        <v>6.0075000000000003</v>
      </c>
      <c r="Q849" s="6">
        <v>51.435000000000002</v>
      </c>
      <c r="R849" s="6">
        <v>55</v>
      </c>
      <c r="S849" s="6"/>
      <c r="T849" s="6">
        <v>32.912500000000001</v>
      </c>
      <c r="U849" s="6">
        <v>19.18</v>
      </c>
      <c r="V849" s="6">
        <v>9.6074999999999999</v>
      </c>
      <c r="W849" s="7">
        <v>0.66</v>
      </c>
      <c r="X849" s="13"/>
      <c r="Y849" s="6">
        <v>65.2</v>
      </c>
      <c r="Z849" s="3">
        <v>1.9838174099999999</v>
      </c>
      <c r="AA849" s="13">
        <v>2.25</v>
      </c>
      <c r="AB849" s="16">
        <f>AA849*10</f>
        <v>22.5</v>
      </c>
      <c r="AC849" s="13">
        <v>1.25</v>
      </c>
      <c r="AD849" s="16">
        <f>AC849*10</f>
        <v>12.5</v>
      </c>
      <c r="AE849" s="1">
        <v>1</v>
      </c>
    </row>
    <row r="850" spans="1:31" x14ac:dyDescent="0.2">
      <c r="A850" s="1">
        <v>849</v>
      </c>
      <c r="B850" s="1">
        <v>2013</v>
      </c>
      <c r="C850" s="1" t="s">
        <v>31</v>
      </c>
      <c r="D850" s="1" t="s">
        <v>916</v>
      </c>
      <c r="E850" s="8" t="s">
        <v>363</v>
      </c>
      <c r="F850" s="1" t="s">
        <v>32</v>
      </c>
      <c r="G850" s="8">
        <v>118</v>
      </c>
      <c r="H850" s="8"/>
      <c r="I850" s="12">
        <v>9.14</v>
      </c>
      <c r="J850" s="7">
        <v>26.1142857142857</v>
      </c>
      <c r="K850" s="13"/>
      <c r="L850" s="14">
        <v>3357</v>
      </c>
      <c r="M850" s="8"/>
      <c r="N850" s="14">
        <v>30699</v>
      </c>
      <c r="O850" s="13">
        <v>35</v>
      </c>
      <c r="P850" s="13">
        <v>7.3</v>
      </c>
      <c r="Q850" s="13">
        <v>35.700000000000003</v>
      </c>
      <c r="R850" s="13">
        <v>51.1</v>
      </c>
      <c r="S850" s="13" t="s">
        <v>89</v>
      </c>
      <c r="T850" s="13"/>
      <c r="U850" s="13">
        <v>39.299999999999997</v>
      </c>
      <c r="V850" s="13">
        <v>3.3</v>
      </c>
      <c r="W850" s="7">
        <v>0.75</v>
      </c>
      <c r="X850" s="15" t="s">
        <v>89</v>
      </c>
      <c r="Y850" s="15" t="s">
        <v>89</v>
      </c>
      <c r="Z850" s="7">
        <v>1.66</v>
      </c>
      <c r="AB850" s="16"/>
      <c r="AD850" s="16"/>
      <c r="AE850" s="1">
        <v>1</v>
      </c>
    </row>
    <row r="851" spans="1:31" x14ac:dyDescent="0.2">
      <c r="A851" s="1">
        <v>850</v>
      </c>
      <c r="B851" s="1">
        <v>2013</v>
      </c>
      <c r="C851" s="1" t="s">
        <v>31</v>
      </c>
      <c r="D851" s="22" t="s">
        <v>917</v>
      </c>
      <c r="E851" s="8" t="s">
        <v>376</v>
      </c>
      <c r="F851" s="1" t="s">
        <v>32</v>
      </c>
      <c r="G851" s="8">
        <v>115</v>
      </c>
      <c r="H851" s="8"/>
      <c r="I851" s="12">
        <v>9.31</v>
      </c>
      <c r="J851" s="7">
        <v>26.6</v>
      </c>
      <c r="K851" s="13"/>
      <c r="L851" s="14">
        <v>3357</v>
      </c>
      <c r="M851" s="14"/>
      <c r="N851" s="14">
        <v>31239</v>
      </c>
      <c r="O851" s="13">
        <v>33.6</v>
      </c>
      <c r="P851" s="13">
        <v>7.4</v>
      </c>
      <c r="Q851" s="13">
        <v>37.799999999999997</v>
      </c>
      <c r="R851" s="13">
        <v>53</v>
      </c>
      <c r="S851" s="13"/>
      <c r="T851" s="13"/>
      <c r="U851" s="13">
        <v>38.9</v>
      </c>
      <c r="V851" s="13">
        <v>3.6</v>
      </c>
      <c r="W851" s="7">
        <v>0.74</v>
      </c>
      <c r="X851" s="15"/>
      <c r="Y851" s="15"/>
      <c r="Z851" s="7">
        <v>1.86</v>
      </c>
      <c r="AB851" s="16"/>
      <c r="AD851" s="16"/>
      <c r="AE851" s="1">
        <v>1</v>
      </c>
    </row>
    <row r="852" spans="1:31" x14ac:dyDescent="0.2">
      <c r="A852" s="1">
        <v>851</v>
      </c>
      <c r="B852" s="1">
        <v>2016</v>
      </c>
      <c r="C852" s="1" t="s">
        <v>96</v>
      </c>
      <c r="D852" s="1" t="s">
        <v>332</v>
      </c>
      <c r="E852" s="1" t="s">
        <v>587</v>
      </c>
      <c r="F852" s="1" t="s">
        <v>83</v>
      </c>
      <c r="I852" s="12">
        <v>5.3291275000000002</v>
      </c>
      <c r="J852" s="3">
        <v>15.226078599999999</v>
      </c>
      <c r="K852" s="1" t="s">
        <v>34</v>
      </c>
      <c r="L852" s="5">
        <v>3358</v>
      </c>
      <c r="N852" s="5">
        <v>17895.616099999999</v>
      </c>
      <c r="O852" s="6">
        <v>30.0363036</v>
      </c>
      <c r="P852" s="6">
        <v>6.87</v>
      </c>
      <c r="Q852" s="6">
        <v>49.34</v>
      </c>
      <c r="R852" s="6">
        <v>50.817500000000003</v>
      </c>
      <c r="S852" s="6">
        <v>19.59</v>
      </c>
      <c r="T852" s="6"/>
      <c r="U852" s="15">
        <v>18.8</v>
      </c>
      <c r="V852" s="15">
        <v>11.79</v>
      </c>
      <c r="W852" s="3">
        <v>0.66700000000000004</v>
      </c>
      <c r="X852" s="6"/>
      <c r="Y852" s="6">
        <v>64.5</v>
      </c>
      <c r="Z852" s="3">
        <v>1.3072926300000001</v>
      </c>
      <c r="AA852" s="6">
        <v>5</v>
      </c>
      <c r="AB852" s="16">
        <f>AA852*10</f>
        <v>50</v>
      </c>
      <c r="AC852" s="6">
        <v>8</v>
      </c>
      <c r="AD852" s="16">
        <f>AC852*10</f>
        <v>80</v>
      </c>
      <c r="AE852" s="1">
        <v>0</v>
      </c>
    </row>
    <row r="853" spans="1:31" x14ac:dyDescent="0.2">
      <c r="A853" s="1">
        <v>852</v>
      </c>
      <c r="B853" s="1">
        <v>2008</v>
      </c>
      <c r="C853" s="1" t="s">
        <v>31</v>
      </c>
      <c r="D853" s="8" t="s">
        <v>35</v>
      </c>
      <c r="E853" s="8">
        <v>9505</v>
      </c>
      <c r="F853" s="8" t="s">
        <v>32</v>
      </c>
      <c r="G853" s="8"/>
      <c r="H853" s="8"/>
      <c r="I853" s="12">
        <v>8.1</v>
      </c>
      <c r="J853" s="7">
        <v>29.2</v>
      </c>
      <c r="K853" s="13"/>
      <c r="L853" s="14">
        <v>3358</v>
      </c>
      <c r="M853" s="14"/>
      <c r="N853" s="14">
        <v>27223</v>
      </c>
      <c r="O853" s="13">
        <v>31.4</v>
      </c>
      <c r="P853" s="13">
        <v>8.1999999999999993</v>
      </c>
      <c r="Q853" s="13">
        <v>47.9</v>
      </c>
      <c r="R853" s="13">
        <v>66.2</v>
      </c>
      <c r="S853" s="13"/>
      <c r="T853" s="13"/>
      <c r="U853" s="13">
        <v>24.2</v>
      </c>
      <c r="V853" s="13"/>
      <c r="W853" s="13"/>
      <c r="X853" s="15"/>
      <c r="Y853" s="13">
        <v>73.099999999999994</v>
      </c>
      <c r="Z853" s="7">
        <v>2.57</v>
      </c>
      <c r="AB853" s="16"/>
      <c r="AD853" s="16"/>
      <c r="AE853" s="1">
        <v>1</v>
      </c>
    </row>
    <row r="854" spans="1:31" x14ac:dyDescent="0.2">
      <c r="A854" s="1">
        <v>853</v>
      </c>
      <c r="B854" s="1">
        <v>2008</v>
      </c>
      <c r="C854" s="1" t="s">
        <v>31</v>
      </c>
      <c r="D854" s="8" t="s">
        <v>56</v>
      </c>
      <c r="E854" s="8" t="s">
        <v>62</v>
      </c>
      <c r="F854" s="8" t="s">
        <v>32</v>
      </c>
      <c r="G854" s="8"/>
      <c r="H854" s="8"/>
      <c r="I854" s="12">
        <v>9.2200000000000006</v>
      </c>
      <c r="J854" s="7">
        <v>26.342857142857145</v>
      </c>
      <c r="K854" s="13"/>
      <c r="L854" s="14">
        <v>3360</v>
      </c>
      <c r="M854" s="14"/>
      <c r="N854" s="14">
        <v>30946</v>
      </c>
      <c r="O854" s="13">
        <v>35.1</v>
      </c>
      <c r="P854" s="13">
        <v>7.9</v>
      </c>
      <c r="Q854" s="13">
        <v>45.1</v>
      </c>
      <c r="R854" s="13">
        <v>67.5</v>
      </c>
      <c r="S854" s="13"/>
      <c r="T854" s="13"/>
      <c r="U854" s="13">
        <v>30.4</v>
      </c>
      <c r="V854" s="13"/>
      <c r="W854" s="13"/>
      <c r="X854" s="15"/>
      <c r="Y854" s="13">
        <v>73.2</v>
      </c>
      <c r="Z854" s="7">
        <v>2.81</v>
      </c>
      <c r="AB854" s="16"/>
      <c r="AD854" s="16"/>
      <c r="AE854" s="1">
        <v>1</v>
      </c>
    </row>
    <row r="855" spans="1:31" x14ac:dyDescent="0.2">
      <c r="A855" s="1">
        <v>854</v>
      </c>
      <c r="B855" s="1">
        <v>2008</v>
      </c>
      <c r="C855" s="1" t="s">
        <v>31</v>
      </c>
      <c r="D855" s="8" t="s">
        <v>35</v>
      </c>
      <c r="E855" s="8">
        <v>9860</v>
      </c>
      <c r="F855" s="8" t="s">
        <v>32</v>
      </c>
      <c r="G855" s="8"/>
      <c r="H855" s="8"/>
      <c r="I855" s="12">
        <v>7.87</v>
      </c>
      <c r="J855" s="7">
        <v>29.1</v>
      </c>
      <c r="K855" s="13"/>
      <c r="L855" s="14">
        <v>3361</v>
      </c>
      <c r="M855" s="14"/>
      <c r="N855" s="14">
        <v>26467</v>
      </c>
      <c r="O855" s="13">
        <v>36.299999999999997</v>
      </c>
      <c r="P855" s="13">
        <v>9.1</v>
      </c>
      <c r="Q855" s="13">
        <v>38.700000000000003</v>
      </c>
      <c r="R855" s="13">
        <v>63.7</v>
      </c>
      <c r="S855" s="13"/>
      <c r="T855" s="13"/>
      <c r="U855" s="13">
        <v>36.200000000000003</v>
      </c>
      <c r="V855" s="13"/>
      <c r="W855" s="13"/>
      <c r="X855" s="15"/>
      <c r="Y855" s="13">
        <v>72.5</v>
      </c>
      <c r="Z855" s="7">
        <v>1.94</v>
      </c>
      <c r="AB855" s="16"/>
      <c r="AD855" s="16"/>
      <c r="AE855" s="1">
        <v>1</v>
      </c>
    </row>
    <row r="856" spans="1:31" x14ac:dyDescent="0.2">
      <c r="A856" s="1">
        <v>855</v>
      </c>
      <c r="B856" s="1">
        <v>2015</v>
      </c>
      <c r="C856" s="8" t="s">
        <v>31</v>
      </c>
      <c r="D856" s="1" t="s">
        <v>916</v>
      </c>
      <c r="E856" s="8">
        <v>903</v>
      </c>
      <c r="F856" s="1" t="s">
        <v>32</v>
      </c>
      <c r="G856" s="8">
        <v>118</v>
      </c>
      <c r="I856" s="12">
        <v>8.73</v>
      </c>
      <c r="J856" s="7">
        <v>24.942857142857147</v>
      </c>
      <c r="L856" s="14">
        <v>3361</v>
      </c>
      <c r="N856" s="14">
        <v>29368</v>
      </c>
      <c r="O856" s="13">
        <v>32.299999999999997</v>
      </c>
      <c r="P856" s="13">
        <v>7.3</v>
      </c>
      <c r="Q856" s="13">
        <v>44.5</v>
      </c>
      <c r="R856" s="13">
        <v>53.8</v>
      </c>
      <c r="S856" s="8"/>
      <c r="T856" s="13">
        <v>28.6</v>
      </c>
      <c r="U856" s="13">
        <v>30.1</v>
      </c>
      <c r="V856" s="13">
        <v>3.1</v>
      </c>
      <c r="W856" s="7">
        <v>0.72</v>
      </c>
      <c r="X856" s="13"/>
      <c r="Y856" s="13">
        <v>71.900000000000006</v>
      </c>
      <c r="Z856" s="7">
        <v>2.09</v>
      </c>
      <c r="AA856" s="1" t="s">
        <v>89</v>
      </c>
      <c r="AB856" s="16" t="s">
        <v>89</v>
      </c>
      <c r="AC856" s="1" t="s">
        <v>89</v>
      </c>
      <c r="AD856" s="16" t="s">
        <v>89</v>
      </c>
      <c r="AE856" s="1">
        <v>1</v>
      </c>
    </row>
    <row r="857" spans="1:31" x14ac:dyDescent="0.2">
      <c r="A857" s="1">
        <v>856</v>
      </c>
      <c r="B857" s="1">
        <v>2008</v>
      </c>
      <c r="C857" s="1" t="s">
        <v>31</v>
      </c>
      <c r="D857" s="1" t="s">
        <v>916</v>
      </c>
      <c r="E857" s="8" t="s">
        <v>66</v>
      </c>
      <c r="F857" s="8" t="s">
        <v>32</v>
      </c>
      <c r="G857" s="8"/>
      <c r="H857" s="8"/>
      <c r="I857" s="12">
        <v>9.74</v>
      </c>
      <c r="J857" s="7">
        <v>27.828571428571429</v>
      </c>
      <c r="K857" s="13"/>
      <c r="L857" s="14">
        <v>3363</v>
      </c>
      <c r="M857" s="14"/>
      <c r="N857" s="14">
        <v>32788</v>
      </c>
      <c r="O857" s="13">
        <v>29.6</v>
      </c>
      <c r="P857" s="13">
        <v>7.7</v>
      </c>
      <c r="Q857" s="13">
        <v>49.5</v>
      </c>
      <c r="R857" s="13">
        <v>67.7</v>
      </c>
      <c r="S857" s="13"/>
      <c r="T857" s="13"/>
      <c r="U857" s="13">
        <v>24.4</v>
      </c>
      <c r="V857" s="13"/>
      <c r="W857" s="13"/>
      <c r="X857" s="15"/>
      <c r="Y857" s="13">
        <v>73.400000000000006</v>
      </c>
      <c r="Z857" s="7">
        <v>3.26</v>
      </c>
      <c r="AB857" s="16"/>
      <c r="AD857" s="16"/>
      <c r="AE857" s="1">
        <v>1</v>
      </c>
    </row>
    <row r="858" spans="1:31" x14ac:dyDescent="0.2">
      <c r="A858" s="1">
        <v>857</v>
      </c>
      <c r="B858" s="1">
        <v>2014</v>
      </c>
      <c r="C858" s="1" t="s">
        <v>31</v>
      </c>
      <c r="D858" s="1" t="s">
        <v>37</v>
      </c>
      <c r="E858" s="1" t="s">
        <v>435</v>
      </c>
      <c r="F858" s="1" t="s">
        <v>32</v>
      </c>
      <c r="G858" s="1">
        <v>117</v>
      </c>
      <c r="I858" s="12">
        <v>10.6</v>
      </c>
      <c r="J858" s="12">
        <v>30.3</v>
      </c>
      <c r="L858" s="16">
        <v>3363</v>
      </c>
      <c r="M858" s="1" t="s">
        <v>34</v>
      </c>
      <c r="N858" s="16">
        <v>35585</v>
      </c>
      <c r="O858" s="15">
        <v>32.799999999999997</v>
      </c>
      <c r="P858" s="15">
        <v>7.9</v>
      </c>
      <c r="Q858" s="15">
        <v>42.7</v>
      </c>
      <c r="R858" s="15">
        <v>56</v>
      </c>
      <c r="T858" s="15"/>
      <c r="U858" s="15">
        <v>29.8</v>
      </c>
      <c r="V858" s="15">
        <v>5.8</v>
      </c>
      <c r="W858" s="12">
        <v>0.71</v>
      </c>
      <c r="X858" s="15"/>
      <c r="Y858" s="15">
        <v>69</v>
      </c>
      <c r="Z858" s="12">
        <v>2.5499999999999998</v>
      </c>
      <c r="AB858" s="16"/>
      <c r="AD858" s="16"/>
      <c r="AE858" s="1">
        <v>1</v>
      </c>
    </row>
    <row r="859" spans="1:31" x14ac:dyDescent="0.2">
      <c r="A859" s="1">
        <v>858</v>
      </c>
      <c r="B859" s="1">
        <v>2012</v>
      </c>
      <c r="C859" s="1" t="s">
        <v>31</v>
      </c>
      <c r="D859" s="22" t="s">
        <v>917</v>
      </c>
      <c r="E859" s="1" t="s">
        <v>298</v>
      </c>
      <c r="F859" s="1" t="s">
        <v>83</v>
      </c>
      <c r="I859" s="12">
        <v>5.55</v>
      </c>
      <c r="J859" s="12">
        <v>15.9</v>
      </c>
      <c r="K859" s="1" t="s">
        <v>34</v>
      </c>
      <c r="L859" s="16">
        <v>3364</v>
      </c>
      <c r="N859" s="16">
        <v>18704</v>
      </c>
      <c r="O859" s="15">
        <v>34.4</v>
      </c>
      <c r="P859" s="15">
        <v>7.77</v>
      </c>
      <c r="Q859" s="15">
        <v>41.1</v>
      </c>
      <c r="R859" s="15">
        <v>57.9</v>
      </c>
      <c r="T859" s="15"/>
      <c r="U859" s="15">
        <v>40.299999999999997</v>
      </c>
      <c r="V859" s="15">
        <v>3.2</v>
      </c>
      <c r="W859" s="12">
        <v>0.73</v>
      </c>
      <c r="X859" s="15"/>
      <c r="Y859" s="15"/>
      <c r="Z859" s="12">
        <v>1.32</v>
      </c>
      <c r="AB859" s="16"/>
      <c r="AD859" s="16"/>
      <c r="AE859" s="1">
        <v>1</v>
      </c>
    </row>
    <row r="860" spans="1:31" x14ac:dyDescent="0.2">
      <c r="A860" s="1">
        <v>859</v>
      </c>
      <c r="B860" s="1">
        <v>2009</v>
      </c>
      <c r="C860" s="1" t="s">
        <v>31</v>
      </c>
      <c r="D860" s="1" t="s">
        <v>916</v>
      </c>
      <c r="E860" s="8" t="s">
        <v>136</v>
      </c>
      <c r="F860" s="1" t="s">
        <v>32</v>
      </c>
      <c r="I860" s="12">
        <v>7.25</v>
      </c>
      <c r="J860" s="7">
        <v>20.714285714285701</v>
      </c>
      <c r="L860" s="14">
        <v>3364</v>
      </c>
      <c r="N860" s="14">
        <v>24412</v>
      </c>
      <c r="O860" s="13">
        <v>27.7</v>
      </c>
      <c r="P860" s="13">
        <v>9.6</v>
      </c>
      <c r="Q860" s="13">
        <v>45.4</v>
      </c>
      <c r="R860" s="13">
        <v>58.2</v>
      </c>
      <c r="S860" s="13"/>
      <c r="T860" s="15" t="s">
        <v>89</v>
      </c>
      <c r="U860" s="13">
        <v>30.6</v>
      </c>
      <c r="V860" s="13">
        <v>7.1</v>
      </c>
      <c r="W860" s="12" t="s">
        <v>89</v>
      </c>
      <c r="X860" s="15"/>
      <c r="Y860" s="13">
        <v>72.5</v>
      </c>
      <c r="Z860" s="7">
        <v>1.91</v>
      </c>
      <c r="AB860" s="16"/>
      <c r="AD860" s="16"/>
      <c r="AE860" s="1">
        <v>1</v>
      </c>
    </row>
    <row r="861" spans="1:31" x14ac:dyDescent="0.2">
      <c r="A861" s="1">
        <v>860</v>
      </c>
      <c r="B861" s="1">
        <v>2008</v>
      </c>
      <c r="C861" s="1" t="s">
        <v>31</v>
      </c>
      <c r="D861" s="8" t="s">
        <v>1024</v>
      </c>
      <c r="E861" s="8">
        <v>9691</v>
      </c>
      <c r="F861" s="8" t="s">
        <v>83</v>
      </c>
      <c r="G861" s="8"/>
      <c r="H861" s="8"/>
      <c r="I861" s="12">
        <v>4.4800000000000004</v>
      </c>
      <c r="J861" s="7">
        <v>12.800000000000002</v>
      </c>
      <c r="K861" s="13" t="s">
        <v>34</v>
      </c>
      <c r="L861" s="14">
        <v>3365</v>
      </c>
      <c r="M861" s="14"/>
      <c r="N861" s="14">
        <v>15060</v>
      </c>
      <c r="O861" s="13">
        <v>30.2</v>
      </c>
      <c r="P861" s="13">
        <v>11</v>
      </c>
      <c r="Q861" s="13">
        <v>37.6</v>
      </c>
      <c r="R861" s="13">
        <v>46.7</v>
      </c>
      <c r="S861" s="13"/>
      <c r="T861" s="13">
        <v>20</v>
      </c>
      <c r="U861" s="13">
        <v>29.5</v>
      </c>
      <c r="V861" s="15"/>
      <c r="X861" s="15"/>
      <c r="Y861" s="13">
        <v>71.7</v>
      </c>
      <c r="Z861" s="7">
        <v>0.79</v>
      </c>
      <c r="AB861" s="16"/>
      <c r="AD861" s="16"/>
      <c r="AE861" s="1">
        <v>1</v>
      </c>
    </row>
    <row r="862" spans="1:31" x14ac:dyDescent="0.2">
      <c r="A862" s="1">
        <v>861</v>
      </c>
      <c r="B862" s="1">
        <v>2016</v>
      </c>
      <c r="C862" s="1" t="s">
        <v>31</v>
      </c>
      <c r="D862" s="8" t="s">
        <v>291</v>
      </c>
      <c r="E862" s="8" t="s">
        <v>535</v>
      </c>
      <c r="F862" s="1" t="s">
        <v>32</v>
      </c>
      <c r="G862" s="8">
        <v>120</v>
      </c>
      <c r="I862" s="12">
        <v>9.07</v>
      </c>
      <c r="J862" s="7">
        <v>25.9142857142857</v>
      </c>
      <c r="K862" s="1" t="s">
        <v>34</v>
      </c>
      <c r="L862" s="14">
        <v>3365</v>
      </c>
      <c r="N862" s="14">
        <v>30594</v>
      </c>
      <c r="O862" s="13">
        <v>34.700000000000003</v>
      </c>
      <c r="P862" s="13">
        <v>7.8</v>
      </c>
      <c r="Q862" s="13">
        <v>42.1</v>
      </c>
      <c r="R862" s="13">
        <v>54.9</v>
      </c>
      <c r="S862" s="13"/>
      <c r="T862" s="13">
        <v>24.4</v>
      </c>
      <c r="U862" s="13">
        <v>32.6</v>
      </c>
      <c r="V862" s="13">
        <v>3.4</v>
      </c>
      <c r="W862" s="7">
        <v>0.73</v>
      </c>
      <c r="X862" s="13"/>
      <c r="Y862" s="13">
        <v>71.599999999999994</v>
      </c>
      <c r="Z862" s="7">
        <v>2.08</v>
      </c>
      <c r="AA862" s="15" t="s">
        <v>89</v>
      </c>
      <c r="AB862" s="16"/>
      <c r="AD862" s="16"/>
      <c r="AE862" s="1">
        <v>1</v>
      </c>
    </row>
    <row r="863" spans="1:31" x14ac:dyDescent="0.2">
      <c r="A863" s="1">
        <v>862</v>
      </c>
      <c r="B863" s="1">
        <v>2019</v>
      </c>
      <c r="C863" s="1" t="s">
        <v>31</v>
      </c>
      <c r="D863" s="1" t="s">
        <v>719</v>
      </c>
      <c r="E863" s="1" t="s">
        <v>723</v>
      </c>
      <c r="F863" s="1" t="s">
        <v>32</v>
      </c>
      <c r="I863" s="12">
        <v>8.1</v>
      </c>
      <c r="J863" s="7">
        <v>23.3</v>
      </c>
      <c r="L863" s="5">
        <v>3367.75</v>
      </c>
      <c r="N863" s="5">
        <v>27212</v>
      </c>
      <c r="O863" s="6">
        <v>30.18</v>
      </c>
      <c r="P863" s="6">
        <v>8.5850000000000009</v>
      </c>
      <c r="Q863" s="6">
        <v>44.2</v>
      </c>
      <c r="R863" s="6">
        <v>55.984999999999999</v>
      </c>
      <c r="S863" s="3"/>
      <c r="T863" s="6">
        <v>25.6</v>
      </c>
      <c r="U863" s="6">
        <v>30.675000000000001</v>
      </c>
      <c r="V863" s="6">
        <v>9.2174999999999994</v>
      </c>
      <c r="W863" s="3">
        <v>0.71032499999999998</v>
      </c>
      <c r="X863" s="6"/>
      <c r="Y863" s="6">
        <v>68.682500000000005</v>
      </c>
      <c r="Z863" s="3">
        <v>2.0499999999999998</v>
      </c>
      <c r="AB863" s="16"/>
      <c r="AD863" s="16"/>
      <c r="AE863" s="1">
        <v>1</v>
      </c>
    </row>
    <row r="864" spans="1:31" x14ac:dyDescent="0.2">
      <c r="A864" s="1">
        <v>863</v>
      </c>
      <c r="B864" s="1">
        <v>2019</v>
      </c>
      <c r="C864" s="1" t="s">
        <v>88</v>
      </c>
      <c r="D864" s="8" t="s">
        <v>187</v>
      </c>
      <c r="E864" s="8">
        <v>19175</v>
      </c>
      <c r="F864" s="1" t="s">
        <v>32</v>
      </c>
      <c r="I864" s="12">
        <v>5.83</v>
      </c>
      <c r="J864" s="3">
        <v>16.6525</v>
      </c>
      <c r="K864" s="1" t="s">
        <v>34</v>
      </c>
      <c r="L864" s="5">
        <v>3368.5</v>
      </c>
      <c r="N864" s="5">
        <v>19664.5</v>
      </c>
      <c r="O864" s="6">
        <v>35.085000000000001</v>
      </c>
      <c r="P864" s="6">
        <v>6.8224999999999998</v>
      </c>
      <c r="Q864" s="6">
        <v>39.97</v>
      </c>
      <c r="R864" s="6">
        <v>36.842500000000001</v>
      </c>
      <c r="S864" s="3"/>
      <c r="T864" s="6">
        <v>29.357500000000002</v>
      </c>
      <c r="U864" s="6">
        <v>25.65</v>
      </c>
      <c r="V864" s="6">
        <v>8.6199999999999992</v>
      </c>
      <c r="W864" s="3">
        <v>0.73499999999999999</v>
      </c>
      <c r="X864" s="6"/>
      <c r="Y864" s="6">
        <v>63.6</v>
      </c>
      <c r="Z864" s="3">
        <v>0.85499999999999998</v>
      </c>
      <c r="AB864" s="16"/>
      <c r="AC864" s="6">
        <v>1</v>
      </c>
      <c r="AD864" s="16">
        <f>AC864*10</f>
        <v>10</v>
      </c>
      <c r="AE864" s="1">
        <v>1</v>
      </c>
    </row>
    <row r="865" spans="1:31" x14ac:dyDescent="0.2">
      <c r="A865" s="1">
        <v>864</v>
      </c>
      <c r="B865" s="1">
        <v>2008</v>
      </c>
      <c r="C865" s="1" t="s">
        <v>31</v>
      </c>
      <c r="D865" s="1" t="s">
        <v>916</v>
      </c>
      <c r="E865" s="8" t="s">
        <v>63</v>
      </c>
      <c r="F865" s="8" t="s">
        <v>32</v>
      </c>
      <c r="G865" s="8"/>
      <c r="H865" s="8"/>
      <c r="I865" s="12">
        <v>8.65</v>
      </c>
      <c r="J865" s="7">
        <v>24.714285714285715</v>
      </c>
      <c r="K865" s="13"/>
      <c r="L865" s="14">
        <v>3369</v>
      </c>
      <c r="M865" s="14"/>
      <c r="N865" s="14">
        <v>29160</v>
      </c>
      <c r="O865" s="13">
        <v>28.1</v>
      </c>
      <c r="P865" s="13">
        <v>8</v>
      </c>
      <c r="Q865" s="13">
        <v>47.5</v>
      </c>
      <c r="R865" s="13">
        <v>65.7</v>
      </c>
      <c r="S865" s="13"/>
      <c r="T865" s="13"/>
      <c r="U865" s="13">
        <v>27.8</v>
      </c>
      <c r="V865" s="13"/>
      <c r="W865" s="13"/>
      <c r="X865" s="15"/>
      <c r="Y865" s="13">
        <v>73.099999999999994</v>
      </c>
      <c r="Z865" s="7">
        <v>2.7</v>
      </c>
      <c r="AB865" s="16"/>
      <c r="AD865" s="16"/>
      <c r="AE865" s="1">
        <v>1</v>
      </c>
    </row>
    <row r="866" spans="1:31" x14ac:dyDescent="0.2">
      <c r="A866" s="1">
        <v>865</v>
      </c>
      <c r="B866" s="1">
        <v>2021</v>
      </c>
      <c r="C866" s="1" t="s">
        <v>31</v>
      </c>
      <c r="D866" s="1" t="s">
        <v>555</v>
      </c>
      <c r="E866" s="1" t="s">
        <v>829</v>
      </c>
      <c r="F866" s="1" t="s">
        <v>32</v>
      </c>
      <c r="G866" s="1">
        <v>117</v>
      </c>
      <c r="H866" s="1" t="s">
        <v>89</v>
      </c>
      <c r="I866" s="12">
        <v>7.1609924811874999</v>
      </c>
      <c r="J866" s="12">
        <v>20.459978518</v>
      </c>
      <c r="K866" s="1" t="s">
        <v>89</v>
      </c>
      <c r="L866" s="16">
        <v>3370.2520004560001</v>
      </c>
      <c r="M866" s="16" t="s">
        <v>89</v>
      </c>
      <c r="N866" s="16">
        <v>23426.709178639001</v>
      </c>
      <c r="O866" s="15">
        <v>41.636202400000002</v>
      </c>
      <c r="P866" s="15">
        <v>7.9523607549999999</v>
      </c>
      <c r="Q866" s="15">
        <v>36.553968969000003</v>
      </c>
      <c r="R866" s="15">
        <v>57.663366736999997</v>
      </c>
      <c r="T866" s="15">
        <v>21.200048200000001</v>
      </c>
      <c r="U866" s="15">
        <v>43.470281681000003</v>
      </c>
      <c r="V866" s="15">
        <v>5.7123104549999999</v>
      </c>
      <c r="W866" s="12">
        <v>0.71034699982000005</v>
      </c>
      <c r="X866" s="15"/>
      <c r="Y866" s="15">
        <v>72.405108932999994</v>
      </c>
      <c r="Z866" s="12"/>
      <c r="AA866" s="15">
        <v>1.1471874360000001</v>
      </c>
      <c r="AB866" s="16">
        <f>AA866*33.334</f>
        <v>38.240345991624004</v>
      </c>
      <c r="AD866" s="16"/>
      <c r="AE866" s="1">
        <v>1</v>
      </c>
    </row>
    <row r="867" spans="1:31" x14ac:dyDescent="0.2">
      <c r="A867" s="1">
        <v>866</v>
      </c>
      <c r="B867" s="1">
        <v>2012</v>
      </c>
      <c r="C867" s="1" t="s">
        <v>31</v>
      </c>
      <c r="D867" s="1" t="s">
        <v>125</v>
      </c>
      <c r="E867" s="1" t="s">
        <v>322</v>
      </c>
      <c r="F867" s="1" t="s">
        <v>83</v>
      </c>
      <c r="I867" s="12">
        <v>5.25</v>
      </c>
      <c r="J867" s="12">
        <v>15</v>
      </c>
      <c r="K867" s="1" t="s">
        <v>34</v>
      </c>
      <c r="L867" s="16">
        <v>3371</v>
      </c>
      <c r="N867" s="16">
        <v>17718</v>
      </c>
      <c r="O867" s="15">
        <v>30.1</v>
      </c>
      <c r="P867" s="15">
        <v>7.65</v>
      </c>
      <c r="Q867" s="15">
        <v>45.1</v>
      </c>
      <c r="R867" s="15">
        <v>59.6</v>
      </c>
      <c r="T867" s="15"/>
      <c r="U867" s="15">
        <v>35.200000000000003</v>
      </c>
      <c r="V867" s="15">
        <v>3.7</v>
      </c>
      <c r="W867" s="12">
        <v>0.72</v>
      </c>
      <c r="X867" s="15"/>
      <c r="Y867" s="15"/>
      <c r="Z867" s="12">
        <v>1.41</v>
      </c>
      <c r="AB867" s="16"/>
      <c r="AD867" s="16"/>
      <c r="AE867" s="1">
        <v>1</v>
      </c>
    </row>
    <row r="868" spans="1:31" x14ac:dyDescent="0.2">
      <c r="A868" s="1">
        <v>867</v>
      </c>
      <c r="B868" s="1">
        <v>2015</v>
      </c>
      <c r="C868" s="8" t="s">
        <v>31</v>
      </c>
      <c r="D868" s="8" t="s">
        <v>71</v>
      </c>
      <c r="E868" s="8" t="s">
        <v>442</v>
      </c>
      <c r="F868" s="1" t="s">
        <v>83</v>
      </c>
      <c r="H868" s="1" t="s">
        <v>34</v>
      </c>
      <c r="I868" s="12">
        <v>7.3</v>
      </c>
      <c r="J868" s="7">
        <v>20.9</v>
      </c>
      <c r="L868" s="14">
        <v>3371</v>
      </c>
      <c r="N868" s="14">
        <v>24764</v>
      </c>
      <c r="O868" s="13">
        <v>31.6</v>
      </c>
      <c r="P868" s="13">
        <v>7.8</v>
      </c>
      <c r="Q868" s="13">
        <v>41.8</v>
      </c>
      <c r="R868" s="13">
        <v>48.8</v>
      </c>
      <c r="S868" s="8"/>
      <c r="T868" s="13">
        <v>26.3</v>
      </c>
      <c r="U868" s="13">
        <v>30.8</v>
      </c>
      <c r="V868" s="13">
        <v>4</v>
      </c>
      <c r="W868" s="7">
        <v>0.74</v>
      </c>
      <c r="X868" s="13"/>
      <c r="Y868" s="13">
        <v>70.900000000000006</v>
      </c>
      <c r="Z868" s="7">
        <v>1.47</v>
      </c>
      <c r="AA868" s="18">
        <v>2</v>
      </c>
      <c r="AB868" s="16">
        <f>AA868*10</f>
        <v>20</v>
      </c>
      <c r="AC868" s="15" t="s">
        <v>89</v>
      </c>
      <c r="AD868" s="16"/>
      <c r="AE868" s="1">
        <v>1</v>
      </c>
    </row>
    <row r="869" spans="1:31" x14ac:dyDescent="0.2">
      <c r="A869" s="1">
        <v>868</v>
      </c>
      <c r="B869" s="1">
        <v>2013</v>
      </c>
      <c r="C869" s="1" t="s">
        <v>31</v>
      </c>
      <c r="D869" s="8" t="s">
        <v>125</v>
      </c>
      <c r="E869" s="8">
        <v>630</v>
      </c>
      <c r="F869" s="1" t="s">
        <v>32</v>
      </c>
      <c r="G869" s="8">
        <v>115</v>
      </c>
      <c r="H869" s="8"/>
      <c r="I869" s="12">
        <v>8.17</v>
      </c>
      <c r="J869" s="7">
        <v>23.342857142857099</v>
      </c>
      <c r="K869" s="13"/>
      <c r="L869" s="14">
        <v>3371</v>
      </c>
      <c r="M869" s="14"/>
      <c r="N869" s="14">
        <v>27512</v>
      </c>
      <c r="O869" s="13">
        <v>29.7</v>
      </c>
      <c r="P869" s="13">
        <v>8.1</v>
      </c>
      <c r="Q869" s="13">
        <v>40.700000000000003</v>
      </c>
      <c r="R869" s="13">
        <v>53.6</v>
      </c>
      <c r="S869" s="13" t="s">
        <v>89</v>
      </c>
      <c r="T869" s="13"/>
      <c r="U869" s="13">
        <v>33.9</v>
      </c>
      <c r="V869" s="13">
        <v>4.5</v>
      </c>
      <c r="W869" s="7">
        <v>0.72</v>
      </c>
      <c r="X869" s="15" t="s">
        <v>89</v>
      </c>
      <c r="Y869" s="15" t="s">
        <v>89</v>
      </c>
      <c r="Z869" s="7">
        <v>1.78</v>
      </c>
      <c r="AB869" s="16"/>
      <c r="AD869" s="16"/>
      <c r="AE869" s="1">
        <v>1</v>
      </c>
    </row>
    <row r="870" spans="1:31" x14ac:dyDescent="0.2">
      <c r="A870" s="1">
        <v>869</v>
      </c>
      <c r="B870" s="1">
        <v>2017</v>
      </c>
      <c r="C870" s="1" t="s">
        <v>31</v>
      </c>
      <c r="D870" s="8" t="s">
        <v>71</v>
      </c>
      <c r="E870" s="8" t="s">
        <v>626</v>
      </c>
      <c r="F870" s="1" t="s">
        <v>32</v>
      </c>
      <c r="G870" s="1">
        <v>114</v>
      </c>
      <c r="I870" s="12">
        <v>8.5864068299999996</v>
      </c>
      <c r="J870" s="3">
        <v>24.532590899999999</v>
      </c>
      <c r="L870" s="5">
        <v>3372.5</v>
      </c>
      <c r="N870" s="5">
        <v>28947.723900000001</v>
      </c>
      <c r="O870" s="6">
        <v>28.859387300000002</v>
      </c>
      <c r="P870" s="6">
        <v>7.0925000000000002</v>
      </c>
      <c r="Q870" s="6">
        <v>42.347499999999997</v>
      </c>
      <c r="R870" s="6">
        <v>53.41</v>
      </c>
      <c r="S870" s="3"/>
      <c r="T870" s="6">
        <v>26.614999999999998</v>
      </c>
      <c r="U870" s="6">
        <v>34.482500000000002</v>
      </c>
      <c r="V870" s="6">
        <v>3.0874999999999999</v>
      </c>
      <c r="W870" s="3">
        <v>0.74738375000000001</v>
      </c>
      <c r="X870" s="6"/>
      <c r="Y870" s="6">
        <v>69.495000000000005</v>
      </c>
      <c r="Z870" s="3">
        <v>1.9400809000000001</v>
      </c>
      <c r="AB870" s="16"/>
      <c r="AD870" s="16"/>
      <c r="AE870" s="1">
        <v>1</v>
      </c>
    </row>
    <row r="871" spans="1:31" x14ac:dyDescent="0.2">
      <c r="A871" s="1">
        <v>870</v>
      </c>
      <c r="B871" s="1">
        <v>2019</v>
      </c>
      <c r="C871" s="1" t="s">
        <v>31</v>
      </c>
      <c r="D871" s="1" t="s">
        <v>719</v>
      </c>
      <c r="E871" s="1" t="s">
        <v>721</v>
      </c>
      <c r="F871" s="1" t="s">
        <v>32</v>
      </c>
      <c r="H871" s="1" t="s">
        <v>34</v>
      </c>
      <c r="I871" s="12">
        <v>9.6999999999999993</v>
      </c>
      <c r="J871" s="7">
        <v>27.9</v>
      </c>
      <c r="L871" s="5">
        <v>3372.5</v>
      </c>
      <c r="N871" s="5">
        <v>32992.233447161001</v>
      </c>
      <c r="O871" s="6">
        <v>29.642499999999998</v>
      </c>
      <c r="P871" s="6">
        <v>9.8000000000000007</v>
      </c>
      <c r="Q871" s="6">
        <v>44.2</v>
      </c>
      <c r="R871" s="6">
        <v>58.58</v>
      </c>
      <c r="S871" s="3"/>
      <c r="T871" s="6">
        <v>25.1</v>
      </c>
      <c r="U871" s="6">
        <v>26.91</v>
      </c>
      <c r="V871" s="6">
        <v>9.9</v>
      </c>
      <c r="W871" s="3">
        <v>0.70590000000000008</v>
      </c>
      <c r="X871" s="6"/>
      <c r="Y871" s="6">
        <v>68.284999999999997</v>
      </c>
      <c r="Z871" s="3">
        <v>2.5</v>
      </c>
      <c r="AB871" s="16"/>
      <c r="AD871" s="16"/>
      <c r="AE871" s="1">
        <v>1</v>
      </c>
    </row>
    <row r="872" spans="1:31" ht="17" x14ac:dyDescent="0.2">
      <c r="A872" s="1">
        <v>871</v>
      </c>
      <c r="B872" s="1">
        <v>2021</v>
      </c>
      <c r="C872" s="1" t="s">
        <v>88</v>
      </c>
      <c r="D872" s="9" t="s">
        <v>747</v>
      </c>
      <c r="E872" s="1" t="s">
        <v>836</v>
      </c>
      <c r="F872" s="1" t="s">
        <v>83</v>
      </c>
      <c r="H872" s="1" t="s">
        <v>89</v>
      </c>
      <c r="I872" s="12">
        <v>6.4256932902054995</v>
      </c>
      <c r="J872" s="12">
        <v>18.359123686</v>
      </c>
      <c r="K872" s="1" t="s">
        <v>34</v>
      </c>
      <c r="L872" s="16">
        <v>3373</v>
      </c>
      <c r="N872" s="16">
        <v>21834.739316947998</v>
      </c>
      <c r="O872" s="15">
        <v>32.0051749</v>
      </c>
      <c r="P872" s="15">
        <v>8.4824999999999999</v>
      </c>
      <c r="Q872" s="15">
        <v>46.784999999999997</v>
      </c>
      <c r="R872" s="15">
        <v>49.59</v>
      </c>
      <c r="U872" s="15">
        <v>21.805</v>
      </c>
      <c r="V872" s="15">
        <v>7.1624999999999996</v>
      </c>
      <c r="W872" s="12">
        <v>0.72430000000000005</v>
      </c>
      <c r="X872" s="15"/>
      <c r="Y872" s="15">
        <v>64.702500000000001</v>
      </c>
      <c r="Z872" s="12"/>
      <c r="AA872" s="15">
        <v>1.125</v>
      </c>
      <c r="AB872" s="16">
        <f>AA872*33.334</f>
        <v>37.500750000000004</v>
      </c>
      <c r="AC872" s="1">
        <v>0</v>
      </c>
      <c r="AD872" s="16">
        <f>AC872*33.334</f>
        <v>0</v>
      </c>
      <c r="AE872" s="1">
        <v>1</v>
      </c>
    </row>
    <row r="873" spans="1:31" x14ac:dyDescent="0.2">
      <c r="A873" s="1">
        <v>872</v>
      </c>
      <c r="B873" s="1">
        <v>2018</v>
      </c>
      <c r="C873" s="1" t="s">
        <v>31</v>
      </c>
      <c r="D873" s="1" t="s">
        <v>391</v>
      </c>
      <c r="E873" s="1" t="s">
        <v>669</v>
      </c>
      <c r="F873" s="1" t="s">
        <v>32</v>
      </c>
      <c r="G873" s="1">
        <v>114</v>
      </c>
      <c r="I873" s="12">
        <v>7.4</v>
      </c>
      <c r="J873" s="3">
        <v>21.184545700000001</v>
      </c>
      <c r="K873" s="1" t="s">
        <v>34</v>
      </c>
      <c r="L873" s="5">
        <v>3373</v>
      </c>
      <c r="N873" s="5">
        <v>24998.5435</v>
      </c>
      <c r="O873" s="6">
        <v>28.68</v>
      </c>
      <c r="P873" s="18">
        <v>8.4</v>
      </c>
      <c r="Q873" s="6">
        <v>43.38</v>
      </c>
      <c r="R873" s="6">
        <v>57.17</v>
      </c>
      <c r="S873" s="3"/>
      <c r="T873" s="6">
        <v>26.372499999999999</v>
      </c>
      <c r="U873" s="6">
        <v>32.21</v>
      </c>
      <c r="V873" s="6">
        <v>4.6124999999999998</v>
      </c>
      <c r="W873" s="3">
        <v>0.71277500000000005</v>
      </c>
      <c r="X873" s="6"/>
      <c r="Y873" s="6">
        <v>68.905000000000001</v>
      </c>
      <c r="Z873" s="3">
        <v>1.8397425199999999</v>
      </c>
      <c r="AB873" s="16"/>
      <c r="AD873" s="16"/>
      <c r="AE873" s="1">
        <v>1</v>
      </c>
    </row>
    <row r="874" spans="1:31" x14ac:dyDescent="0.2">
      <c r="A874" s="1">
        <v>873</v>
      </c>
      <c r="B874" s="1">
        <v>2019</v>
      </c>
      <c r="C874" s="1" t="s">
        <v>88</v>
      </c>
      <c r="D874" s="1" t="s">
        <v>1023</v>
      </c>
      <c r="E874" s="8" t="s">
        <v>237</v>
      </c>
      <c r="F874" s="1" t="s">
        <v>32</v>
      </c>
      <c r="I874" s="12">
        <v>4.7725</v>
      </c>
      <c r="J874" s="3">
        <v>13.6325</v>
      </c>
      <c r="K874" s="1" t="s">
        <v>34</v>
      </c>
      <c r="L874" s="5">
        <v>3373.5</v>
      </c>
      <c r="N874" s="5">
        <v>16105.25</v>
      </c>
      <c r="O874" s="6">
        <v>39</v>
      </c>
      <c r="P874" s="6">
        <v>8</v>
      </c>
      <c r="Q874" s="6">
        <v>37.454999999999998</v>
      </c>
      <c r="R874" s="6">
        <v>28.2</v>
      </c>
      <c r="S874" s="3"/>
      <c r="T874" s="6">
        <v>28.67</v>
      </c>
      <c r="U874" s="6">
        <v>31.1</v>
      </c>
      <c r="V874" s="6">
        <v>5.5975000000000001</v>
      </c>
      <c r="W874" s="3">
        <v>0.73799999999999999</v>
      </c>
      <c r="X874" s="6"/>
      <c r="Y874" s="6">
        <v>63.3</v>
      </c>
      <c r="Z874" s="3">
        <v>0.50749999999999995</v>
      </c>
      <c r="AB874" s="16"/>
      <c r="AC874" s="6">
        <v>4</v>
      </c>
      <c r="AD874" s="16">
        <f>AC874*10</f>
        <v>40</v>
      </c>
      <c r="AE874" s="1">
        <v>1</v>
      </c>
    </row>
    <row r="875" spans="1:31" x14ac:dyDescent="0.2">
      <c r="A875" s="1">
        <v>874</v>
      </c>
      <c r="B875" s="1">
        <v>2020</v>
      </c>
      <c r="C875" s="1" t="s">
        <v>31</v>
      </c>
      <c r="D875" s="1" t="s">
        <v>805</v>
      </c>
      <c r="E875" s="1" t="s">
        <v>768</v>
      </c>
      <c r="F875" s="1" t="s">
        <v>83</v>
      </c>
      <c r="G875" s="1">
        <v>119</v>
      </c>
      <c r="H875" s="1" t="s">
        <v>754</v>
      </c>
      <c r="I875" s="12">
        <v>5.3546909044115001</v>
      </c>
      <c r="J875" s="12">
        <v>15.299116870000001</v>
      </c>
      <c r="L875" s="16">
        <v>3373.521756571</v>
      </c>
      <c r="M875" s="16" t="s">
        <v>754</v>
      </c>
      <c r="N875" s="16">
        <v>18035.176174299999</v>
      </c>
      <c r="O875" s="15">
        <v>32.699316499999995</v>
      </c>
      <c r="P875" s="15">
        <v>8.2349999999999994</v>
      </c>
      <c r="Q875" s="15">
        <v>43.39</v>
      </c>
      <c r="R875" s="15">
        <v>42.022500000000001</v>
      </c>
      <c r="S875" s="15"/>
      <c r="T875" s="15">
        <v>23.695</v>
      </c>
      <c r="U875" s="15">
        <v>30.965</v>
      </c>
      <c r="V875" s="15">
        <v>4.5049999999999999</v>
      </c>
      <c r="W875" s="12">
        <v>0.71211230999999997</v>
      </c>
      <c r="X875" s="15"/>
      <c r="Y875" s="15">
        <v>72.400139315000004</v>
      </c>
      <c r="Z875" s="12"/>
      <c r="AA875" s="15">
        <v>1.25</v>
      </c>
      <c r="AB875" s="16">
        <f>AA875*33.334</f>
        <v>41.667500000000004</v>
      </c>
      <c r="AD875" s="16"/>
      <c r="AE875" s="1">
        <v>1</v>
      </c>
    </row>
    <row r="876" spans="1:31" x14ac:dyDescent="0.2">
      <c r="A876" s="1">
        <v>875</v>
      </c>
      <c r="B876" s="1">
        <v>2021</v>
      </c>
      <c r="C876" s="1" t="s">
        <v>31</v>
      </c>
      <c r="D876" s="1" t="s">
        <v>874</v>
      </c>
      <c r="E876" s="1" t="s">
        <v>598</v>
      </c>
      <c r="F876" s="1" t="s">
        <v>83</v>
      </c>
      <c r="G876" s="1">
        <v>116</v>
      </c>
      <c r="I876" s="12">
        <v>5.9733859476445001</v>
      </c>
      <c r="J876" s="12">
        <v>17.066816993</v>
      </c>
      <c r="L876" s="16">
        <v>3374.9439630000002</v>
      </c>
      <c r="N876" s="16">
        <v>20220.431337362999</v>
      </c>
      <c r="O876" s="15">
        <v>39.811341999999996</v>
      </c>
      <c r="P876" s="15">
        <v>8.8247219220000002</v>
      </c>
      <c r="Q876" s="15">
        <v>20.977499999999999</v>
      </c>
      <c r="R876" s="15">
        <v>37.462499999999999</v>
      </c>
      <c r="U876" s="15">
        <v>37.590000000000003</v>
      </c>
      <c r="V876" s="15">
        <v>7.8674999999999997</v>
      </c>
      <c r="W876" s="12">
        <v>0.71046978308999997</v>
      </c>
      <c r="X876" s="15"/>
      <c r="Y876" s="15">
        <v>72.565727793999997</v>
      </c>
      <c r="Z876" s="12"/>
      <c r="AA876" s="15">
        <v>0.125</v>
      </c>
      <c r="AB876" s="16">
        <f>AA876*33.334</f>
        <v>4.1667500000000004</v>
      </c>
      <c r="AD876" s="16"/>
      <c r="AE876" s="1">
        <v>1</v>
      </c>
    </row>
    <row r="877" spans="1:31" x14ac:dyDescent="0.2">
      <c r="A877" s="1">
        <v>876</v>
      </c>
      <c r="B877" s="1">
        <v>2015</v>
      </c>
      <c r="C877" s="8" t="s">
        <v>88</v>
      </c>
      <c r="D877" s="8" t="s">
        <v>1023</v>
      </c>
      <c r="E877" s="8" t="s">
        <v>387</v>
      </c>
      <c r="F877" s="1" t="s">
        <v>32</v>
      </c>
      <c r="I877" s="12">
        <v>6.57</v>
      </c>
      <c r="J877" s="7">
        <v>18.771428571428572</v>
      </c>
      <c r="K877" s="1" t="s">
        <v>34</v>
      </c>
      <c r="L877" s="14">
        <v>3375</v>
      </c>
      <c r="N877" s="14">
        <v>22265</v>
      </c>
      <c r="O877" s="13">
        <v>28.8</v>
      </c>
      <c r="P877" s="13">
        <v>9.8000000000000007</v>
      </c>
      <c r="Q877" s="13">
        <v>45</v>
      </c>
      <c r="R877" s="13">
        <v>50.6</v>
      </c>
      <c r="S877" s="8"/>
      <c r="T877" s="15" t="s">
        <v>89</v>
      </c>
      <c r="U877" s="13">
        <v>25.9</v>
      </c>
      <c r="V877" s="13">
        <v>5.8</v>
      </c>
      <c r="W877" s="7">
        <v>0.67</v>
      </c>
      <c r="X877" s="13"/>
      <c r="Y877" s="13">
        <v>64.900000000000006</v>
      </c>
      <c r="Z877" s="7">
        <v>1.49</v>
      </c>
      <c r="AA877" s="13">
        <v>1.4</v>
      </c>
      <c r="AB877" s="16">
        <f>AA877*10</f>
        <v>14</v>
      </c>
      <c r="AC877" s="13">
        <v>5.2</v>
      </c>
      <c r="AD877" s="16">
        <f>AC877*10</f>
        <v>52</v>
      </c>
      <c r="AE877" s="1">
        <v>1</v>
      </c>
    </row>
    <row r="878" spans="1:31" x14ac:dyDescent="0.2">
      <c r="A878" s="1">
        <v>877</v>
      </c>
      <c r="B878" s="1">
        <v>2014</v>
      </c>
      <c r="C878" s="1" t="s">
        <v>31</v>
      </c>
      <c r="D878" s="1" t="s">
        <v>125</v>
      </c>
      <c r="E878" s="1" t="s">
        <v>430</v>
      </c>
      <c r="F878" s="1" t="s">
        <v>32</v>
      </c>
      <c r="G878" s="1">
        <v>118</v>
      </c>
      <c r="I878" s="12">
        <v>8.3000000000000007</v>
      </c>
      <c r="J878" s="12">
        <v>23.7</v>
      </c>
      <c r="L878" s="16">
        <v>3375</v>
      </c>
      <c r="N878" s="16">
        <v>27945</v>
      </c>
      <c r="O878" s="15">
        <v>33.5</v>
      </c>
      <c r="P878" s="15">
        <v>7</v>
      </c>
      <c r="Q878" s="15">
        <v>41.1</v>
      </c>
      <c r="R878" s="15">
        <v>54.8</v>
      </c>
      <c r="T878" s="15"/>
      <c r="U878" s="15">
        <v>31.8</v>
      </c>
      <c r="V878" s="15">
        <v>5.7</v>
      </c>
      <c r="W878" s="12">
        <v>0.73</v>
      </c>
      <c r="X878" s="15"/>
      <c r="Y878" s="15">
        <v>70.099999999999994</v>
      </c>
      <c r="Z878" s="12">
        <v>1.87</v>
      </c>
      <c r="AB878" s="16"/>
      <c r="AD878" s="16"/>
      <c r="AE878" s="1">
        <v>1</v>
      </c>
    </row>
    <row r="879" spans="1:31" x14ac:dyDescent="0.2">
      <c r="A879" s="1">
        <v>878</v>
      </c>
      <c r="B879" s="1">
        <v>2014</v>
      </c>
      <c r="C879" s="1" t="s">
        <v>31</v>
      </c>
      <c r="D879" s="1" t="s">
        <v>37</v>
      </c>
      <c r="E879" s="1" t="s">
        <v>434</v>
      </c>
      <c r="F879" s="1" t="s">
        <v>32</v>
      </c>
      <c r="G879" s="1">
        <v>116</v>
      </c>
      <c r="I879" s="12">
        <v>9.68</v>
      </c>
      <c r="J879" s="12">
        <v>27.7</v>
      </c>
      <c r="L879" s="16">
        <v>3378</v>
      </c>
      <c r="M879" s="1" t="s">
        <v>34</v>
      </c>
      <c r="N879" s="16">
        <v>32660</v>
      </c>
      <c r="O879" s="15">
        <v>30.9</v>
      </c>
      <c r="P879" s="15">
        <v>8.4</v>
      </c>
      <c r="Q879" s="15">
        <v>44.4</v>
      </c>
      <c r="R879" s="15">
        <v>58.6</v>
      </c>
      <c r="T879" s="15"/>
      <c r="U879" s="15">
        <v>28.3</v>
      </c>
      <c r="V879" s="15">
        <v>5.9</v>
      </c>
      <c r="W879" s="12">
        <v>0.71</v>
      </c>
      <c r="X879" s="15"/>
      <c r="Y879" s="15">
        <v>68.599999999999994</v>
      </c>
      <c r="Z879" s="12">
        <v>2.5099999999999998</v>
      </c>
      <c r="AB879" s="16"/>
      <c r="AD879" s="16"/>
      <c r="AE879" s="1">
        <v>1</v>
      </c>
    </row>
    <row r="880" spans="1:31" x14ac:dyDescent="0.2">
      <c r="A880" s="1">
        <v>879</v>
      </c>
      <c r="B880" s="1">
        <v>2020</v>
      </c>
      <c r="C880" s="1" t="s">
        <v>31</v>
      </c>
      <c r="D880" s="19" t="s">
        <v>900</v>
      </c>
      <c r="E880" s="1" t="s">
        <v>771</v>
      </c>
      <c r="F880" s="1" t="s">
        <v>83</v>
      </c>
      <c r="G880" s="1">
        <v>117</v>
      </c>
      <c r="H880" s="1" t="s">
        <v>754</v>
      </c>
      <c r="I880" s="12">
        <v>4.8006727540245002</v>
      </c>
      <c r="J880" s="12">
        <v>13.716207869</v>
      </c>
      <c r="L880" s="16">
        <v>3379.8585554239999</v>
      </c>
      <c r="M880" s="16" t="s">
        <v>754</v>
      </c>
      <c r="N880" s="16">
        <v>16249.125456145999</v>
      </c>
      <c r="O880" s="15">
        <v>32.793828000000005</v>
      </c>
      <c r="P880" s="15">
        <v>8.7774999999999999</v>
      </c>
      <c r="Q880" s="15">
        <v>43.225000000000001</v>
      </c>
      <c r="R880" s="15">
        <v>42.74</v>
      </c>
      <c r="S880" s="15"/>
      <c r="T880" s="15">
        <v>23.607500000000002</v>
      </c>
      <c r="U880" s="15">
        <v>30.432500000000001</v>
      </c>
      <c r="V880" s="15">
        <v>4.6399999999999997</v>
      </c>
      <c r="W880" s="12">
        <v>0.71224032299999995</v>
      </c>
      <c r="X880" s="15"/>
      <c r="Y880" s="15">
        <v>72.587777965000001</v>
      </c>
      <c r="Z880" s="12"/>
      <c r="AA880" s="15">
        <v>1.375</v>
      </c>
      <c r="AB880" s="16">
        <f>AA880*33.334</f>
        <v>45.834250000000004</v>
      </c>
      <c r="AD880" s="16"/>
      <c r="AE880" s="1">
        <v>1</v>
      </c>
    </row>
    <row r="881" spans="1:31" x14ac:dyDescent="0.2">
      <c r="A881" s="1">
        <v>880</v>
      </c>
      <c r="B881" s="1">
        <v>2009</v>
      </c>
      <c r="C881" s="1" t="s">
        <v>31</v>
      </c>
      <c r="D881" s="28" t="s">
        <v>914</v>
      </c>
      <c r="E881" s="8" t="s">
        <v>135</v>
      </c>
      <c r="F881" s="1" t="s">
        <v>32</v>
      </c>
      <c r="H881" s="1" t="s">
        <v>34</v>
      </c>
      <c r="I881" s="12">
        <v>9.23</v>
      </c>
      <c r="J881" s="7">
        <v>26.4</v>
      </c>
      <c r="L881" s="14">
        <v>3380</v>
      </c>
      <c r="M881" s="1" t="s">
        <v>34</v>
      </c>
      <c r="N881" s="14">
        <v>31221</v>
      </c>
      <c r="O881" s="13">
        <v>30.2</v>
      </c>
      <c r="P881" s="13">
        <v>9.1999999999999993</v>
      </c>
      <c r="Q881" s="13">
        <v>45.3</v>
      </c>
      <c r="R881" s="13">
        <v>58.2</v>
      </c>
      <c r="S881" s="13"/>
      <c r="T881" s="15" t="s">
        <v>89</v>
      </c>
      <c r="U881" s="13">
        <v>32.200000000000003</v>
      </c>
      <c r="V881" s="13">
        <v>5.9</v>
      </c>
      <c r="W881" s="12" t="s">
        <v>89</v>
      </c>
      <c r="X881" s="15"/>
      <c r="Y881" s="13">
        <v>72.8</v>
      </c>
      <c r="Z881" s="7">
        <v>2.4300000000000002</v>
      </c>
      <c r="AB881" s="16"/>
      <c r="AD881" s="16"/>
      <c r="AE881" s="1">
        <v>1</v>
      </c>
    </row>
    <row r="882" spans="1:31" x14ac:dyDescent="0.2">
      <c r="A882" s="1">
        <v>881</v>
      </c>
      <c r="B882" s="1">
        <v>2020</v>
      </c>
      <c r="C882" s="1" t="s">
        <v>31</v>
      </c>
      <c r="D882" s="1" t="s">
        <v>805</v>
      </c>
      <c r="E882" s="1" t="s">
        <v>767</v>
      </c>
      <c r="F882" s="1" t="s">
        <v>32</v>
      </c>
      <c r="G882" s="1">
        <v>118</v>
      </c>
      <c r="H882" s="1" t="s">
        <v>754</v>
      </c>
      <c r="I882" s="12">
        <v>8.0289324377345004</v>
      </c>
      <c r="J882" s="12">
        <v>22.934449312999998</v>
      </c>
      <c r="K882" s="1" t="s">
        <v>754</v>
      </c>
      <c r="L882" s="16">
        <v>3380.530949899</v>
      </c>
      <c r="M882" s="16" t="s">
        <v>754</v>
      </c>
      <c r="N882" s="16">
        <v>27122.364847821002</v>
      </c>
      <c r="O882" s="10">
        <v>43.142901700000003</v>
      </c>
      <c r="P882" s="15">
        <v>8.6024999999999991</v>
      </c>
      <c r="Q882" s="15">
        <v>45.174999999999997</v>
      </c>
      <c r="R882" s="15">
        <v>48.904229622999999</v>
      </c>
      <c r="S882" s="15"/>
      <c r="T882" s="15">
        <v>24.53</v>
      </c>
      <c r="U882" s="15">
        <v>26.672499999999999</v>
      </c>
      <c r="V882" s="15">
        <v>5.4057304000000004</v>
      </c>
      <c r="W882" s="12">
        <v>0.70224449099999997</v>
      </c>
      <c r="X882" s="15"/>
      <c r="Y882" s="15">
        <v>74.177289200000004</v>
      </c>
      <c r="Z882" s="12"/>
      <c r="AA882" s="15">
        <v>0.5</v>
      </c>
      <c r="AB882" s="16">
        <f>AA882*33.334</f>
        <v>16.667000000000002</v>
      </c>
      <c r="AD882" s="16"/>
      <c r="AE882" s="1">
        <v>1</v>
      </c>
    </row>
    <row r="883" spans="1:31" x14ac:dyDescent="0.2">
      <c r="A883" s="1">
        <v>882</v>
      </c>
      <c r="B883" s="1">
        <v>2015</v>
      </c>
      <c r="C883" s="8" t="s">
        <v>31</v>
      </c>
      <c r="D883" s="28" t="s">
        <v>914</v>
      </c>
      <c r="E883" s="8" t="s">
        <v>481</v>
      </c>
      <c r="F883" s="1" t="s">
        <v>32</v>
      </c>
      <c r="G883" s="8">
        <v>116</v>
      </c>
      <c r="I883" s="12">
        <v>7.62</v>
      </c>
      <c r="J883" s="7">
        <v>21.771428571428572</v>
      </c>
      <c r="L883" s="14">
        <v>3381</v>
      </c>
      <c r="N883" s="14">
        <v>25686</v>
      </c>
      <c r="O883" s="13">
        <v>34.700000000000003</v>
      </c>
      <c r="P883" s="13">
        <v>7</v>
      </c>
      <c r="Q883" s="13">
        <v>36.4</v>
      </c>
      <c r="R883" s="13">
        <v>48</v>
      </c>
      <c r="S883" s="8"/>
      <c r="T883" s="13">
        <v>24.7</v>
      </c>
      <c r="U883" s="13">
        <v>34.700000000000003</v>
      </c>
      <c r="V883" s="13">
        <v>4.8</v>
      </c>
      <c r="W883" s="7">
        <v>0.74</v>
      </c>
      <c r="X883" s="13"/>
      <c r="Y883" s="13">
        <v>71.900000000000006</v>
      </c>
      <c r="Z883" s="7">
        <v>1.34</v>
      </c>
      <c r="AA883" s="1" t="s">
        <v>89</v>
      </c>
      <c r="AB883" s="16" t="s">
        <v>89</v>
      </c>
      <c r="AC883" s="1" t="s">
        <v>89</v>
      </c>
      <c r="AD883" s="16" t="s">
        <v>89</v>
      </c>
      <c r="AE883" s="1">
        <v>1</v>
      </c>
    </row>
    <row r="884" spans="1:31" x14ac:dyDescent="0.2">
      <c r="A884" s="1">
        <v>883</v>
      </c>
      <c r="B884" s="1">
        <v>2018</v>
      </c>
      <c r="C884" s="1" t="s">
        <v>31</v>
      </c>
      <c r="D884" s="1" t="s">
        <v>916</v>
      </c>
      <c r="E884" s="1" t="s">
        <v>603</v>
      </c>
      <c r="F884" s="1" t="s">
        <v>32</v>
      </c>
      <c r="G884" s="1">
        <v>118</v>
      </c>
      <c r="I884" s="12">
        <v>7.4</v>
      </c>
      <c r="J884" s="3">
        <v>21.248528700000001</v>
      </c>
      <c r="K884" s="1" t="s">
        <v>34</v>
      </c>
      <c r="L884" s="5">
        <v>3382.5</v>
      </c>
      <c r="N884" s="5">
        <v>25193.006799999999</v>
      </c>
      <c r="O884" s="6">
        <v>34.227499999999999</v>
      </c>
      <c r="P884" s="18">
        <v>8.3000000000000007</v>
      </c>
      <c r="Q884" s="6">
        <v>42.11</v>
      </c>
      <c r="R884" s="6">
        <v>58.075000000000003</v>
      </c>
      <c r="S884" s="3"/>
      <c r="T884" s="6">
        <v>24.805</v>
      </c>
      <c r="U884" s="6">
        <v>32.844999999999999</v>
      </c>
      <c r="V884" s="6">
        <v>6.1050000000000004</v>
      </c>
      <c r="W884" s="3">
        <v>0.73199999999999998</v>
      </c>
      <c r="X884" s="6"/>
      <c r="Y884" s="6">
        <v>70.644999999999996</v>
      </c>
      <c r="Z884" s="3">
        <v>1.82512308</v>
      </c>
      <c r="AB884" s="16"/>
      <c r="AD884" s="16"/>
      <c r="AE884" s="1">
        <v>1</v>
      </c>
    </row>
    <row r="885" spans="1:31" x14ac:dyDescent="0.2">
      <c r="A885" s="1">
        <v>884</v>
      </c>
      <c r="B885" s="1">
        <v>2014</v>
      </c>
      <c r="C885" s="1" t="s">
        <v>31</v>
      </c>
      <c r="D885" s="1" t="s">
        <v>402</v>
      </c>
      <c r="E885" s="1" t="s">
        <v>412</v>
      </c>
      <c r="F885" s="1" t="s">
        <v>32</v>
      </c>
      <c r="G885" s="1">
        <v>118</v>
      </c>
      <c r="I885" s="12">
        <v>8.83</v>
      </c>
      <c r="J885" s="12">
        <v>25.2</v>
      </c>
      <c r="L885" s="16">
        <v>3384</v>
      </c>
      <c r="N885" s="16">
        <v>29921</v>
      </c>
      <c r="O885" s="15">
        <v>32</v>
      </c>
      <c r="P885" s="15">
        <v>7.9</v>
      </c>
      <c r="Q885" s="15">
        <v>41.4</v>
      </c>
      <c r="R885" s="15">
        <v>55.7</v>
      </c>
      <c r="T885" s="15"/>
      <c r="U885" s="15">
        <v>30.5</v>
      </c>
      <c r="V885" s="15">
        <v>5.9</v>
      </c>
      <c r="W885" s="12">
        <v>0.72</v>
      </c>
      <c r="X885" s="15"/>
      <c r="Y885" s="15">
        <v>69.2</v>
      </c>
      <c r="Z885" s="12">
        <v>2.0299999999999998</v>
      </c>
      <c r="AB885" s="16"/>
      <c r="AD885" s="16"/>
      <c r="AE885" s="1">
        <v>1</v>
      </c>
    </row>
    <row r="886" spans="1:31" x14ac:dyDescent="0.2">
      <c r="A886" s="1">
        <v>885</v>
      </c>
      <c r="B886" s="1">
        <v>2014</v>
      </c>
      <c r="C886" s="1" t="s">
        <v>31</v>
      </c>
      <c r="D886" s="1" t="s">
        <v>125</v>
      </c>
      <c r="E886" s="1" t="s">
        <v>425</v>
      </c>
      <c r="F886" s="1" t="s">
        <v>32</v>
      </c>
      <c r="G886" s="1">
        <v>117</v>
      </c>
      <c r="I886" s="12">
        <v>8.89</v>
      </c>
      <c r="J886" s="12">
        <v>25.4</v>
      </c>
      <c r="L886" s="16">
        <v>3384</v>
      </c>
      <c r="N886" s="16">
        <v>30145</v>
      </c>
      <c r="O886" s="15">
        <v>33.5</v>
      </c>
      <c r="P886" s="15">
        <v>7.9</v>
      </c>
      <c r="Q886" s="15">
        <v>40.200000000000003</v>
      </c>
      <c r="R886" s="15">
        <v>54.6</v>
      </c>
      <c r="T886" s="15"/>
      <c r="U886" s="15">
        <v>31.7</v>
      </c>
      <c r="V886" s="15">
        <v>6.8</v>
      </c>
      <c r="W886" s="12">
        <v>0.73</v>
      </c>
      <c r="X886" s="15"/>
      <c r="Y886" s="15">
        <v>70.3</v>
      </c>
      <c r="Z886" s="12">
        <v>1.94</v>
      </c>
      <c r="AB886" s="16"/>
      <c r="AD886" s="16"/>
      <c r="AE886" s="1">
        <v>1</v>
      </c>
    </row>
    <row r="887" spans="1:31" x14ac:dyDescent="0.2">
      <c r="A887" s="1">
        <v>886</v>
      </c>
      <c r="B887" s="1">
        <v>2015</v>
      </c>
      <c r="C887" s="8" t="s">
        <v>31</v>
      </c>
      <c r="D887" s="1" t="s">
        <v>916</v>
      </c>
      <c r="E887" s="8" t="s">
        <v>404</v>
      </c>
      <c r="F887" s="1" t="s">
        <v>32</v>
      </c>
      <c r="G887" s="8">
        <v>130</v>
      </c>
      <c r="I887" s="12">
        <v>11.05</v>
      </c>
      <c r="J887" s="7">
        <v>31.571428571428577</v>
      </c>
      <c r="L887" s="14">
        <v>3385</v>
      </c>
      <c r="M887" s="1" t="s">
        <v>34</v>
      </c>
      <c r="N887" s="14">
        <v>37463</v>
      </c>
      <c r="O887" s="13">
        <v>33.299999999999997</v>
      </c>
      <c r="P887" s="13">
        <v>8</v>
      </c>
      <c r="Q887" s="13">
        <v>41.7</v>
      </c>
      <c r="R887" s="13">
        <v>51.3</v>
      </c>
      <c r="S887" s="8"/>
      <c r="T887" s="13">
        <v>26.3</v>
      </c>
      <c r="U887" s="13">
        <v>30.4</v>
      </c>
      <c r="V887" s="13">
        <v>4</v>
      </c>
      <c r="W887" s="7">
        <v>0.73</v>
      </c>
      <c r="X887" s="13"/>
      <c r="Y887" s="13">
        <v>71.900000000000006</v>
      </c>
      <c r="Z887" s="7">
        <v>2.36</v>
      </c>
      <c r="AA887" s="1" t="s">
        <v>89</v>
      </c>
      <c r="AB887" s="16" t="s">
        <v>89</v>
      </c>
      <c r="AC887" s="1" t="s">
        <v>89</v>
      </c>
      <c r="AD887" s="16" t="s">
        <v>89</v>
      </c>
      <c r="AE887" s="1">
        <v>1</v>
      </c>
    </row>
    <row r="888" spans="1:31" x14ac:dyDescent="0.2">
      <c r="A888" s="1">
        <v>887</v>
      </c>
      <c r="B888" s="1">
        <v>2016</v>
      </c>
      <c r="C888" s="1" t="s">
        <v>31</v>
      </c>
      <c r="D888" s="8" t="s">
        <v>125</v>
      </c>
      <c r="E888" s="8" t="s">
        <v>546</v>
      </c>
      <c r="F888" s="1" t="s">
        <v>32</v>
      </c>
      <c r="G888" s="8">
        <v>117</v>
      </c>
      <c r="I888" s="12">
        <v>9.1999999999999993</v>
      </c>
      <c r="J888" s="7">
        <v>26.285714285714299</v>
      </c>
      <c r="K888" s="1" t="s">
        <v>34</v>
      </c>
      <c r="L888" s="14">
        <v>3386</v>
      </c>
      <c r="N888" s="14">
        <v>31423</v>
      </c>
      <c r="O888" s="13">
        <v>32.200000000000003</v>
      </c>
      <c r="P888" s="13">
        <v>8.4</v>
      </c>
      <c r="Q888" s="13">
        <v>41</v>
      </c>
      <c r="R888" s="13">
        <v>54.2</v>
      </c>
      <c r="S888" s="13"/>
      <c r="T888" s="13">
        <v>24.1</v>
      </c>
      <c r="U888" s="13">
        <v>33.1</v>
      </c>
      <c r="V888" s="13">
        <v>3.3</v>
      </c>
      <c r="W888" s="7">
        <v>0.73</v>
      </c>
      <c r="X888" s="13"/>
      <c r="Y888" s="13">
        <v>71.7</v>
      </c>
      <c r="Z888" s="7">
        <v>2.0099999999999998</v>
      </c>
      <c r="AA888" s="15" t="s">
        <v>89</v>
      </c>
      <c r="AB888" s="16"/>
      <c r="AD888" s="16"/>
      <c r="AE888" s="1">
        <v>1</v>
      </c>
    </row>
    <row r="889" spans="1:31" x14ac:dyDescent="0.2">
      <c r="A889" s="1">
        <v>888</v>
      </c>
      <c r="B889" s="1">
        <v>2014</v>
      </c>
      <c r="C889" s="1" t="s">
        <v>31</v>
      </c>
      <c r="D889" s="1" t="s">
        <v>402</v>
      </c>
      <c r="E889" s="1" t="s">
        <v>403</v>
      </c>
      <c r="F889" s="1" t="s">
        <v>32</v>
      </c>
      <c r="G889" s="1">
        <v>117</v>
      </c>
      <c r="I889" s="12">
        <v>9.6999999999999993</v>
      </c>
      <c r="J889" s="12">
        <v>27.7</v>
      </c>
      <c r="L889" s="16">
        <v>3386</v>
      </c>
      <c r="M889" s="1" t="s">
        <v>34</v>
      </c>
      <c r="N889" s="16">
        <v>32767</v>
      </c>
      <c r="O889" s="15">
        <v>29.7</v>
      </c>
      <c r="P889" s="15">
        <v>8</v>
      </c>
      <c r="Q889" s="15">
        <v>42.6</v>
      </c>
      <c r="R889" s="15">
        <v>56.8</v>
      </c>
      <c r="T889" s="15"/>
      <c r="U889" s="15">
        <v>30.4</v>
      </c>
      <c r="V889" s="15">
        <v>5.7</v>
      </c>
      <c r="W889" s="12">
        <v>0.71</v>
      </c>
      <c r="X889" s="15"/>
      <c r="Y889" s="15">
        <v>68.8</v>
      </c>
      <c r="Z889" s="12">
        <v>2.35</v>
      </c>
      <c r="AB889" s="16"/>
      <c r="AD889" s="16"/>
      <c r="AE889" s="1">
        <v>1</v>
      </c>
    </row>
    <row r="890" spans="1:31" x14ac:dyDescent="0.2">
      <c r="A890" s="1">
        <v>889</v>
      </c>
      <c r="B890" s="1">
        <v>2021</v>
      </c>
      <c r="C890" s="1" t="s">
        <v>31</v>
      </c>
      <c r="D890" s="19" t="s">
        <v>900</v>
      </c>
      <c r="E890" s="1" t="s">
        <v>771</v>
      </c>
      <c r="F890" s="1" t="s">
        <v>83</v>
      </c>
      <c r="G890" s="1">
        <v>117</v>
      </c>
      <c r="I890" s="12">
        <v>5.5328356685945002</v>
      </c>
      <c r="J890" s="12">
        <v>15.80810191</v>
      </c>
      <c r="K890" s="1" t="s">
        <v>89</v>
      </c>
      <c r="L890" s="16">
        <v>3386.5799350000002</v>
      </c>
      <c r="N890" s="16">
        <v>18755.906857299</v>
      </c>
      <c r="O890" s="15">
        <v>44.896280400000002</v>
      </c>
      <c r="P890" s="15">
        <v>8.3767295140000009</v>
      </c>
      <c r="Q890" s="15">
        <v>22.195</v>
      </c>
      <c r="R890" s="15">
        <v>40.662500000000001</v>
      </c>
      <c r="U890" s="15">
        <v>36.270000000000003</v>
      </c>
      <c r="V890" s="15">
        <v>7.5625</v>
      </c>
      <c r="W890" s="12">
        <v>0.71014187421999997</v>
      </c>
      <c r="X890" s="15"/>
      <c r="Y890" s="15">
        <v>72.993008781</v>
      </c>
      <c r="Z890" s="12"/>
      <c r="AA890" s="15">
        <v>0.5</v>
      </c>
      <c r="AB890" s="16">
        <f>AA890*33.334</f>
        <v>16.667000000000002</v>
      </c>
      <c r="AD890" s="16"/>
      <c r="AE890" s="1">
        <v>1</v>
      </c>
    </row>
    <row r="891" spans="1:31" x14ac:dyDescent="0.2">
      <c r="A891" s="1">
        <v>890</v>
      </c>
      <c r="B891" s="1">
        <v>2012</v>
      </c>
      <c r="C891" s="1" t="s">
        <v>31</v>
      </c>
      <c r="D891" s="1" t="s">
        <v>916</v>
      </c>
      <c r="E891" s="1" t="s">
        <v>263</v>
      </c>
      <c r="F891" s="1" t="s">
        <v>32</v>
      </c>
      <c r="H891" s="1" t="s">
        <v>34</v>
      </c>
      <c r="I891" s="12">
        <v>9.9499999999999993</v>
      </c>
      <c r="J891" s="12">
        <v>28.4</v>
      </c>
      <c r="L891" s="16">
        <v>3387</v>
      </c>
      <c r="N891" s="16">
        <v>33687</v>
      </c>
      <c r="O891" s="15">
        <v>34.1</v>
      </c>
      <c r="P891" s="15">
        <v>8.1</v>
      </c>
      <c r="Q891" s="15">
        <v>44.3</v>
      </c>
      <c r="R891" s="15">
        <v>60.8</v>
      </c>
      <c r="T891" s="15"/>
      <c r="U891" s="15">
        <v>30.3</v>
      </c>
      <c r="V891" s="15">
        <v>7.3</v>
      </c>
      <c r="W891" s="12">
        <v>0.72</v>
      </c>
      <c r="X891" s="15"/>
      <c r="Y891" s="15"/>
      <c r="Z891" s="12">
        <v>2.69</v>
      </c>
      <c r="AB891" s="16"/>
      <c r="AD891" s="16"/>
      <c r="AE891" s="1">
        <v>1</v>
      </c>
    </row>
    <row r="892" spans="1:31" x14ac:dyDescent="0.2">
      <c r="A892" s="1">
        <v>891</v>
      </c>
      <c r="B892" s="1">
        <v>2016</v>
      </c>
      <c r="C892" s="1" t="s">
        <v>31</v>
      </c>
      <c r="D892" s="8" t="s">
        <v>402</v>
      </c>
      <c r="E892" s="8" t="s">
        <v>532</v>
      </c>
      <c r="F892" s="1" t="s">
        <v>32</v>
      </c>
      <c r="G892" s="8">
        <v>118</v>
      </c>
      <c r="H892" s="1" t="s">
        <v>34</v>
      </c>
      <c r="I892" s="12">
        <v>10.1</v>
      </c>
      <c r="J892" s="7">
        <v>28.9</v>
      </c>
      <c r="K892" s="1" t="s">
        <v>34</v>
      </c>
      <c r="L892" s="14">
        <v>3387</v>
      </c>
      <c r="M892" s="1" t="s">
        <v>34</v>
      </c>
      <c r="N892" s="14">
        <v>34190</v>
      </c>
      <c r="O892" s="13">
        <v>34.6</v>
      </c>
      <c r="P892" s="13">
        <v>7.5</v>
      </c>
      <c r="Q892" s="13">
        <v>43</v>
      </c>
      <c r="R892" s="13">
        <v>55.2</v>
      </c>
      <c r="S892" s="13"/>
      <c r="T892" s="13">
        <v>25.3</v>
      </c>
      <c r="U892" s="13">
        <v>33.6</v>
      </c>
      <c r="V892" s="13">
        <v>2.5</v>
      </c>
      <c r="W892" s="7">
        <v>0.73</v>
      </c>
      <c r="X892" s="13"/>
      <c r="Y892" s="13">
        <v>71.599999999999994</v>
      </c>
      <c r="Z892" s="7">
        <v>2.4</v>
      </c>
      <c r="AA892" s="15" t="s">
        <v>89</v>
      </c>
      <c r="AB892" s="16"/>
      <c r="AD892" s="16"/>
      <c r="AE892" s="1">
        <v>1</v>
      </c>
    </row>
    <row r="893" spans="1:31" x14ac:dyDescent="0.2">
      <c r="A893" s="1">
        <v>892</v>
      </c>
      <c r="B893" s="1">
        <v>2021</v>
      </c>
      <c r="C893" s="1" t="s">
        <v>31</v>
      </c>
      <c r="D893" s="1" t="s">
        <v>812</v>
      </c>
      <c r="E893" s="1" t="s">
        <v>814</v>
      </c>
      <c r="F893" s="1" t="s">
        <v>32</v>
      </c>
      <c r="G893" s="1">
        <v>114</v>
      </c>
      <c r="H893" s="1" t="s">
        <v>89</v>
      </c>
      <c r="I893" s="12">
        <v>7.2703355621520007</v>
      </c>
      <c r="J893" s="12">
        <v>20.77238732</v>
      </c>
      <c r="K893" s="1" t="s">
        <v>89</v>
      </c>
      <c r="L893" s="16">
        <v>3387.3962619980002</v>
      </c>
      <c r="M893" s="16" t="s">
        <v>89</v>
      </c>
      <c r="N893" s="16">
        <v>24527.236072955999</v>
      </c>
      <c r="O893" s="15">
        <v>34.641778699999996</v>
      </c>
      <c r="P893" s="15">
        <v>7.8378476729999997</v>
      </c>
      <c r="Q893" s="15">
        <v>38.773218313000001</v>
      </c>
      <c r="R893" s="15">
        <v>60.698669738</v>
      </c>
      <c r="T893" s="15">
        <v>21.847510755999998</v>
      </c>
      <c r="U893" s="15">
        <v>40.785409870000002</v>
      </c>
      <c r="V893" s="15">
        <v>5.92255266</v>
      </c>
      <c r="W893" s="12">
        <v>0.70999473868999996</v>
      </c>
      <c r="X893" s="15"/>
      <c r="Y893" s="15">
        <v>73.024074313</v>
      </c>
      <c r="Z893" s="12"/>
      <c r="AA893" s="15">
        <v>1.085780644</v>
      </c>
      <c r="AB893" s="16">
        <f>AA893*33.334</f>
        <v>36.193411987095999</v>
      </c>
      <c r="AD893" s="16"/>
      <c r="AE893" s="1">
        <v>1</v>
      </c>
    </row>
    <row r="894" spans="1:31" x14ac:dyDescent="0.2">
      <c r="A894" s="1">
        <v>893</v>
      </c>
      <c r="B894" s="1">
        <v>2021</v>
      </c>
      <c r="C894" s="1" t="s">
        <v>31</v>
      </c>
      <c r="D894" s="1" t="s">
        <v>402</v>
      </c>
      <c r="E894" s="1" t="s">
        <v>801</v>
      </c>
      <c r="F894" s="1" t="s">
        <v>83</v>
      </c>
      <c r="G894" s="1">
        <v>117</v>
      </c>
      <c r="I894" s="12">
        <v>5.3315112301090002</v>
      </c>
      <c r="J894" s="12">
        <v>15.232889229</v>
      </c>
      <c r="K894" s="1" t="s">
        <v>89</v>
      </c>
      <c r="L894" s="16">
        <v>3388.593785</v>
      </c>
      <c r="N894" s="16">
        <v>18096.117316484</v>
      </c>
      <c r="O894" s="15">
        <v>36.865352099999996</v>
      </c>
      <c r="P894" s="15">
        <v>9.2108056400000002</v>
      </c>
      <c r="Q894" s="15">
        <v>21.18</v>
      </c>
      <c r="R894" s="15">
        <v>38.102499999999999</v>
      </c>
      <c r="U894" s="15">
        <v>36.164999999999999</v>
      </c>
      <c r="V894" s="15">
        <v>7.7450000000000001</v>
      </c>
      <c r="W894" s="12">
        <v>0.71023731472999996</v>
      </c>
      <c r="X894" s="15"/>
      <c r="Y894" s="15">
        <v>72.968065048</v>
      </c>
      <c r="Z894" s="12"/>
      <c r="AA894" s="15">
        <v>0.75</v>
      </c>
      <c r="AB894" s="16">
        <f>AA894*33.334</f>
        <v>25.000500000000002</v>
      </c>
      <c r="AD894" s="16"/>
      <c r="AE894" s="1">
        <v>1</v>
      </c>
    </row>
    <row r="895" spans="1:31" x14ac:dyDescent="0.2">
      <c r="A895" s="1">
        <v>894</v>
      </c>
      <c r="B895" s="1">
        <v>2018</v>
      </c>
      <c r="C895" s="1" t="s">
        <v>31</v>
      </c>
      <c r="D895" s="1" t="s">
        <v>916</v>
      </c>
      <c r="E895" s="1" t="s">
        <v>653</v>
      </c>
      <c r="F895" s="1" t="s">
        <v>32</v>
      </c>
      <c r="G895" s="1">
        <v>117</v>
      </c>
      <c r="H895" s="1" t="s">
        <v>34</v>
      </c>
      <c r="I895" s="12">
        <v>8.1</v>
      </c>
      <c r="J895" s="3">
        <v>23.1</v>
      </c>
      <c r="K895" s="1" t="s">
        <v>34</v>
      </c>
      <c r="L895" s="5">
        <v>3388.7</v>
      </c>
      <c r="M895" s="1" t="s">
        <v>34</v>
      </c>
      <c r="N895" s="5">
        <v>27464</v>
      </c>
      <c r="O895" s="6">
        <v>35.993333300000003</v>
      </c>
      <c r="P895" s="18">
        <v>8.3000000000000007</v>
      </c>
      <c r="Q895" s="6">
        <v>39.08</v>
      </c>
      <c r="R895" s="6">
        <v>58.5</v>
      </c>
      <c r="S895" s="3"/>
      <c r="T895" s="6">
        <v>23.683333300000001</v>
      </c>
      <c r="U895" s="6">
        <v>36.799999999999997</v>
      </c>
      <c r="V895" s="6">
        <v>5.9766666700000002</v>
      </c>
      <c r="W895" s="3">
        <v>0.74199999999999999</v>
      </c>
      <c r="X895" s="6"/>
      <c r="Y895" s="6">
        <v>71.5</v>
      </c>
      <c r="Z895" s="3">
        <v>1.85</v>
      </c>
      <c r="AB895" s="16"/>
      <c r="AD895" s="16"/>
      <c r="AE895" s="1">
        <v>1</v>
      </c>
    </row>
    <row r="896" spans="1:31" x14ac:dyDescent="0.2">
      <c r="A896" s="1">
        <v>895</v>
      </c>
      <c r="B896" s="1">
        <v>2009</v>
      </c>
      <c r="C896" s="1" t="s">
        <v>31</v>
      </c>
      <c r="D896" s="8" t="s">
        <v>33</v>
      </c>
      <c r="E896" s="8" t="s">
        <v>110</v>
      </c>
      <c r="F896" s="1" t="s">
        <v>32</v>
      </c>
      <c r="I896" s="12">
        <v>6.65</v>
      </c>
      <c r="J896" s="7">
        <v>19</v>
      </c>
      <c r="L896" s="14">
        <v>3389</v>
      </c>
      <c r="N896" s="14">
        <v>22566</v>
      </c>
      <c r="O896" s="13">
        <v>29</v>
      </c>
      <c r="P896" s="13">
        <v>8.6</v>
      </c>
      <c r="Q896" s="13">
        <v>45.5</v>
      </c>
      <c r="R896" s="13">
        <v>57.3</v>
      </c>
      <c r="S896" s="13"/>
      <c r="T896" s="15" t="s">
        <v>89</v>
      </c>
      <c r="U896" s="13">
        <v>31.9</v>
      </c>
      <c r="V896" s="13">
        <v>7.4</v>
      </c>
      <c r="W896" s="12" t="s">
        <v>89</v>
      </c>
      <c r="X896" s="15"/>
      <c r="Y896" s="13">
        <v>72.7</v>
      </c>
      <c r="Z896" s="7">
        <v>1.73</v>
      </c>
      <c r="AB896" s="16"/>
      <c r="AD896" s="16"/>
      <c r="AE896" s="1">
        <v>1</v>
      </c>
    </row>
    <row r="897" spans="1:31" x14ac:dyDescent="0.2">
      <c r="A897" s="1">
        <v>896</v>
      </c>
      <c r="B897" s="1">
        <v>2013</v>
      </c>
      <c r="C897" s="1" t="s">
        <v>31</v>
      </c>
      <c r="D897" s="1" t="s">
        <v>916</v>
      </c>
      <c r="E897" s="8" t="s">
        <v>166</v>
      </c>
      <c r="F897" s="1" t="s">
        <v>32</v>
      </c>
      <c r="G897" s="8">
        <v>124</v>
      </c>
      <c r="H897" s="8"/>
      <c r="I897" s="12">
        <v>9.49</v>
      </c>
      <c r="J897" s="7">
        <v>27.1142857142857</v>
      </c>
      <c r="K897" s="13"/>
      <c r="L897" s="14">
        <v>3389</v>
      </c>
      <c r="M897" s="8"/>
      <c r="N897" s="14">
        <v>32163</v>
      </c>
      <c r="O897" s="13">
        <v>34.5</v>
      </c>
      <c r="P897" s="13">
        <v>7.5</v>
      </c>
      <c r="Q897" s="13">
        <v>38.799999999999997</v>
      </c>
      <c r="R897" s="13">
        <v>52.3</v>
      </c>
      <c r="S897" s="13" t="s">
        <v>89</v>
      </c>
      <c r="T897" s="13"/>
      <c r="U897" s="13">
        <v>34.299999999999997</v>
      </c>
      <c r="V897" s="13">
        <v>4.5999999999999996</v>
      </c>
      <c r="W897" s="7">
        <v>0.74</v>
      </c>
      <c r="X897" s="15" t="s">
        <v>89</v>
      </c>
      <c r="Y897" s="15" t="s">
        <v>89</v>
      </c>
      <c r="Z897" s="7">
        <v>1.92</v>
      </c>
      <c r="AB897" s="16"/>
      <c r="AD897" s="16"/>
      <c r="AE897" s="1">
        <v>1</v>
      </c>
    </row>
    <row r="898" spans="1:31" x14ac:dyDescent="0.2">
      <c r="A898" s="1">
        <v>897</v>
      </c>
      <c r="B898" s="1">
        <v>2011</v>
      </c>
      <c r="C898" s="1" t="s">
        <v>31</v>
      </c>
      <c r="D898" s="1" t="s">
        <v>916</v>
      </c>
      <c r="E898" s="1" t="s">
        <v>229</v>
      </c>
      <c r="F898" s="1" t="s">
        <v>83</v>
      </c>
      <c r="I898" s="12">
        <v>6.35</v>
      </c>
      <c r="J898" s="12">
        <v>18.100000000000001</v>
      </c>
      <c r="L898" s="16">
        <v>3390</v>
      </c>
      <c r="N898" s="16">
        <v>21609</v>
      </c>
      <c r="O898" s="15">
        <v>39.4</v>
      </c>
      <c r="P898" s="15">
        <v>7.3</v>
      </c>
      <c r="Q898" s="15">
        <v>47.3</v>
      </c>
      <c r="R898" s="15">
        <v>62</v>
      </c>
      <c r="T898" s="15"/>
      <c r="U898" s="15">
        <v>28</v>
      </c>
      <c r="V898" s="15">
        <v>5.9</v>
      </c>
      <c r="W898" s="12"/>
      <c r="X898" s="15"/>
      <c r="Y898" s="15">
        <v>68.5</v>
      </c>
      <c r="Z898" s="12">
        <v>1.83</v>
      </c>
      <c r="AB898" s="16"/>
      <c r="AD898" s="16"/>
      <c r="AE898" s="1">
        <v>1</v>
      </c>
    </row>
    <row r="899" spans="1:31" x14ac:dyDescent="0.2">
      <c r="A899" s="1">
        <v>898</v>
      </c>
      <c r="B899" s="1">
        <v>2016</v>
      </c>
      <c r="C899" s="1" t="s">
        <v>31</v>
      </c>
      <c r="D899" s="8" t="s">
        <v>37</v>
      </c>
      <c r="E899" s="8" t="s">
        <v>550</v>
      </c>
      <c r="F899" s="1" t="s">
        <v>32</v>
      </c>
      <c r="G899" s="8">
        <v>117</v>
      </c>
      <c r="I899" s="12">
        <v>8.92</v>
      </c>
      <c r="J899" s="7">
        <v>25.485714285714302</v>
      </c>
      <c r="K899" s="1" t="s">
        <v>34</v>
      </c>
      <c r="L899" s="14">
        <v>3390</v>
      </c>
      <c r="N899" s="14">
        <v>30242</v>
      </c>
      <c r="O899" s="13">
        <v>29.3</v>
      </c>
      <c r="P899" s="13">
        <v>8.9</v>
      </c>
      <c r="Q899" s="13">
        <v>44</v>
      </c>
      <c r="R899" s="13">
        <v>56.5</v>
      </c>
      <c r="S899" s="13"/>
      <c r="T899" s="13">
        <v>25.6</v>
      </c>
      <c r="U899" s="13">
        <v>30.7</v>
      </c>
      <c r="V899" s="13">
        <v>3.9</v>
      </c>
      <c r="W899" s="7">
        <v>0.71</v>
      </c>
      <c r="X899" s="13"/>
      <c r="Y899" s="13">
        <v>69.7</v>
      </c>
      <c r="Z899" s="7">
        <v>2.2200000000000002</v>
      </c>
      <c r="AA899" s="15" t="s">
        <v>89</v>
      </c>
      <c r="AB899" s="16"/>
      <c r="AD899" s="16"/>
      <c r="AE899" s="1">
        <v>1</v>
      </c>
    </row>
    <row r="900" spans="1:31" x14ac:dyDescent="0.2">
      <c r="A900" s="1">
        <v>899</v>
      </c>
      <c r="B900" s="1">
        <v>2014</v>
      </c>
      <c r="C900" s="1" t="s">
        <v>31</v>
      </c>
      <c r="D900" s="1" t="s">
        <v>125</v>
      </c>
      <c r="E900" s="1" t="s">
        <v>428</v>
      </c>
      <c r="F900" s="1" t="s">
        <v>32</v>
      </c>
      <c r="G900" s="1">
        <v>115</v>
      </c>
      <c r="I900" s="12">
        <v>9.8800000000000008</v>
      </c>
      <c r="J900" s="12">
        <v>28.2</v>
      </c>
      <c r="L900" s="16">
        <v>3390</v>
      </c>
      <c r="M900" s="1" t="s">
        <v>34</v>
      </c>
      <c r="N900" s="16">
        <v>33498</v>
      </c>
      <c r="O900" s="15">
        <v>32.5</v>
      </c>
      <c r="P900" s="15">
        <v>8.1999999999999993</v>
      </c>
      <c r="Q900" s="15">
        <v>41.1</v>
      </c>
      <c r="R900" s="15">
        <v>55.9</v>
      </c>
      <c r="T900" s="15"/>
      <c r="U900" s="15">
        <v>29.6</v>
      </c>
      <c r="V900" s="15">
        <v>6.2</v>
      </c>
      <c r="W900" s="12">
        <v>0.72</v>
      </c>
      <c r="X900" s="15"/>
      <c r="Y900" s="15">
        <v>69.400000000000006</v>
      </c>
      <c r="Z900" s="12">
        <v>2.27</v>
      </c>
      <c r="AB900" s="16"/>
      <c r="AD900" s="16"/>
      <c r="AE900" s="1">
        <v>1</v>
      </c>
    </row>
    <row r="901" spans="1:31" x14ac:dyDescent="0.2">
      <c r="A901" s="1">
        <v>900</v>
      </c>
      <c r="B901" s="1">
        <v>2021</v>
      </c>
      <c r="C901" s="1" t="s">
        <v>31</v>
      </c>
      <c r="D901" s="28" t="s">
        <v>914</v>
      </c>
      <c r="E901" s="1" t="s">
        <v>416</v>
      </c>
      <c r="F901" s="1" t="s">
        <v>32</v>
      </c>
      <c r="G901" s="1">
        <v>115</v>
      </c>
      <c r="H901" s="1" t="s">
        <v>89</v>
      </c>
      <c r="I901" s="12">
        <v>6.9952202214830006</v>
      </c>
      <c r="J901" s="12">
        <v>19.986343489999999</v>
      </c>
      <c r="K901" s="1" t="s">
        <v>89</v>
      </c>
      <c r="L901" s="16">
        <v>3391.6969884559999</v>
      </c>
      <c r="M901" s="16" t="s">
        <v>89</v>
      </c>
      <c r="N901" s="16">
        <v>23734.558842377999</v>
      </c>
      <c r="O901" s="15">
        <v>32.861024100000002</v>
      </c>
      <c r="P901" s="15">
        <v>7.640111417</v>
      </c>
      <c r="Q901" s="15">
        <v>37.531540333000002</v>
      </c>
      <c r="R901" s="15">
        <v>60.060129660999998</v>
      </c>
      <c r="T901" s="15">
        <v>21.609502216999999</v>
      </c>
      <c r="U901" s="15">
        <v>41.997033352999999</v>
      </c>
      <c r="V901" s="15">
        <v>5.8778075100000002</v>
      </c>
      <c r="W901" s="12">
        <v>0.71141975808000002</v>
      </c>
      <c r="X901" s="15"/>
      <c r="Y901" s="15">
        <v>72.920024362999996</v>
      </c>
      <c r="Z901" s="12"/>
      <c r="AA901" s="15">
        <v>0.774373851</v>
      </c>
      <c r="AB901" s="16">
        <f>AA901*33.334</f>
        <v>25.812977949234003</v>
      </c>
      <c r="AD901" s="16"/>
      <c r="AE901" s="1">
        <v>1</v>
      </c>
    </row>
    <row r="902" spans="1:31" x14ac:dyDescent="0.2">
      <c r="A902" s="1">
        <v>901</v>
      </c>
      <c r="B902" s="1">
        <v>2020</v>
      </c>
      <c r="C902" s="1" t="s">
        <v>31</v>
      </c>
      <c r="D902" s="19" t="s">
        <v>900</v>
      </c>
      <c r="E902" s="1" t="s">
        <v>769</v>
      </c>
      <c r="F902" s="1" t="s">
        <v>83</v>
      </c>
      <c r="G902" s="1">
        <v>115</v>
      </c>
      <c r="H902" s="1" t="s">
        <v>34</v>
      </c>
      <c r="I902" s="12">
        <v>5.7717653983789994</v>
      </c>
      <c r="J902" s="12">
        <v>16.490758281000002</v>
      </c>
      <c r="L902" s="16">
        <v>3391.7518672040001</v>
      </c>
      <c r="M902" s="16" t="s">
        <v>34</v>
      </c>
      <c r="N902" s="16">
        <v>19599.994901991999</v>
      </c>
      <c r="O902" s="15">
        <v>33.028868700000004</v>
      </c>
      <c r="P902" s="15">
        <v>8.43</v>
      </c>
      <c r="Q902" s="15">
        <v>42.89</v>
      </c>
      <c r="R902" s="15">
        <v>45.887500000000003</v>
      </c>
      <c r="S902" s="15"/>
      <c r="T902" s="15">
        <v>24.225000000000001</v>
      </c>
      <c r="U902" s="15">
        <v>30.1675</v>
      </c>
      <c r="V902" s="15">
        <v>5.25</v>
      </c>
      <c r="W902" s="12">
        <v>0.71306019099999995</v>
      </c>
      <c r="X902" s="15"/>
      <c r="Y902" s="15">
        <v>72.855267647999995</v>
      </c>
      <c r="Z902" s="12"/>
      <c r="AA902" s="15">
        <v>1.125</v>
      </c>
      <c r="AB902" s="16">
        <f>AA902*33.334</f>
        <v>37.500750000000004</v>
      </c>
      <c r="AD902" s="16"/>
      <c r="AE902" s="1">
        <v>1</v>
      </c>
    </row>
    <row r="903" spans="1:31" x14ac:dyDescent="0.2">
      <c r="A903" s="1">
        <v>902</v>
      </c>
      <c r="B903" s="1">
        <v>2015</v>
      </c>
      <c r="C903" s="8" t="s">
        <v>31</v>
      </c>
      <c r="D903" s="1" t="s">
        <v>805</v>
      </c>
      <c r="E903" s="8" t="s">
        <v>485</v>
      </c>
      <c r="F903" s="1" t="s">
        <v>83</v>
      </c>
      <c r="H903" s="1" t="s">
        <v>34</v>
      </c>
      <c r="I903" s="12">
        <v>7.62</v>
      </c>
      <c r="J903" s="7">
        <v>27.3</v>
      </c>
      <c r="L903" s="14">
        <v>3392</v>
      </c>
      <c r="M903" s="1" t="s">
        <v>34</v>
      </c>
      <c r="N903" s="14">
        <v>25751</v>
      </c>
      <c r="O903" s="13">
        <v>32</v>
      </c>
      <c r="P903" s="13">
        <v>7.3</v>
      </c>
      <c r="Q903" s="13">
        <v>41.6</v>
      </c>
      <c r="R903" s="13">
        <v>50.9</v>
      </c>
      <c r="S903" s="8"/>
      <c r="T903" s="13">
        <v>25.5</v>
      </c>
      <c r="U903" s="13">
        <v>32.799999999999997</v>
      </c>
      <c r="V903" s="13">
        <v>4.5999999999999996</v>
      </c>
      <c r="W903" s="7">
        <v>0.73</v>
      </c>
      <c r="X903" s="13"/>
      <c r="Y903" s="13">
        <v>70.8</v>
      </c>
      <c r="Z903" s="7">
        <v>1.62</v>
      </c>
      <c r="AA903" s="18">
        <v>1.5</v>
      </c>
      <c r="AB903" s="16">
        <f>AA903*10</f>
        <v>15</v>
      </c>
      <c r="AC903" s="15" t="s">
        <v>89</v>
      </c>
      <c r="AD903" s="16"/>
      <c r="AE903" s="1">
        <v>1</v>
      </c>
    </row>
    <row r="904" spans="1:31" x14ac:dyDescent="0.2">
      <c r="A904" s="1">
        <v>903</v>
      </c>
      <c r="B904" s="1">
        <v>2008</v>
      </c>
      <c r="C904" s="1" t="s">
        <v>31</v>
      </c>
      <c r="D904" s="1" t="s">
        <v>916</v>
      </c>
      <c r="E904" s="8" t="s">
        <v>61</v>
      </c>
      <c r="F904" s="8" t="s">
        <v>32</v>
      </c>
      <c r="G904" s="8"/>
      <c r="H904" s="8"/>
      <c r="I904" s="12">
        <v>8.4499999999999993</v>
      </c>
      <c r="J904" s="7">
        <v>29</v>
      </c>
      <c r="K904" s="13"/>
      <c r="L904" s="14">
        <v>3392</v>
      </c>
      <c r="M904" s="14"/>
      <c r="N904" s="14">
        <v>28747</v>
      </c>
      <c r="O904" s="13">
        <v>29</v>
      </c>
      <c r="P904" s="13">
        <v>8.6</v>
      </c>
      <c r="Q904" s="13">
        <v>47.8</v>
      </c>
      <c r="R904" s="13">
        <v>67.3</v>
      </c>
      <c r="S904" s="13"/>
      <c r="T904" s="13"/>
      <c r="U904" s="13">
        <v>25</v>
      </c>
      <c r="V904" s="13"/>
      <c r="W904" s="13"/>
      <c r="X904" s="15"/>
      <c r="Y904" s="13">
        <v>73.7</v>
      </c>
      <c r="Z904" s="7">
        <v>2.71</v>
      </c>
      <c r="AB904" s="16"/>
      <c r="AD904" s="16"/>
      <c r="AE904" s="1">
        <v>1</v>
      </c>
    </row>
    <row r="905" spans="1:31" x14ac:dyDescent="0.2">
      <c r="A905" s="1">
        <v>904</v>
      </c>
      <c r="B905" s="1">
        <v>2019</v>
      </c>
      <c r="C905" s="1" t="s">
        <v>88</v>
      </c>
      <c r="D905" s="8" t="s">
        <v>187</v>
      </c>
      <c r="E905" s="8">
        <v>18351</v>
      </c>
      <c r="F905" s="1" t="s">
        <v>32</v>
      </c>
      <c r="I905" s="12">
        <v>7.6849999999999996</v>
      </c>
      <c r="J905" s="3">
        <v>21.962499999999999</v>
      </c>
      <c r="K905" s="1" t="s">
        <v>34</v>
      </c>
      <c r="L905" s="5">
        <v>3393</v>
      </c>
      <c r="M905" s="1" t="s">
        <v>34</v>
      </c>
      <c r="N905" s="5">
        <v>26089.3</v>
      </c>
      <c r="O905" s="6">
        <v>37.200000000000003</v>
      </c>
      <c r="P905" s="6">
        <v>6.34</v>
      </c>
      <c r="Q905" s="6">
        <v>36.96</v>
      </c>
      <c r="R905" s="6">
        <v>28.0075</v>
      </c>
      <c r="S905" s="3"/>
      <c r="T905" s="6">
        <v>27.25</v>
      </c>
      <c r="U905" s="6">
        <v>28</v>
      </c>
      <c r="V905" s="6">
        <v>10.88</v>
      </c>
      <c r="W905" s="3">
        <v>0.752</v>
      </c>
      <c r="X905" s="6"/>
      <c r="Y905" s="6">
        <v>63.5</v>
      </c>
      <c r="Z905" s="3">
        <v>0.79749999999999999</v>
      </c>
      <c r="AB905" s="16"/>
      <c r="AC905" s="6">
        <v>0</v>
      </c>
      <c r="AD905" s="16">
        <f>AC905*10</f>
        <v>0</v>
      </c>
      <c r="AE905" s="1">
        <v>1</v>
      </c>
    </row>
    <row r="906" spans="1:31" x14ac:dyDescent="0.2">
      <c r="A906" s="1">
        <v>905</v>
      </c>
      <c r="B906" s="1">
        <v>2020</v>
      </c>
      <c r="C906" s="1" t="s">
        <v>31</v>
      </c>
      <c r="D906" s="1" t="s">
        <v>108</v>
      </c>
      <c r="E906" s="1" t="s">
        <v>781</v>
      </c>
      <c r="F906" s="1" t="s">
        <v>83</v>
      </c>
      <c r="G906" s="1">
        <v>117</v>
      </c>
      <c r="H906" s="1" t="s">
        <v>34</v>
      </c>
      <c r="I906" s="12">
        <v>5.8035126407174999</v>
      </c>
      <c r="J906" s="12">
        <v>16.581464688000001</v>
      </c>
      <c r="L906" s="16">
        <v>3393.94903067</v>
      </c>
      <c r="M906" s="16" t="s">
        <v>34</v>
      </c>
      <c r="N906" s="16">
        <v>19773.060696764001</v>
      </c>
      <c r="O906" s="15">
        <v>31.8325739</v>
      </c>
      <c r="P906" s="15">
        <v>9.0975000000000001</v>
      </c>
      <c r="Q906" s="15">
        <v>45.015000000000001</v>
      </c>
      <c r="R906" s="15">
        <v>47.122500000000002</v>
      </c>
      <c r="S906" s="15"/>
      <c r="T906" s="15">
        <v>25.585000000000001</v>
      </c>
      <c r="U906" s="15">
        <v>27.824999999999999</v>
      </c>
      <c r="V906" s="15">
        <v>4.7050000000000001</v>
      </c>
      <c r="W906" s="12">
        <v>0.71125514899999998</v>
      </c>
      <c r="X906" s="15"/>
      <c r="Y906" s="15">
        <v>73.227971787000001</v>
      </c>
      <c r="Z906" s="12"/>
      <c r="AA906" s="15">
        <v>1.375</v>
      </c>
      <c r="AB906" s="16">
        <f>AA906*33.334</f>
        <v>45.834250000000004</v>
      </c>
      <c r="AD906" s="16"/>
      <c r="AE906" s="1">
        <v>1</v>
      </c>
    </row>
    <row r="907" spans="1:31" x14ac:dyDescent="0.2">
      <c r="A907" s="1">
        <v>906</v>
      </c>
      <c r="B907" s="1">
        <v>2013</v>
      </c>
      <c r="C907" s="1" t="s">
        <v>31</v>
      </c>
      <c r="D907" s="8" t="s">
        <v>874</v>
      </c>
      <c r="E907" s="8" t="s">
        <v>362</v>
      </c>
      <c r="F907" s="1" t="s">
        <v>32</v>
      </c>
      <c r="G907" s="8">
        <v>117</v>
      </c>
      <c r="H907" s="8"/>
      <c r="I907" s="12">
        <v>8.82</v>
      </c>
      <c r="J907" s="7">
        <v>25.2</v>
      </c>
      <c r="K907" s="13"/>
      <c r="L907" s="14">
        <v>3394</v>
      </c>
      <c r="M907" s="14"/>
      <c r="N907" s="14">
        <v>29913</v>
      </c>
      <c r="O907" s="13">
        <v>31.4</v>
      </c>
      <c r="P907" s="13">
        <v>7.8</v>
      </c>
      <c r="Q907" s="13">
        <v>35.1</v>
      </c>
      <c r="R907" s="13">
        <v>47.4</v>
      </c>
      <c r="S907" s="13" t="s">
        <v>89</v>
      </c>
      <c r="T907" s="13"/>
      <c r="U907" s="13">
        <v>39.6</v>
      </c>
      <c r="V907" s="13">
        <v>3.3</v>
      </c>
      <c r="W907" s="7">
        <v>0.74</v>
      </c>
      <c r="X907" s="15" t="s">
        <v>89</v>
      </c>
      <c r="Y907" s="15" t="s">
        <v>89</v>
      </c>
      <c r="Z907" s="7">
        <v>1.46</v>
      </c>
      <c r="AB907" s="16"/>
      <c r="AD907" s="16"/>
      <c r="AE907" s="1">
        <v>1</v>
      </c>
    </row>
    <row r="908" spans="1:31" x14ac:dyDescent="0.2">
      <c r="A908" s="1">
        <v>907</v>
      </c>
      <c r="B908" s="1">
        <v>2014</v>
      </c>
      <c r="C908" s="1" t="s">
        <v>31</v>
      </c>
      <c r="D908" s="1" t="s">
        <v>291</v>
      </c>
      <c r="E908" s="1" t="s">
        <v>450</v>
      </c>
      <c r="F908" s="1" t="s">
        <v>83</v>
      </c>
      <c r="G908" s="1">
        <v>116</v>
      </c>
      <c r="I908" s="12">
        <v>5.49</v>
      </c>
      <c r="J908" s="12">
        <v>15.7</v>
      </c>
      <c r="K908" s="1" t="s">
        <v>34</v>
      </c>
      <c r="L908" s="16">
        <v>3395</v>
      </c>
      <c r="M908" s="1" t="s">
        <v>34</v>
      </c>
      <c r="N908" s="16">
        <v>18573</v>
      </c>
      <c r="O908" s="15">
        <v>33.299999999999997</v>
      </c>
      <c r="P908" s="15">
        <v>7.26</v>
      </c>
      <c r="Q908" s="15">
        <v>39.200000000000003</v>
      </c>
      <c r="R908" s="15">
        <v>55.4</v>
      </c>
      <c r="T908" s="15"/>
      <c r="U908" s="15">
        <v>35.299999999999997</v>
      </c>
      <c r="V908" s="15">
        <v>3.4</v>
      </c>
      <c r="W908" s="12">
        <v>0.73</v>
      </c>
      <c r="X908" s="15"/>
      <c r="Y908" s="15">
        <v>70.400000000000006</v>
      </c>
      <c r="Z908" s="12">
        <v>1.2</v>
      </c>
      <c r="AA908" s="1">
        <v>6</v>
      </c>
      <c r="AB908" s="16">
        <f>AA908*10</f>
        <v>60</v>
      </c>
      <c r="AD908" s="16"/>
      <c r="AE908" s="1">
        <v>1</v>
      </c>
    </row>
    <row r="909" spans="1:31" x14ac:dyDescent="0.2">
      <c r="A909" s="1">
        <v>908</v>
      </c>
      <c r="B909" s="1">
        <v>2010</v>
      </c>
      <c r="C909" s="1" t="s">
        <v>31</v>
      </c>
      <c r="D909" s="8" t="s">
        <v>35</v>
      </c>
      <c r="E909" s="8">
        <v>9505</v>
      </c>
      <c r="F909" s="1" t="s">
        <v>83</v>
      </c>
      <c r="I909" s="12">
        <v>7.2</v>
      </c>
      <c r="J909" s="7">
        <v>20.571428571428601</v>
      </c>
      <c r="L909" s="14">
        <v>3395</v>
      </c>
      <c r="N909" s="14">
        <v>24439</v>
      </c>
      <c r="O909" s="13">
        <v>31.7</v>
      </c>
      <c r="P909" s="13">
        <v>8.1999999999999993</v>
      </c>
      <c r="Q909" s="13">
        <v>46.4</v>
      </c>
      <c r="R909" s="13">
        <v>56.6</v>
      </c>
      <c r="S909" s="13"/>
      <c r="T909" s="15"/>
      <c r="U909" s="13">
        <v>27.3</v>
      </c>
      <c r="V909" s="13">
        <v>7.6</v>
      </c>
      <c r="W909" s="12"/>
      <c r="X909" s="15"/>
      <c r="Y909" s="13">
        <v>70</v>
      </c>
      <c r="Z909" s="7">
        <v>1.89</v>
      </c>
      <c r="AB909" s="16"/>
      <c r="AD909" s="16"/>
      <c r="AE909" s="1">
        <v>1</v>
      </c>
    </row>
    <row r="910" spans="1:31" x14ac:dyDescent="0.2">
      <c r="A910" s="1">
        <v>909</v>
      </c>
      <c r="B910" s="1">
        <v>2020</v>
      </c>
      <c r="C910" s="1" t="s">
        <v>31</v>
      </c>
      <c r="D910" s="19" t="s">
        <v>900</v>
      </c>
      <c r="E910" s="1" t="s">
        <v>770</v>
      </c>
      <c r="F910" s="1" t="s">
        <v>83</v>
      </c>
      <c r="G910" s="1">
        <v>116</v>
      </c>
      <c r="H910" s="1" t="s">
        <v>754</v>
      </c>
      <c r="I910" s="12">
        <v>5.4481831569345003</v>
      </c>
      <c r="J910" s="12">
        <v>15.566237591</v>
      </c>
      <c r="L910" s="16">
        <v>3395.2370626219999</v>
      </c>
      <c r="M910" s="16" t="s">
        <v>34</v>
      </c>
      <c r="N910" s="16">
        <v>18506.910410667999</v>
      </c>
      <c r="O910" s="15">
        <v>32.049513699999999</v>
      </c>
      <c r="P910" s="15">
        <v>8.84</v>
      </c>
      <c r="Q910" s="15">
        <v>41.69</v>
      </c>
      <c r="R910" s="15">
        <v>45.222499999999997</v>
      </c>
      <c r="S910" s="15"/>
      <c r="T910" s="15">
        <v>23.012499999999999</v>
      </c>
      <c r="U910" s="15">
        <v>30.555</v>
      </c>
      <c r="V910" s="15">
        <v>5.7474999999999996</v>
      </c>
      <c r="W910" s="12">
        <v>0.7141925360000001</v>
      </c>
      <c r="X910" s="15"/>
      <c r="Y910" s="15">
        <v>72.796143420999996</v>
      </c>
      <c r="Z910" s="12"/>
      <c r="AA910" s="15">
        <v>1.125</v>
      </c>
      <c r="AB910" s="16">
        <f>AA910*33.334</f>
        <v>37.500750000000004</v>
      </c>
      <c r="AD910" s="16"/>
      <c r="AE910" s="1">
        <v>1</v>
      </c>
    </row>
    <row r="911" spans="1:31" x14ac:dyDescent="0.2">
      <c r="A911" s="1">
        <v>910</v>
      </c>
      <c r="B911" s="1">
        <v>2013</v>
      </c>
      <c r="C911" s="1" t="s">
        <v>31</v>
      </c>
      <c r="D911" s="8" t="s">
        <v>108</v>
      </c>
      <c r="E911" s="8" t="s">
        <v>370</v>
      </c>
      <c r="F911" s="1" t="s">
        <v>32</v>
      </c>
      <c r="G911" s="8">
        <v>117</v>
      </c>
      <c r="H911" s="8"/>
      <c r="I911" s="12">
        <v>8.68</v>
      </c>
      <c r="J911" s="7">
        <v>24.8</v>
      </c>
      <c r="K911" s="13"/>
      <c r="L911" s="14">
        <v>3399</v>
      </c>
      <c r="M911" s="8"/>
      <c r="N911" s="14">
        <v>29459</v>
      </c>
      <c r="O911" s="13">
        <v>33</v>
      </c>
      <c r="P911" s="13">
        <v>7.4</v>
      </c>
      <c r="Q911" s="13">
        <v>38.700000000000003</v>
      </c>
      <c r="R911" s="13">
        <v>52</v>
      </c>
      <c r="S911" s="13"/>
      <c r="T911" s="13"/>
      <c r="U911" s="13">
        <v>35.1</v>
      </c>
      <c r="V911" s="13">
        <v>5.4</v>
      </c>
      <c r="W911" s="7">
        <v>0.74</v>
      </c>
      <c r="X911" s="15"/>
      <c r="Y911" s="15"/>
      <c r="Z911" s="7">
        <v>1.76</v>
      </c>
      <c r="AB911" s="16"/>
      <c r="AD911" s="16"/>
      <c r="AE911" s="1">
        <v>1</v>
      </c>
    </row>
    <row r="912" spans="1:31" x14ac:dyDescent="0.2">
      <c r="A912" s="1">
        <v>911</v>
      </c>
      <c r="B912" s="1">
        <v>2011</v>
      </c>
      <c r="C912" s="1" t="s">
        <v>31</v>
      </c>
      <c r="D912" s="1" t="s">
        <v>916</v>
      </c>
      <c r="E912" s="1">
        <v>8701</v>
      </c>
      <c r="F912" s="1" t="s">
        <v>83</v>
      </c>
      <c r="I912" s="12">
        <v>5.79</v>
      </c>
      <c r="J912" s="12">
        <v>16.5</v>
      </c>
      <c r="L912" s="16">
        <v>3400</v>
      </c>
      <c r="N912" s="16">
        <v>19731</v>
      </c>
      <c r="O912" s="15">
        <v>29.8</v>
      </c>
      <c r="P912" s="15">
        <v>8.1999999999999993</v>
      </c>
      <c r="Q912" s="15">
        <v>48.3</v>
      </c>
      <c r="R912" s="15">
        <v>63.6</v>
      </c>
      <c r="T912" s="15"/>
      <c r="U912" s="15">
        <v>25.4</v>
      </c>
      <c r="V912" s="15">
        <v>6.7</v>
      </c>
      <c r="W912" s="12"/>
      <c r="X912" s="15"/>
      <c r="Y912" s="15">
        <v>68.5</v>
      </c>
      <c r="Z912" s="12">
        <v>1.75</v>
      </c>
      <c r="AB912" s="16"/>
      <c r="AD912" s="16"/>
      <c r="AE912" s="1">
        <v>1</v>
      </c>
    </row>
    <row r="913" spans="1:31" x14ac:dyDescent="0.2">
      <c r="A913" s="1">
        <v>912</v>
      </c>
      <c r="B913" s="1">
        <v>2009</v>
      </c>
      <c r="C913" s="1" t="s">
        <v>31</v>
      </c>
      <c r="D913" s="8" t="s">
        <v>37</v>
      </c>
      <c r="E913" s="8" t="s">
        <v>102</v>
      </c>
      <c r="F913" s="1" t="s">
        <v>32</v>
      </c>
      <c r="I913" s="12">
        <v>7.23</v>
      </c>
      <c r="J913" s="7">
        <v>20.657142857142901</v>
      </c>
      <c r="L913" s="14">
        <v>3400</v>
      </c>
      <c r="N913" s="14">
        <v>24604</v>
      </c>
      <c r="O913" s="13">
        <v>27.1</v>
      </c>
      <c r="P913" s="13">
        <v>10.199999999999999</v>
      </c>
      <c r="Q913" s="13">
        <v>43.8</v>
      </c>
      <c r="R913" s="13">
        <v>57.8</v>
      </c>
      <c r="S913" s="13"/>
      <c r="T913" s="15" t="s">
        <v>89</v>
      </c>
      <c r="U913" s="13">
        <v>29.8</v>
      </c>
      <c r="V913" s="13">
        <v>8.1999999999999993</v>
      </c>
      <c r="W913" s="12" t="s">
        <v>89</v>
      </c>
      <c r="X913" s="15"/>
      <c r="Y913" s="13">
        <v>72.900000000000006</v>
      </c>
      <c r="Z913" s="7">
        <v>1.83</v>
      </c>
      <c r="AB913" s="16"/>
      <c r="AD913" s="16"/>
      <c r="AE913" s="1">
        <v>1</v>
      </c>
    </row>
    <row r="914" spans="1:31" x14ac:dyDescent="0.2">
      <c r="A914" s="1">
        <v>913</v>
      </c>
      <c r="B914" s="1">
        <v>2020</v>
      </c>
      <c r="C914" s="1" t="s">
        <v>31</v>
      </c>
      <c r="D914" s="19" t="s">
        <v>900</v>
      </c>
      <c r="E914" s="1" t="s">
        <v>772</v>
      </c>
      <c r="F914" s="1" t="s">
        <v>83</v>
      </c>
      <c r="G914" s="1">
        <v>117</v>
      </c>
      <c r="H914" s="1" t="s">
        <v>754</v>
      </c>
      <c r="I914" s="12">
        <v>5.0770466972074999</v>
      </c>
      <c r="J914" s="12">
        <v>14.505847706000001</v>
      </c>
      <c r="L914" s="16">
        <v>3400.4835873450002</v>
      </c>
      <c r="M914" s="16" t="s">
        <v>754</v>
      </c>
      <c r="N914" s="16">
        <v>17292.020269805998</v>
      </c>
      <c r="O914" s="15">
        <v>30.562725</v>
      </c>
      <c r="P914" s="15">
        <v>8.2575000000000003</v>
      </c>
      <c r="Q914" s="15">
        <v>41.607500000000002</v>
      </c>
      <c r="R914" s="15">
        <v>42.032499999999999</v>
      </c>
      <c r="S914" s="15"/>
      <c r="T914" s="15">
        <v>23.37</v>
      </c>
      <c r="U914" s="15">
        <v>33.647500000000001</v>
      </c>
      <c r="V914" s="15">
        <v>3.5175000000000001</v>
      </c>
      <c r="W914" s="12">
        <v>0.71572545599999993</v>
      </c>
      <c r="X914" s="15"/>
      <c r="Y914" s="15">
        <v>72.789251441000005</v>
      </c>
      <c r="Z914" s="12"/>
      <c r="AA914" s="15">
        <v>1.375</v>
      </c>
      <c r="AB914" s="16">
        <f>AA914*33.334</f>
        <v>45.834250000000004</v>
      </c>
      <c r="AD914" s="16"/>
      <c r="AE914" s="1">
        <v>1</v>
      </c>
    </row>
    <row r="915" spans="1:31" x14ac:dyDescent="0.2">
      <c r="A915" s="1">
        <v>914</v>
      </c>
      <c r="B915" s="1">
        <v>2021</v>
      </c>
      <c r="C915" s="1" t="s">
        <v>31</v>
      </c>
      <c r="D915" s="1" t="s">
        <v>108</v>
      </c>
      <c r="E915" s="1" t="s">
        <v>780</v>
      </c>
      <c r="F915" s="1" t="s">
        <v>83</v>
      </c>
      <c r="G915" s="1">
        <v>116</v>
      </c>
      <c r="I915" s="12">
        <v>6.0049518850655002</v>
      </c>
      <c r="J915" s="12">
        <v>17.157005386000002</v>
      </c>
      <c r="L915" s="16">
        <v>3400.6209669999998</v>
      </c>
      <c r="N915" s="16">
        <v>20546.665380684</v>
      </c>
      <c r="O915" s="15">
        <v>38.510898500000003</v>
      </c>
      <c r="P915" s="15">
        <v>9.0890546800000003</v>
      </c>
      <c r="Q915" s="15">
        <v>21.732500000000002</v>
      </c>
      <c r="R915" s="15">
        <v>38.79</v>
      </c>
      <c r="U915" s="15">
        <v>35.49</v>
      </c>
      <c r="V915" s="15">
        <v>8.3550000000000004</v>
      </c>
      <c r="W915" s="12">
        <v>0.71168630553000001</v>
      </c>
      <c r="X915" s="15"/>
      <c r="Y915" s="15">
        <v>73.151716557</v>
      </c>
      <c r="Z915" s="12"/>
      <c r="AA915" s="15">
        <v>0.375</v>
      </c>
      <c r="AB915" s="16">
        <f>AA915*33.334</f>
        <v>12.500250000000001</v>
      </c>
      <c r="AD915" s="16"/>
      <c r="AE915" s="1">
        <v>1</v>
      </c>
    </row>
    <row r="916" spans="1:31" x14ac:dyDescent="0.2">
      <c r="A916" s="1">
        <v>915</v>
      </c>
      <c r="B916" s="1">
        <v>2017</v>
      </c>
      <c r="C916" s="1" t="s">
        <v>31</v>
      </c>
      <c r="D916" s="28" t="s">
        <v>914</v>
      </c>
      <c r="E916" s="8" t="s">
        <v>606</v>
      </c>
      <c r="F916" s="1" t="s">
        <v>32</v>
      </c>
      <c r="G916" s="1">
        <v>114</v>
      </c>
      <c r="H916" s="1" t="s">
        <v>34</v>
      </c>
      <c r="I916" s="12">
        <v>9.07</v>
      </c>
      <c r="J916" s="3">
        <v>25.92</v>
      </c>
      <c r="L916" s="5">
        <v>3401</v>
      </c>
      <c r="N916" s="5">
        <v>30836.109700000001</v>
      </c>
      <c r="O916" s="6">
        <v>31.8033924</v>
      </c>
      <c r="P916" s="6">
        <v>7.3525</v>
      </c>
      <c r="Q916" s="6">
        <v>41.134999999999998</v>
      </c>
      <c r="R916" s="6">
        <v>54</v>
      </c>
      <c r="S916" s="3"/>
      <c r="T916" s="6">
        <v>25.454999999999998</v>
      </c>
      <c r="U916" s="6">
        <v>35.6325</v>
      </c>
      <c r="V916" s="6">
        <v>2.7149999999999999</v>
      </c>
      <c r="W916" s="3">
        <v>0.75885795</v>
      </c>
      <c r="X916" s="6"/>
      <c r="Y916" s="6">
        <v>70.42</v>
      </c>
      <c r="Z916" s="3">
        <v>2.0147877200000002</v>
      </c>
      <c r="AB916" s="16"/>
      <c r="AD916" s="16"/>
      <c r="AE916" s="1">
        <v>1</v>
      </c>
    </row>
    <row r="917" spans="1:31" x14ac:dyDescent="0.2">
      <c r="A917" s="1">
        <v>916</v>
      </c>
      <c r="B917" s="1">
        <v>2013</v>
      </c>
      <c r="C917" s="1" t="s">
        <v>31</v>
      </c>
      <c r="D917" s="28" t="s">
        <v>914</v>
      </c>
      <c r="E917" s="8" t="s">
        <v>365</v>
      </c>
      <c r="F917" s="1" t="s">
        <v>32</v>
      </c>
      <c r="G917" s="8">
        <v>119</v>
      </c>
      <c r="H917" s="8"/>
      <c r="I917" s="12">
        <v>10</v>
      </c>
      <c r="J917" s="7">
        <v>28.571428571428601</v>
      </c>
      <c r="K917" s="13" t="s">
        <v>34</v>
      </c>
      <c r="L917" s="14">
        <v>3401</v>
      </c>
      <c r="M917" s="14" t="s">
        <v>34</v>
      </c>
      <c r="N917" s="14">
        <v>34023</v>
      </c>
      <c r="O917" s="13">
        <v>33.9</v>
      </c>
      <c r="P917" s="13">
        <v>7.8</v>
      </c>
      <c r="Q917" s="13">
        <v>36.5</v>
      </c>
      <c r="R917" s="13">
        <v>50.8</v>
      </c>
      <c r="S917" s="13" t="s">
        <v>89</v>
      </c>
      <c r="T917" s="13"/>
      <c r="U917" s="13">
        <v>36.700000000000003</v>
      </c>
      <c r="V917" s="13">
        <v>4.4000000000000004</v>
      </c>
      <c r="W917" s="7">
        <v>0.75</v>
      </c>
      <c r="X917" s="15" t="s">
        <v>89</v>
      </c>
      <c r="Y917" s="15" t="s">
        <v>89</v>
      </c>
      <c r="Z917" s="7">
        <v>1.86</v>
      </c>
      <c r="AB917" s="16"/>
      <c r="AD917" s="16"/>
      <c r="AE917" s="1">
        <v>1</v>
      </c>
    </row>
    <row r="918" spans="1:31" x14ac:dyDescent="0.2">
      <c r="A918" s="1">
        <v>917</v>
      </c>
      <c r="B918" s="1">
        <v>2015</v>
      </c>
      <c r="C918" s="8" t="s">
        <v>31</v>
      </c>
      <c r="D918" s="28" t="s">
        <v>914</v>
      </c>
      <c r="E918" s="8" t="s">
        <v>482</v>
      </c>
      <c r="F918" s="1" t="s">
        <v>32</v>
      </c>
      <c r="G918" s="8">
        <v>118</v>
      </c>
      <c r="H918" s="1" t="s">
        <v>34</v>
      </c>
      <c r="I918" s="12">
        <v>10.36</v>
      </c>
      <c r="J918" s="7">
        <v>29.6</v>
      </c>
      <c r="L918" s="14">
        <v>3401</v>
      </c>
      <c r="M918" s="1" t="s">
        <v>34</v>
      </c>
      <c r="N918" s="14">
        <v>35275</v>
      </c>
      <c r="O918" s="13">
        <v>33.5</v>
      </c>
      <c r="P918" s="13">
        <v>6.6</v>
      </c>
      <c r="Q918" s="13">
        <v>39.9</v>
      </c>
      <c r="R918" s="13">
        <v>50.2</v>
      </c>
      <c r="S918" s="8"/>
      <c r="T918" s="13">
        <v>27.2</v>
      </c>
      <c r="U918" s="13">
        <v>31.4</v>
      </c>
      <c r="V918" s="13">
        <v>4.3</v>
      </c>
      <c r="W918" s="7">
        <v>0.73</v>
      </c>
      <c r="X918" s="13"/>
      <c r="Y918" s="13">
        <v>72</v>
      </c>
      <c r="Z918" s="7">
        <v>2.0699999999999998</v>
      </c>
      <c r="AA918" s="1" t="s">
        <v>89</v>
      </c>
      <c r="AB918" s="16" t="s">
        <v>89</v>
      </c>
      <c r="AC918" s="1" t="s">
        <v>89</v>
      </c>
      <c r="AD918" s="16" t="s">
        <v>89</v>
      </c>
      <c r="AE918" s="1">
        <v>1</v>
      </c>
    </row>
    <row r="919" spans="1:31" x14ac:dyDescent="0.2">
      <c r="A919" s="1">
        <v>918</v>
      </c>
      <c r="B919" s="1">
        <v>2010</v>
      </c>
      <c r="C919" s="1" t="s">
        <v>31</v>
      </c>
      <c r="D919" s="1" t="s">
        <v>805</v>
      </c>
      <c r="E919" s="8" t="s">
        <v>170</v>
      </c>
      <c r="F919" s="1" t="s">
        <v>32</v>
      </c>
      <c r="I919" s="12">
        <v>10.62</v>
      </c>
      <c r="J919" s="7">
        <v>30.342857142857099</v>
      </c>
      <c r="L919" s="14">
        <v>3401</v>
      </c>
      <c r="N919" s="14">
        <v>36084</v>
      </c>
      <c r="O919" s="13">
        <v>32</v>
      </c>
      <c r="P919" s="13">
        <v>9.1</v>
      </c>
      <c r="Q919" s="13">
        <v>42.8</v>
      </c>
      <c r="R919" s="13">
        <v>56.1</v>
      </c>
      <c r="S919" s="13"/>
      <c r="T919" s="15"/>
      <c r="U919" s="13">
        <v>36</v>
      </c>
      <c r="V919" s="13">
        <v>4.5999999999999996</v>
      </c>
      <c r="W919" s="12"/>
      <c r="X919" s="15"/>
      <c r="Y919" s="13">
        <v>70.599999999999994</v>
      </c>
      <c r="Z919" s="7">
        <v>2.56</v>
      </c>
      <c r="AB919" s="16"/>
      <c r="AD919" s="16"/>
      <c r="AE919" s="1">
        <v>1</v>
      </c>
    </row>
    <row r="920" spans="1:31" x14ac:dyDescent="0.2">
      <c r="A920" s="1">
        <v>919</v>
      </c>
      <c r="B920" s="1">
        <v>2021</v>
      </c>
      <c r="C920" s="1" t="s">
        <v>31</v>
      </c>
      <c r="D920" s="1" t="s">
        <v>815</v>
      </c>
      <c r="E920" s="1" t="s">
        <v>825</v>
      </c>
      <c r="F920" s="1" t="s">
        <v>32</v>
      </c>
      <c r="G920" s="1">
        <v>116</v>
      </c>
      <c r="H920" s="1" t="s">
        <v>89</v>
      </c>
      <c r="I920" s="12">
        <v>7.8700753244759998</v>
      </c>
      <c r="J920" s="12">
        <v>22.485929499000001</v>
      </c>
      <c r="K920" s="1" t="s">
        <v>89</v>
      </c>
      <c r="L920" s="16">
        <v>3401.0059156269999</v>
      </c>
      <c r="M920" s="16" t="s">
        <v>89</v>
      </c>
      <c r="N920" s="16">
        <v>26612.124244513001</v>
      </c>
      <c r="O920" s="15">
        <v>34.259957400000005</v>
      </c>
      <c r="P920" s="15">
        <v>7.3869884690000003</v>
      </c>
      <c r="Q920" s="15">
        <v>39.719914920999997</v>
      </c>
      <c r="R920" s="15">
        <v>61.103993875</v>
      </c>
      <c r="T920" s="15">
        <v>22.003643046000001</v>
      </c>
      <c r="U920" s="15">
        <v>40.038330174999999</v>
      </c>
      <c r="V920" s="15">
        <v>5.9439573330000002</v>
      </c>
      <c r="W920" s="12">
        <v>0.71176558595000006</v>
      </c>
      <c r="X920" s="15"/>
      <c r="Y920" s="15">
        <v>73.300183296</v>
      </c>
      <c r="Z920" s="12"/>
      <c r="AA920" s="15">
        <v>0.48257673699999998</v>
      </c>
      <c r="AB920" s="16">
        <f>AA920*33.334</f>
        <v>16.086212951158</v>
      </c>
      <c r="AD920" s="16"/>
      <c r="AE920" s="1">
        <v>1</v>
      </c>
    </row>
    <row r="921" spans="1:31" x14ac:dyDescent="0.2">
      <c r="A921" s="1">
        <v>920</v>
      </c>
      <c r="B921" s="1">
        <v>2015</v>
      </c>
      <c r="C921" s="8" t="s">
        <v>31</v>
      </c>
      <c r="D921" s="1" t="s">
        <v>805</v>
      </c>
      <c r="E921" s="8" t="s">
        <v>484</v>
      </c>
      <c r="F921" s="1" t="s">
        <v>83</v>
      </c>
      <c r="I921" s="12">
        <v>6.52</v>
      </c>
      <c r="J921" s="7">
        <v>18.62857142857143</v>
      </c>
      <c r="L921" s="14">
        <v>3402</v>
      </c>
      <c r="N921" s="14">
        <v>22090</v>
      </c>
      <c r="O921" s="13">
        <v>35.200000000000003</v>
      </c>
      <c r="P921" s="13">
        <v>6.8</v>
      </c>
      <c r="Q921" s="13">
        <v>40.200000000000003</v>
      </c>
      <c r="R921" s="13">
        <v>53.5</v>
      </c>
      <c r="S921" s="8"/>
      <c r="T921" s="13">
        <v>23.7</v>
      </c>
      <c r="U921" s="13">
        <v>36.299999999999997</v>
      </c>
      <c r="V921" s="13">
        <v>4.2</v>
      </c>
      <c r="W921" s="7">
        <v>0.75</v>
      </c>
      <c r="X921" s="13"/>
      <c r="Y921" s="13">
        <v>72.3</v>
      </c>
      <c r="Z921" s="7">
        <v>1.42</v>
      </c>
      <c r="AA921" s="18">
        <v>2.125</v>
      </c>
      <c r="AB921" s="16">
        <f>AA921*10</f>
        <v>21.25</v>
      </c>
      <c r="AC921" s="15" t="s">
        <v>89</v>
      </c>
      <c r="AD921" s="16"/>
      <c r="AE921" s="1">
        <v>1</v>
      </c>
    </row>
    <row r="922" spans="1:31" x14ac:dyDescent="0.2">
      <c r="A922" s="1">
        <v>921</v>
      </c>
      <c r="B922" s="1">
        <v>2013</v>
      </c>
      <c r="C922" s="1" t="s">
        <v>31</v>
      </c>
      <c r="D922" s="8" t="s">
        <v>37</v>
      </c>
      <c r="E922" s="8" t="s">
        <v>373</v>
      </c>
      <c r="F922" s="1" t="s">
        <v>32</v>
      </c>
      <c r="G922" s="8">
        <v>114</v>
      </c>
      <c r="H922" s="8"/>
      <c r="I922" s="12">
        <v>8.1300000000000008</v>
      </c>
      <c r="J922" s="7">
        <v>23.228571428571399</v>
      </c>
      <c r="K922" s="13"/>
      <c r="L922" s="14">
        <v>3402</v>
      </c>
      <c r="M922" s="14"/>
      <c r="N922" s="14">
        <v>27610</v>
      </c>
      <c r="O922" s="13">
        <v>30.2</v>
      </c>
      <c r="P922" s="13">
        <v>8.1999999999999993</v>
      </c>
      <c r="Q922" s="13">
        <v>41.2</v>
      </c>
      <c r="R922" s="13">
        <v>55.2</v>
      </c>
      <c r="S922" s="13"/>
      <c r="T922" s="13"/>
      <c r="U922" s="13">
        <v>31.4</v>
      </c>
      <c r="V922" s="13">
        <v>5.0999999999999996</v>
      </c>
      <c r="W922" s="7">
        <v>0.73</v>
      </c>
      <c r="X922" s="15"/>
      <c r="Y922" s="15"/>
      <c r="Z922" s="7">
        <v>1.85</v>
      </c>
      <c r="AB922" s="16"/>
      <c r="AD922" s="16"/>
      <c r="AE922" s="1">
        <v>1</v>
      </c>
    </row>
    <row r="923" spans="1:31" x14ac:dyDescent="0.2">
      <c r="A923" s="1">
        <v>922</v>
      </c>
      <c r="B923" s="1">
        <v>2021</v>
      </c>
      <c r="C923" s="1" t="s">
        <v>31</v>
      </c>
      <c r="D923" s="22" t="s">
        <v>917</v>
      </c>
      <c r="E923" s="1" t="s">
        <v>827</v>
      </c>
      <c r="F923" s="1" t="s">
        <v>32</v>
      </c>
      <c r="G923" s="1">
        <v>116</v>
      </c>
      <c r="H923" s="1" t="s">
        <v>89</v>
      </c>
      <c r="I923" s="12">
        <v>6.2646702656875002</v>
      </c>
      <c r="J923" s="12">
        <v>17.899057901999999</v>
      </c>
      <c r="K923" s="1" t="s">
        <v>89</v>
      </c>
      <c r="L923" s="16">
        <v>3402.6462619980002</v>
      </c>
      <c r="M923" s="16" t="s">
        <v>89</v>
      </c>
      <c r="N923" s="16">
        <v>21509.601718005</v>
      </c>
      <c r="O923" s="15">
        <v>34.408729399999999</v>
      </c>
      <c r="P923" s="15">
        <v>7.4478476730000001</v>
      </c>
      <c r="Q923" s="15">
        <v>38.305718313</v>
      </c>
      <c r="R923" s="15">
        <v>60.766169738000002</v>
      </c>
      <c r="T923" s="15">
        <v>21.637510756000001</v>
      </c>
      <c r="U923" s="15">
        <v>41.820409869999999</v>
      </c>
      <c r="V923" s="15">
        <v>6.2275526599999997</v>
      </c>
      <c r="W923" s="12">
        <v>0.71231973868999998</v>
      </c>
      <c r="X923" s="15"/>
      <c r="Y923" s="15">
        <v>73.139074312999995</v>
      </c>
      <c r="Z923" s="12"/>
      <c r="AA923" s="15">
        <v>0.58578064399999996</v>
      </c>
      <c r="AB923" s="16">
        <f>AA923*33.334</f>
        <v>19.526411987096001</v>
      </c>
      <c r="AD923" s="16"/>
      <c r="AE923" s="1">
        <v>1</v>
      </c>
    </row>
    <row r="924" spans="1:31" x14ac:dyDescent="0.2">
      <c r="A924" s="1">
        <v>923</v>
      </c>
      <c r="B924" s="1">
        <v>2013</v>
      </c>
      <c r="C924" s="1" t="s">
        <v>31</v>
      </c>
      <c r="D924" s="22" t="s">
        <v>917</v>
      </c>
      <c r="E924" s="8" t="s">
        <v>377</v>
      </c>
      <c r="F924" s="1" t="s">
        <v>32</v>
      </c>
      <c r="G924" s="8">
        <v>115</v>
      </c>
      <c r="H924" s="8"/>
      <c r="I924" s="12">
        <v>9.24</v>
      </c>
      <c r="J924" s="7">
        <v>26.4</v>
      </c>
      <c r="K924" s="13"/>
      <c r="L924" s="14">
        <v>3403</v>
      </c>
      <c r="M924" s="14"/>
      <c r="N924" s="14">
        <v>31428</v>
      </c>
      <c r="O924" s="13">
        <v>31.8</v>
      </c>
      <c r="P924" s="13">
        <v>7.9</v>
      </c>
      <c r="Q924" s="13">
        <v>41</v>
      </c>
      <c r="R924" s="13">
        <v>54.4</v>
      </c>
      <c r="S924" s="13"/>
      <c r="T924" s="13"/>
      <c r="U924" s="13">
        <v>33.6</v>
      </c>
      <c r="V924" s="13">
        <v>4.7</v>
      </c>
      <c r="W924" s="7">
        <v>0.73</v>
      </c>
      <c r="X924" s="15"/>
      <c r="Y924" s="15"/>
      <c r="Z924" s="7">
        <v>2.06</v>
      </c>
      <c r="AB924" s="16"/>
      <c r="AD924" s="16"/>
      <c r="AE924" s="1">
        <v>1</v>
      </c>
    </row>
    <row r="925" spans="1:31" x14ac:dyDescent="0.2">
      <c r="A925" s="1">
        <v>924</v>
      </c>
      <c r="B925" s="1">
        <v>2015</v>
      </c>
      <c r="C925" s="8" t="s">
        <v>31</v>
      </c>
      <c r="D925" s="8" t="s">
        <v>108</v>
      </c>
      <c r="E925" s="8" t="s">
        <v>431</v>
      </c>
      <c r="F925" s="1" t="s">
        <v>83</v>
      </c>
      <c r="I925" s="12">
        <v>7</v>
      </c>
      <c r="J925" s="7">
        <v>20</v>
      </c>
      <c r="L925" s="14">
        <v>3404</v>
      </c>
      <c r="N925" s="14">
        <v>23797</v>
      </c>
      <c r="O925" s="13">
        <v>31.2</v>
      </c>
      <c r="P925" s="13">
        <v>7.2</v>
      </c>
      <c r="Q925" s="13">
        <v>41.6</v>
      </c>
      <c r="R925" s="13">
        <v>50.1</v>
      </c>
      <c r="S925" s="8"/>
      <c r="T925" s="13">
        <v>26.1</v>
      </c>
      <c r="U925" s="13">
        <v>31.9</v>
      </c>
      <c r="V925" s="13">
        <v>4</v>
      </c>
      <c r="W925" s="7">
        <v>0.74</v>
      </c>
      <c r="X925" s="13"/>
      <c r="Y925" s="13">
        <v>70.8</v>
      </c>
      <c r="Z925" s="7">
        <v>1.47</v>
      </c>
      <c r="AA925" s="18">
        <v>1</v>
      </c>
      <c r="AB925" s="16">
        <f>AA925*10</f>
        <v>10</v>
      </c>
      <c r="AC925" s="15" t="s">
        <v>89</v>
      </c>
      <c r="AD925" s="16"/>
      <c r="AE925" s="1">
        <v>1</v>
      </c>
    </row>
    <row r="926" spans="1:31" x14ac:dyDescent="0.2">
      <c r="A926" s="1">
        <v>925</v>
      </c>
      <c r="B926" s="1">
        <v>2014</v>
      </c>
      <c r="C926" s="1" t="s">
        <v>31</v>
      </c>
      <c r="D926" s="1" t="s">
        <v>805</v>
      </c>
      <c r="E926" s="1" t="s">
        <v>422</v>
      </c>
      <c r="F926" s="1" t="s">
        <v>32</v>
      </c>
      <c r="G926" s="1">
        <v>116</v>
      </c>
      <c r="I926" s="12">
        <v>9.0299999999999994</v>
      </c>
      <c r="J926" s="12">
        <v>25.8</v>
      </c>
      <c r="L926" s="16">
        <v>3404</v>
      </c>
      <c r="N926" s="16">
        <v>30700</v>
      </c>
      <c r="O926" s="15">
        <v>33</v>
      </c>
      <c r="P926" s="15">
        <v>7.5</v>
      </c>
      <c r="Q926" s="15">
        <v>40.9</v>
      </c>
      <c r="R926" s="15">
        <v>55.4</v>
      </c>
      <c r="T926" s="15"/>
      <c r="U926" s="15">
        <v>30.3</v>
      </c>
      <c r="V926" s="15">
        <v>7.1</v>
      </c>
      <c r="W926" s="12">
        <v>0.72</v>
      </c>
      <c r="X926" s="15"/>
      <c r="Y926" s="15">
        <v>69.900000000000006</v>
      </c>
      <c r="Z926" s="12">
        <v>2.04</v>
      </c>
      <c r="AB926" s="16"/>
      <c r="AD926" s="16"/>
      <c r="AE926" s="1">
        <v>1</v>
      </c>
    </row>
    <row r="927" spans="1:31" x14ac:dyDescent="0.2">
      <c r="A927" s="1">
        <v>926</v>
      </c>
      <c r="B927" s="1">
        <v>2015</v>
      </c>
      <c r="C927" s="8" t="s">
        <v>31</v>
      </c>
      <c r="D927" s="1" t="s">
        <v>805</v>
      </c>
      <c r="E927" s="8" t="s">
        <v>504</v>
      </c>
      <c r="F927" s="1" t="s">
        <v>83</v>
      </c>
      <c r="I927" s="12">
        <v>6.27</v>
      </c>
      <c r="J927" s="7">
        <v>17.914285714285715</v>
      </c>
      <c r="L927" s="14">
        <v>3405</v>
      </c>
      <c r="N927" s="14">
        <v>21485</v>
      </c>
      <c r="O927" s="13">
        <v>35.299999999999997</v>
      </c>
      <c r="P927" s="13">
        <v>7.3</v>
      </c>
      <c r="Q927" s="13">
        <v>36.700000000000003</v>
      </c>
      <c r="R927" s="13">
        <v>50.4</v>
      </c>
      <c r="S927" s="8"/>
      <c r="T927" s="13">
        <v>22.9</v>
      </c>
      <c r="U927" s="13">
        <v>36.700000000000003</v>
      </c>
      <c r="V927" s="13">
        <v>4.7</v>
      </c>
      <c r="W927" s="7">
        <v>0.76</v>
      </c>
      <c r="X927" s="13"/>
      <c r="Y927" s="13">
        <v>72.8</v>
      </c>
      <c r="Z927" s="7">
        <v>1.1299999999999999</v>
      </c>
      <c r="AA927" s="18">
        <v>1</v>
      </c>
      <c r="AB927" s="16">
        <f>AA927*10</f>
        <v>10</v>
      </c>
      <c r="AC927" s="15" t="s">
        <v>89</v>
      </c>
      <c r="AD927" s="16"/>
      <c r="AE927" s="1">
        <v>1</v>
      </c>
    </row>
    <row r="928" spans="1:31" x14ac:dyDescent="0.2">
      <c r="A928" s="1">
        <v>927</v>
      </c>
      <c r="B928" s="1">
        <v>2020</v>
      </c>
      <c r="C928" s="1" t="s">
        <v>31</v>
      </c>
      <c r="D928" s="19" t="s">
        <v>900</v>
      </c>
      <c r="E928" s="1" t="s">
        <v>770</v>
      </c>
      <c r="F928" s="1" t="s">
        <v>32</v>
      </c>
      <c r="G928" s="1">
        <v>118</v>
      </c>
      <c r="H928" s="1" t="s">
        <v>754</v>
      </c>
      <c r="I928" s="12">
        <v>8.8687521343829996</v>
      </c>
      <c r="J928" s="12">
        <v>25.333934159999998</v>
      </c>
      <c r="K928" s="1" t="s">
        <v>754</v>
      </c>
      <c r="L928" s="16">
        <v>3405.1207559159998</v>
      </c>
      <c r="M928" s="16" t="s">
        <v>34</v>
      </c>
      <c r="N928" s="16">
        <v>30168.866221435001</v>
      </c>
      <c r="O928" s="10">
        <v>48.483130800000005</v>
      </c>
      <c r="P928" s="15">
        <v>8.0225000000000009</v>
      </c>
      <c r="Q928" s="15">
        <v>41.54</v>
      </c>
      <c r="R928" s="15">
        <v>50.276729623000001</v>
      </c>
      <c r="S928" s="15"/>
      <c r="T928" s="15">
        <v>22.035</v>
      </c>
      <c r="U928" s="15">
        <v>32.292499999999997</v>
      </c>
      <c r="V928" s="15">
        <v>4.5532304000000003</v>
      </c>
      <c r="W928" s="12">
        <v>0.70572523899999995</v>
      </c>
      <c r="X928" s="15"/>
      <c r="Y928" s="15">
        <v>74.287060917999995</v>
      </c>
      <c r="Z928" s="12"/>
      <c r="AA928" s="15">
        <v>1.125</v>
      </c>
      <c r="AB928" s="16">
        <f>AA928*33.334</f>
        <v>37.500750000000004</v>
      </c>
      <c r="AD928" s="16"/>
      <c r="AE928" s="1">
        <v>1</v>
      </c>
    </row>
    <row r="929" spans="1:31" x14ac:dyDescent="0.2">
      <c r="A929" s="1">
        <v>928</v>
      </c>
      <c r="B929" s="1">
        <v>2021</v>
      </c>
      <c r="C929" s="1" t="s">
        <v>31</v>
      </c>
      <c r="D929" s="19" t="s">
        <v>900</v>
      </c>
      <c r="E929" s="1" t="s">
        <v>771</v>
      </c>
      <c r="F929" s="1" t="s">
        <v>32</v>
      </c>
      <c r="G929" s="1">
        <v>117</v>
      </c>
      <c r="H929" s="1" t="s">
        <v>89</v>
      </c>
      <c r="I929" s="12">
        <v>7.0761262867810002</v>
      </c>
      <c r="J929" s="12">
        <v>20.217503677</v>
      </c>
      <c r="K929" s="1" t="s">
        <v>89</v>
      </c>
      <c r="L929" s="16">
        <v>3405.3048696840001</v>
      </c>
      <c r="M929" s="16" t="s">
        <v>89</v>
      </c>
      <c r="N929" s="16">
        <v>24082.909741389001</v>
      </c>
      <c r="O929" s="15">
        <v>45.854441999999999</v>
      </c>
      <c r="P929" s="15">
        <v>7.5556903569999996</v>
      </c>
      <c r="Q929" s="15">
        <v>36.616565430999998</v>
      </c>
      <c r="R929" s="15">
        <v>59.111965236000003</v>
      </c>
      <c r="T929" s="15">
        <v>20.671316921999999</v>
      </c>
      <c r="U929" s="15">
        <v>44.617597248999999</v>
      </c>
      <c r="V929" s="15">
        <v>5.5730871579999999</v>
      </c>
      <c r="W929" s="12">
        <v>0.71432313038999995</v>
      </c>
      <c r="X929" s="15"/>
      <c r="Y929" s="15">
        <v>72.976876243000007</v>
      </c>
      <c r="Z929" s="12"/>
      <c r="AA929" s="15">
        <v>1.7721874360000001</v>
      </c>
      <c r="AB929" s="16">
        <f>AA929*33.334</f>
        <v>59.074095991624006</v>
      </c>
      <c r="AD929" s="16"/>
      <c r="AE929" s="1">
        <v>1</v>
      </c>
    </row>
    <row r="930" spans="1:31" x14ac:dyDescent="0.2">
      <c r="A930" s="1">
        <v>929</v>
      </c>
      <c r="B930" s="1">
        <v>2010</v>
      </c>
      <c r="C930" s="1" t="s">
        <v>31</v>
      </c>
      <c r="D930" s="1" t="s">
        <v>805</v>
      </c>
      <c r="E930" s="8" t="s">
        <v>168</v>
      </c>
      <c r="F930" s="1" t="s">
        <v>83</v>
      </c>
      <c r="I930" s="12">
        <v>6.67</v>
      </c>
      <c r="J930" s="7">
        <v>19.0571428571429</v>
      </c>
      <c r="L930" s="14">
        <v>3406</v>
      </c>
      <c r="N930" s="14">
        <v>22717</v>
      </c>
      <c r="O930" s="13">
        <v>30.1</v>
      </c>
      <c r="P930" s="13">
        <v>8.4</v>
      </c>
      <c r="Q930" s="13">
        <v>41</v>
      </c>
      <c r="R930" s="13">
        <v>52.5</v>
      </c>
      <c r="S930" s="13"/>
      <c r="T930" s="15"/>
      <c r="U930" s="13">
        <v>32.9</v>
      </c>
      <c r="V930" s="13">
        <v>9.6999999999999993</v>
      </c>
      <c r="W930" s="12"/>
      <c r="X930" s="15"/>
      <c r="Y930" s="13">
        <v>72</v>
      </c>
      <c r="Z930" s="7">
        <v>1.44</v>
      </c>
      <c r="AB930" s="16"/>
      <c r="AD930" s="16"/>
      <c r="AE930" s="1">
        <v>1</v>
      </c>
    </row>
    <row r="931" spans="1:31" x14ac:dyDescent="0.2">
      <c r="A931" s="1">
        <v>930</v>
      </c>
      <c r="B931" s="1">
        <v>2014</v>
      </c>
      <c r="C931" s="1" t="s">
        <v>31</v>
      </c>
      <c r="D931" s="1" t="s">
        <v>108</v>
      </c>
      <c r="E931" s="1" t="s">
        <v>230</v>
      </c>
      <c r="F931" s="1" t="s">
        <v>32</v>
      </c>
      <c r="G931" s="1">
        <v>114</v>
      </c>
      <c r="I931" s="12">
        <v>9.56</v>
      </c>
      <c r="J931" s="12">
        <v>27.3</v>
      </c>
      <c r="L931" s="16">
        <v>3407</v>
      </c>
      <c r="M931" s="1" t="s">
        <v>34</v>
      </c>
      <c r="N931" s="16">
        <v>32573</v>
      </c>
      <c r="O931" s="15">
        <v>30.6</v>
      </c>
      <c r="P931" s="15">
        <v>8.3000000000000007</v>
      </c>
      <c r="Q931" s="15">
        <v>42.7</v>
      </c>
      <c r="R931" s="15">
        <v>56.4</v>
      </c>
      <c r="T931" s="15"/>
      <c r="U931" s="15">
        <v>29.2</v>
      </c>
      <c r="V931" s="15">
        <v>6.3</v>
      </c>
      <c r="W931" s="12">
        <v>0.72</v>
      </c>
      <c r="X931" s="15"/>
      <c r="Y931" s="15">
        <v>69.400000000000006</v>
      </c>
      <c r="Z931" s="12">
        <v>2.2999999999999998</v>
      </c>
      <c r="AB931" s="16"/>
      <c r="AD931" s="16"/>
      <c r="AE931" s="1">
        <v>1</v>
      </c>
    </row>
    <row r="932" spans="1:31" x14ac:dyDescent="0.2">
      <c r="A932" s="1">
        <v>931</v>
      </c>
      <c r="B932" s="1">
        <v>2021</v>
      </c>
      <c r="C932" s="1" t="s">
        <v>31</v>
      </c>
      <c r="D932" s="8" t="s">
        <v>874</v>
      </c>
      <c r="E932" s="8" t="s">
        <v>651</v>
      </c>
      <c r="F932" s="1" t="s">
        <v>32</v>
      </c>
      <c r="G932" s="1">
        <v>119</v>
      </c>
      <c r="H932" s="1" t="s">
        <v>34</v>
      </c>
      <c r="I932" s="12">
        <v>10.279837037319</v>
      </c>
      <c r="J932" s="12">
        <v>29.370962964</v>
      </c>
      <c r="K932" s="1" t="s">
        <v>89</v>
      </c>
      <c r="L932" s="16">
        <v>3407.8048696840001</v>
      </c>
      <c r="M932" s="16" t="s">
        <v>34</v>
      </c>
      <c r="N932" s="16">
        <v>34886.908559787997</v>
      </c>
      <c r="O932" s="15">
        <v>38.7723972</v>
      </c>
      <c r="P932" s="15">
        <v>7.973190357</v>
      </c>
      <c r="Q932" s="15">
        <v>37.486565431000002</v>
      </c>
      <c r="R932" s="15">
        <v>59.344465235999998</v>
      </c>
      <c r="T932" s="15">
        <v>21.326316922</v>
      </c>
      <c r="U932" s="15">
        <v>41.222597249000003</v>
      </c>
      <c r="V932" s="15">
        <v>6.5205871579999997</v>
      </c>
      <c r="W932" s="12">
        <v>0.71447313038999993</v>
      </c>
      <c r="X932" s="15"/>
      <c r="Y932" s="15">
        <v>73.069376242999994</v>
      </c>
      <c r="Z932" s="12"/>
      <c r="AA932" s="15">
        <v>1.3971874360000001</v>
      </c>
      <c r="AB932" s="16">
        <f>AA932*33.334</f>
        <v>46.573845991624005</v>
      </c>
      <c r="AD932" s="16"/>
      <c r="AE932" s="1">
        <v>1</v>
      </c>
    </row>
    <row r="933" spans="1:31" x14ac:dyDescent="0.2">
      <c r="A933" s="1">
        <v>932</v>
      </c>
      <c r="B933" s="1">
        <v>2014</v>
      </c>
      <c r="C933" s="1" t="s">
        <v>31</v>
      </c>
      <c r="D933" s="28" t="s">
        <v>914</v>
      </c>
      <c r="E933" s="1" t="s">
        <v>416</v>
      </c>
      <c r="F933" s="1" t="s">
        <v>32</v>
      </c>
      <c r="G933" s="1">
        <v>115</v>
      </c>
      <c r="I933" s="12">
        <v>9.89</v>
      </c>
      <c r="J933" s="12">
        <v>28.3</v>
      </c>
      <c r="L933" s="16">
        <v>3408</v>
      </c>
      <c r="M933" s="1" t="s">
        <v>34</v>
      </c>
      <c r="N933" s="16">
        <v>33719</v>
      </c>
      <c r="O933" s="15">
        <v>30.3</v>
      </c>
      <c r="P933" s="15">
        <v>8</v>
      </c>
      <c r="Q933" s="15">
        <v>41.7</v>
      </c>
      <c r="R933" s="15">
        <v>54.9</v>
      </c>
      <c r="T933" s="15"/>
      <c r="U933" s="15">
        <v>30.2</v>
      </c>
      <c r="V933" s="15">
        <v>6.1</v>
      </c>
      <c r="W933" s="12">
        <v>0.72</v>
      </c>
      <c r="X933" s="15"/>
      <c r="Y933" s="15">
        <v>69.7</v>
      </c>
      <c r="Z933" s="12">
        <v>2.2599999999999998</v>
      </c>
      <c r="AB933" s="16"/>
      <c r="AD933" s="16"/>
      <c r="AE933" s="1">
        <v>1</v>
      </c>
    </row>
    <row r="934" spans="1:31" x14ac:dyDescent="0.2">
      <c r="A934" s="1">
        <v>933</v>
      </c>
      <c r="B934" s="1">
        <v>2016</v>
      </c>
      <c r="C934" s="1" t="s">
        <v>96</v>
      </c>
      <c r="D934" s="8" t="s">
        <v>1023</v>
      </c>
      <c r="E934" s="8" t="s">
        <v>586</v>
      </c>
      <c r="F934" s="1" t="s">
        <v>32</v>
      </c>
      <c r="I934" s="12">
        <v>7.2750000000000004</v>
      </c>
      <c r="J934" s="7">
        <v>20.785714285714299</v>
      </c>
      <c r="K934" s="1" t="s">
        <v>34</v>
      </c>
      <c r="L934" s="5">
        <v>3409</v>
      </c>
      <c r="M934" s="1" t="s">
        <v>34</v>
      </c>
      <c r="N934" s="5">
        <v>24847</v>
      </c>
      <c r="O934" s="6">
        <v>32.255000000000003</v>
      </c>
      <c r="P934" s="6">
        <v>8.1999999999999993</v>
      </c>
      <c r="Q934" s="6">
        <v>48.262500000000003</v>
      </c>
      <c r="R934" s="6">
        <v>55</v>
      </c>
      <c r="S934" s="6"/>
      <c r="T934" s="6">
        <v>32.417499999999997</v>
      </c>
      <c r="U934" s="6">
        <v>22.5</v>
      </c>
      <c r="V934" s="6">
        <v>4.9649999999999999</v>
      </c>
      <c r="W934" s="3">
        <v>0.66</v>
      </c>
      <c r="X934" s="6"/>
      <c r="Y934" s="6">
        <v>65.900000000000006</v>
      </c>
      <c r="Z934" s="3">
        <v>1.9244407800000001</v>
      </c>
      <c r="AA934" s="6">
        <v>1</v>
      </c>
      <c r="AB934" s="16">
        <f>AA934*10</f>
        <v>10</v>
      </c>
      <c r="AC934" s="6">
        <v>1</v>
      </c>
      <c r="AD934" s="16">
        <f>AC934*10</f>
        <v>10</v>
      </c>
      <c r="AE934" s="1">
        <v>0</v>
      </c>
    </row>
    <row r="935" spans="1:31" x14ac:dyDescent="0.2">
      <c r="A935" s="1">
        <v>934</v>
      </c>
      <c r="B935" s="1">
        <v>2021</v>
      </c>
      <c r="C935" s="1" t="s">
        <v>31</v>
      </c>
      <c r="D935" s="1" t="s">
        <v>821</v>
      </c>
      <c r="E935" s="1" t="s">
        <v>823</v>
      </c>
      <c r="F935" s="1" t="s">
        <v>32</v>
      </c>
      <c r="G935" s="1">
        <v>117</v>
      </c>
      <c r="H935" s="1" t="s">
        <v>89</v>
      </c>
      <c r="I935" s="12">
        <v>8.3820506602799991</v>
      </c>
      <c r="J935" s="12">
        <v>23.948716172000001</v>
      </c>
      <c r="K935" s="1" t="s">
        <v>89</v>
      </c>
      <c r="L935" s="16">
        <v>3409.1462619980002</v>
      </c>
      <c r="M935" s="16" t="s">
        <v>89</v>
      </c>
      <c r="N935" s="16">
        <v>28480.000815025</v>
      </c>
      <c r="O935" s="15">
        <v>37.456492600000004</v>
      </c>
      <c r="P935" s="15">
        <v>7.8078476730000004</v>
      </c>
      <c r="Q935" s="15">
        <v>34.460718313000001</v>
      </c>
      <c r="R935" s="15">
        <v>56.591169737999998</v>
      </c>
      <c r="T935" s="15">
        <v>20.110010756000001</v>
      </c>
      <c r="U935" s="15">
        <v>46.222909870000002</v>
      </c>
      <c r="V935" s="15">
        <v>5.8000526600000004</v>
      </c>
      <c r="W935" s="12">
        <v>0.71739473868999992</v>
      </c>
      <c r="X935" s="15"/>
      <c r="Y935" s="15">
        <v>72.784074313000005</v>
      </c>
      <c r="Z935" s="12"/>
      <c r="AA935" s="15">
        <v>0.83578064399999996</v>
      </c>
      <c r="AB935" s="16">
        <f>AA935*33.334</f>
        <v>27.859911987096002</v>
      </c>
      <c r="AD935" s="16"/>
      <c r="AE935" s="1">
        <v>1</v>
      </c>
    </row>
    <row r="936" spans="1:31" x14ac:dyDescent="0.2">
      <c r="A936" s="1">
        <v>935</v>
      </c>
      <c r="B936" s="1">
        <v>2017</v>
      </c>
      <c r="C936" s="1" t="s">
        <v>31</v>
      </c>
      <c r="D936" s="28" t="s">
        <v>914</v>
      </c>
      <c r="E936" s="8" t="s">
        <v>607</v>
      </c>
      <c r="F936" s="1" t="s">
        <v>32</v>
      </c>
      <c r="G936" s="1">
        <v>118</v>
      </c>
      <c r="H936" s="1" t="s">
        <v>34</v>
      </c>
      <c r="I936" s="12">
        <v>9.24</v>
      </c>
      <c r="J936" s="3">
        <v>26.4</v>
      </c>
      <c r="L936" s="5">
        <v>3409.5</v>
      </c>
      <c r="N936" s="5">
        <v>31460.7876</v>
      </c>
      <c r="O936" s="6">
        <v>30.533614499999999</v>
      </c>
      <c r="P936" s="6">
        <v>7.35</v>
      </c>
      <c r="Q936" s="6">
        <v>40.799999999999997</v>
      </c>
      <c r="R936" s="6">
        <v>52.38</v>
      </c>
      <c r="S936" s="3"/>
      <c r="T936" s="6">
        <v>24.905000000000001</v>
      </c>
      <c r="U936" s="6">
        <v>33.957500000000003</v>
      </c>
      <c r="V936" s="6">
        <v>3.1875</v>
      </c>
      <c r="W936" s="3">
        <v>0.76643315000000001</v>
      </c>
      <c r="X936" s="6"/>
      <c r="Y936" s="6">
        <v>71.03</v>
      </c>
      <c r="Z936" s="3">
        <v>1.9797475499999999</v>
      </c>
      <c r="AB936" s="16"/>
      <c r="AD936" s="16"/>
      <c r="AE936" s="1">
        <v>1</v>
      </c>
    </row>
    <row r="937" spans="1:31" x14ac:dyDescent="0.2">
      <c r="A937" s="1">
        <v>936</v>
      </c>
      <c r="B937" s="1">
        <v>2021</v>
      </c>
      <c r="C937" s="1" t="s">
        <v>31</v>
      </c>
      <c r="D937" s="1" t="s">
        <v>108</v>
      </c>
      <c r="E937" s="1" t="s">
        <v>667</v>
      </c>
      <c r="F937" s="1" t="s">
        <v>32</v>
      </c>
      <c r="G937" s="1">
        <v>118</v>
      </c>
      <c r="H937" s="1" t="s">
        <v>89</v>
      </c>
      <c r="I937" s="12">
        <v>9.0467941294665</v>
      </c>
      <c r="J937" s="12">
        <v>25.847983227</v>
      </c>
      <c r="K937" s="1" t="s">
        <v>89</v>
      </c>
      <c r="L937" s="16">
        <v>3411.8231309990001</v>
      </c>
      <c r="M937" s="16" t="s">
        <v>89</v>
      </c>
      <c r="N937" s="16">
        <v>30896.094620002001</v>
      </c>
      <c r="O937" s="15">
        <v>40.5927778</v>
      </c>
      <c r="P937" s="15">
        <v>7.8276738369999999</v>
      </c>
      <c r="Q937" s="15">
        <v>37.291609157000003</v>
      </c>
      <c r="R937" s="15">
        <v>60.765584869000001</v>
      </c>
      <c r="T937" s="15">
        <v>21.271255377999999</v>
      </c>
      <c r="U937" s="15">
        <v>42.232704935000001</v>
      </c>
      <c r="V937" s="15">
        <v>6.2500263299999999</v>
      </c>
      <c r="W937" s="12">
        <v>0.71369736935000005</v>
      </c>
      <c r="X937" s="15"/>
      <c r="Y937" s="15">
        <v>73.240787155999996</v>
      </c>
      <c r="Z937" s="12"/>
      <c r="AA937" s="15">
        <v>1.1053903220000001</v>
      </c>
      <c r="AB937" s="16">
        <f>AA937*33.334</f>
        <v>36.847080993548005</v>
      </c>
      <c r="AD937" s="16"/>
      <c r="AE937" s="1">
        <v>1</v>
      </c>
    </row>
    <row r="938" spans="1:31" x14ac:dyDescent="0.2">
      <c r="A938" s="1">
        <v>937</v>
      </c>
      <c r="B938" s="1">
        <v>2015</v>
      </c>
      <c r="C938" s="8" t="s">
        <v>31</v>
      </c>
      <c r="D938" s="8" t="s">
        <v>402</v>
      </c>
      <c r="E938" s="8" t="s">
        <v>501</v>
      </c>
      <c r="F938" s="1" t="s">
        <v>83</v>
      </c>
      <c r="I938" s="12">
        <v>6.77</v>
      </c>
      <c r="J938" s="7">
        <v>19.342857142857142</v>
      </c>
      <c r="L938" s="14">
        <v>3412</v>
      </c>
      <c r="N938" s="14">
        <v>23088</v>
      </c>
      <c r="O938" s="13">
        <v>34.6</v>
      </c>
      <c r="P938" s="13">
        <v>7.5</v>
      </c>
      <c r="Q938" s="13">
        <v>37.1</v>
      </c>
      <c r="R938" s="13">
        <v>48.5</v>
      </c>
      <c r="S938" s="8"/>
      <c r="T938" s="13">
        <v>23.1</v>
      </c>
      <c r="U938" s="13">
        <v>37.299999999999997</v>
      </c>
      <c r="V938" s="13">
        <v>2.9</v>
      </c>
      <c r="W938" s="7">
        <v>0.75</v>
      </c>
      <c r="X938" s="13"/>
      <c r="Y938" s="13">
        <v>72.5</v>
      </c>
      <c r="Z938" s="7">
        <v>1.22</v>
      </c>
      <c r="AA938" s="18">
        <v>1.375</v>
      </c>
      <c r="AB938" s="16">
        <f>AA938*10</f>
        <v>13.75</v>
      </c>
      <c r="AC938" s="15" t="s">
        <v>89</v>
      </c>
      <c r="AD938" s="16"/>
      <c r="AE938" s="1">
        <v>1</v>
      </c>
    </row>
    <row r="939" spans="1:31" x14ac:dyDescent="0.2">
      <c r="A939" s="1">
        <v>938</v>
      </c>
      <c r="B939" s="1">
        <v>2009</v>
      </c>
      <c r="C939" s="1" t="s">
        <v>31</v>
      </c>
      <c r="D939" s="8" t="s">
        <v>71</v>
      </c>
      <c r="E939" s="8" t="s">
        <v>131</v>
      </c>
      <c r="F939" s="1" t="s">
        <v>83</v>
      </c>
      <c r="I939" s="12">
        <v>7.4</v>
      </c>
      <c r="J939" s="7">
        <v>21.1</v>
      </c>
      <c r="L939" s="14">
        <v>3412</v>
      </c>
      <c r="M939" s="14"/>
      <c r="N939" s="14">
        <v>25306</v>
      </c>
      <c r="O939" s="13">
        <v>30.3</v>
      </c>
      <c r="P939" s="13">
        <v>9.52</v>
      </c>
      <c r="Q939" s="13">
        <v>40.700000000000003</v>
      </c>
      <c r="R939" s="13">
        <v>50.4</v>
      </c>
      <c r="S939" s="8"/>
      <c r="T939" s="13">
        <v>25.4</v>
      </c>
      <c r="U939" s="13">
        <v>35.200000000000003</v>
      </c>
      <c r="V939" s="15"/>
      <c r="W939" s="7" t="s">
        <v>89</v>
      </c>
      <c r="X939" s="13"/>
      <c r="Y939" s="13">
        <v>72.7</v>
      </c>
      <c r="Z939" s="7">
        <v>1.52</v>
      </c>
      <c r="AB939" s="16"/>
      <c r="AD939" s="16"/>
      <c r="AE939" s="1">
        <v>1</v>
      </c>
    </row>
    <row r="940" spans="1:31" x14ac:dyDescent="0.2">
      <c r="A940" s="1">
        <v>939</v>
      </c>
      <c r="B940" s="1">
        <v>2015</v>
      </c>
      <c r="C940" s="8" t="s">
        <v>31</v>
      </c>
      <c r="D940" s="8" t="s">
        <v>506</v>
      </c>
      <c r="E940" s="8" t="s">
        <v>507</v>
      </c>
      <c r="F940" s="1" t="s">
        <v>83</v>
      </c>
      <c r="I940" s="12">
        <v>4.67</v>
      </c>
      <c r="J940" s="7">
        <v>13.342857142857143</v>
      </c>
      <c r="L940" s="14">
        <v>3413</v>
      </c>
      <c r="N940" s="14">
        <v>15922</v>
      </c>
      <c r="O940" s="13">
        <v>33.299999999999997</v>
      </c>
      <c r="P940" s="13">
        <v>7.4</v>
      </c>
      <c r="Q940" s="13">
        <v>42.4</v>
      </c>
      <c r="R940" s="13">
        <v>53.6</v>
      </c>
      <c r="S940" s="8"/>
      <c r="T940" s="13">
        <v>26</v>
      </c>
      <c r="U940" s="13">
        <v>32</v>
      </c>
      <c r="V940" s="13">
        <v>3.6</v>
      </c>
      <c r="W940" s="7">
        <v>0.73</v>
      </c>
      <c r="X940" s="13"/>
      <c r="Y940" s="13">
        <v>70.900000000000006</v>
      </c>
      <c r="Z940" s="7">
        <v>1.07</v>
      </c>
      <c r="AA940" s="18">
        <v>3.75</v>
      </c>
      <c r="AB940" s="16">
        <f>AA940*10</f>
        <v>37.5</v>
      </c>
      <c r="AC940" s="15" t="s">
        <v>89</v>
      </c>
      <c r="AD940" s="16"/>
      <c r="AE940" s="1">
        <v>1</v>
      </c>
    </row>
    <row r="941" spans="1:31" x14ac:dyDescent="0.2">
      <c r="A941" s="1">
        <v>940</v>
      </c>
      <c r="B941" s="1">
        <v>2015</v>
      </c>
      <c r="C941" s="8" t="s">
        <v>31</v>
      </c>
      <c r="D941" s="8" t="s">
        <v>402</v>
      </c>
      <c r="E941" s="8" t="s">
        <v>474</v>
      </c>
      <c r="F941" s="1" t="s">
        <v>32</v>
      </c>
      <c r="G941" s="8">
        <v>118</v>
      </c>
      <c r="I941" s="12">
        <v>9.3699999999999992</v>
      </c>
      <c r="J941" s="7">
        <v>26.771428571428572</v>
      </c>
      <c r="L941" s="14">
        <v>3413</v>
      </c>
      <c r="N941" s="14">
        <v>32127</v>
      </c>
      <c r="O941" s="13">
        <v>33.5</v>
      </c>
      <c r="P941" s="13">
        <v>7.6</v>
      </c>
      <c r="Q941" s="13">
        <v>39.200000000000003</v>
      </c>
      <c r="R941" s="13">
        <v>50.4</v>
      </c>
      <c r="S941" s="8"/>
      <c r="T941" s="13">
        <v>26.5</v>
      </c>
      <c r="U941" s="13">
        <v>31.1</v>
      </c>
      <c r="V941" s="13">
        <v>4.0999999999999996</v>
      </c>
      <c r="W941" s="7">
        <v>0.74</v>
      </c>
      <c r="X941" s="13"/>
      <c r="Y941" s="13">
        <v>72.2</v>
      </c>
      <c r="Z941" s="7">
        <v>1.85</v>
      </c>
      <c r="AA941" s="1" t="s">
        <v>89</v>
      </c>
      <c r="AB941" s="16" t="s">
        <v>89</v>
      </c>
      <c r="AC941" s="1" t="s">
        <v>89</v>
      </c>
      <c r="AD941" s="16" t="s">
        <v>89</v>
      </c>
      <c r="AE941" s="1">
        <v>1</v>
      </c>
    </row>
    <row r="942" spans="1:31" x14ac:dyDescent="0.2">
      <c r="A942" s="1">
        <v>941</v>
      </c>
      <c r="B942" s="1">
        <v>2016</v>
      </c>
      <c r="C942" s="1" t="s">
        <v>31</v>
      </c>
      <c r="D942" s="1" t="s">
        <v>916</v>
      </c>
      <c r="E942" s="8" t="s">
        <v>405</v>
      </c>
      <c r="F942" s="1" t="s">
        <v>32</v>
      </c>
      <c r="G942" s="8">
        <v>115</v>
      </c>
      <c r="I942" s="12">
        <v>9.42</v>
      </c>
      <c r="J942" s="7">
        <v>26.9142857142857</v>
      </c>
      <c r="K942" s="1" t="s">
        <v>34</v>
      </c>
      <c r="L942" s="14">
        <v>3413</v>
      </c>
      <c r="M942" s="1" t="s">
        <v>34</v>
      </c>
      <c r="N942" s="14">
        <v>32144</v>
      </c>
      <c r="O942" s="13">
        <v>33</v>
      </c>
      <c r="P942" s="13">
        <v>8.1999999999999993</v>
      </c>
      <c r="Q942" s="13">
        <v>41.9</v>
      </c>
      <c r="R942" s="13">
        <v>53.4</v>
      </c>
      <c r="S942" s="13"/>
      <c r="T942" s="13">
        <v>25.1</v>
      </c>
      <c r="U942" s="13">
        <v>32.6</v>
      </c>
      <c r="V942" s="13">
        <v>3.5</v>
      </c>
      <c r="W942" s="7">
        <v>0.73</v>
      </c>
      <c r="X942" s="13"/>
      <c r="Y942" s="13">
        <v>71.400000000000006</v>
      </c>
      <c r="Z942" s="7">
        <v>2.11</v>
      </c>
      <c r="AA942" s="15" t="s">
        <v>89</v>
      </c>
      <c r="AB942" s="16"/>
      <c r="AD942" s="16"/>
      <c r="AE942" s="1">
        <v>1</v>
      </c>
    </row>
    <row r="943" spans="1:31" x14ac:dyDescent="0.2">
      <c r="A943" s="1">
        <v>942</v>
      </c>
      <c r="B943" s="1">
        <v>2020</v>
      </c>
      <c r="C943" s="1" t="s">
        <v>31</v>
      </c>
      <c r="D943" s="1" t="s">
        <v>108</v>
      </c>
      <c r="E943" s="1" t="s">
        <v>667</v>
      </c>
      <c r="F943" s="1" t="s">
        <v>32</v>
      </c>
      <c r="G943" s="1">
        <v>117</v>
      </c>
      <c r="H943" s="1" t="s">
        <v>34</v>
      </c>
      <c r="I943" s="12">
        <v>10.8900008493515</v>
      </c>
      <c r="J943" s="12">
        <v>31.141333578000001</v>
      </c>
      <c r="K943" s="1" t="s">
        <v>754</v>
      </c>
      <c r="L943" s="16">
        <v>3413.7669967090001</v>
      </c>
      <c r="M943" s="16" t="s">
        <v>34</v>
      </c>
      <c r="N943" s="16">
        <v>36781.402270384002</v>
      </c>
      <c r="O943" s="15">
        <v>44.9181454</v>
      </c>
      <c r="P943" s="15">
        <v>9.0024999999999995</v>
      </c>
      <c r="Q943" s="15">
        <v>43.022500000000001</v>
      </c>
      <c r="R943" s="15">
        <v>53.549801623999997</v>
      </c>
      <c r="S943" s="15"/>
      <c r="T943" s="15">
        <v>22.425000000000001</v>
      </c>
      <c r="U943" s="15">
        <v>29.487500000000001</v>
      </c>
      <c r="V943" s="15">
        <v>6.2871254189999997</v>
      </c>
      <c r="W943" s="12">
        <v>0.70512879900000003</v>
      </c>
      <c r="X943" s="15"/>
      <c r="Y943" s="15">
        <v>74.819227588000004</v>
      </c>
      <c r="Z943" s="12"/>
      <c r="AA943" s="15"/>
      <c r="AB943" s="16"/>
      <c r="AD943" s="16"/>
      <c r="AE943" s="1">
        <v>1</v>
      </c>
    </row>
    <row r="944" spans="1:31" x14ac:dyDescent="0.2">
      <c r="A944" s="1">
        <v>943</v>
      </c>
      <c r="B944" s="1">
        <v>2015</v>
      </c>
      <c r="C944" s="8" t="s">
        <v>31</v>
      </c>
      <c r="D944" s="8" t="s">
        <v>125</v>
      </c>
      <c r="E944" s="8" t="s">
        <v>491</v>
      </c>
      <c r="F944" s="1" t="s">
        <v>32</v>
      </c>
      <c r="G944" s="8">
        <v>117</v>
      </c>
      <c r="I944" s="12">
        <v>8.61</v>
      </c>
      <c r="J944" s="7">
        <v>24.6</v>
      </c>
      <c r="L944" s="14">
        <v>3414</v>
      </c>
      <c r="N944" s="14">
        <v>29575</v>
      </c>
      <c r="O944" s="13">
        <v>30.8</v>
      </c>
      <c r="P944" s="13">
        <v>7.3</v>
      </c>
      <c r="Q944" s="13">
        <v>41.6</v>
      </c>
      <c r="R944" s="13">
        <v>52.2</v>
      </c>
      <c r="S944" s="8"/>
      <c r="T944" s="13">
        <v>27.4</v>
      </c>
      <c r="U944" s="13">
        <v>30.2</v>
      </c>
      <c r="V944" s="13">
        <v>4.4000000000000004</v>
      </c>
      <c r="W944" s="7">
        <v>0.72</v>
      </c>
      <c r="X944" s="13"/>
      <c r="Y944" s="13">
        <v>72.400000000000006</v>
      </c>
      <c r="Z944" s="7">
        <v>1.85</v>
      </c>
      <c r="AA944" s="1" t="s">
        <v>89</v>
      </c>
      <c r="AB944" s="16" t="s">
        <v>89</v>
      </c>
      <c r="AC944" s="1" t="s">
        <v>89</v>
      </c>
      <c r="AD944" s="16" t="s">
        <v>89</v>
      </c>
      <c r="AE944" s="1">
        <v>1</v>
      </c>
    </row>
    <row r="945" spans="1:31" x14ac:dyDescent="0.2">
      <c r="A945" s="1">
        <v>944</v>
      </c>
      <c r="B945" s="1">
        <v>2021</v>
      </c>
      <c r="C945" s="1" t="s">
        <v>31</v>
      </c>
      <c r="D945" s="1" t="s">
        <v>37</v>
      </c>
      <c r="E945" s="1" t="s">
        <v>789</v>
      </c>
      <c r="F945" s="1" t="s">
        <v>83</v>
      </c>
      <c r="G945" s="1">
        <v>135</v>
      </c>
      <c r="H945" s="1" t="s">
        <v>34</v>
      </c>
      <c r="I945" s="12">
        <v>6.7717430828845</v>
      </c>
      <c r="J945" s="12">
        <v>19.347837380000001</v>
      </c>
      <c r="L945" s="16">
        <v>3414.49845</v>
      </c>
      <c r="M945" s="1" t="s">
        <v>34</v>
      </c>
      <c r="N945" s="16">
        <v>23100.742290261998</v>
      </c>
      <c r="O945" s="15">
        <v>45.818125199999997</v>
      </c>
      <c r="P945" s="15">
        <v>8.8597053429999999</v>
      </c>
      <c r="Q945" s="15">
        <v>21.447500000000002</v>
      </c>
      <c r="R945" s="15">
        <v>39.792499999999997</v>
      </c>
      <c r="U945" s="15">
        <v>31.67</v>
      </c>
      <c r="V945" s="15">
        <v>9.17</v>
      </c>
      <c r="W945" s="12">
        <v>0.71428628101000002</v>
      </c>
      <c r="X945" s="15"/>
      <c r="Y945" s="15">
        <v>73.337042944000004</v>
      </c>
      <c r="Z945" s="12"/>
      <c r="AA945" s="15">
        <v>0.625</v>
      </c>
      <c r="AB945" s="16">
        <f>AA945*33.334</f>
        <v>20.833750000000002</v>
      </c>
      <c r="AD945" s="16"/>
      <c r="AE945" s="1">
        <v>1</v>
      </c>
    </row>
    <row r="946" spans="1:31" x14ac:dyDescent="0.2">
      <c r="A946" s="1">
        <v>945</v>
      </c>
      <c r="B946" s="1">
        <v>2016</v>
      </c>
      <c r="C946" s="1" t="s">
        <v>88</v>
      </c>
      <c r="D946" s="8" t="s">
        <v>332</v>
      </c>
      <c r="E946" s="8" t="s">
        <v>565</v>
      </c>
      <c r="F946" s="1" t="s">
        <v>32</v>
      </c>
      <c r="I946" s="12">
        <v>7.5750000000000002</v>
      </c>
      <c r="J946" s="7">
        <v>21.6428571428571</v>
      </c>
      <c r="K946" s="1" t="s">
        <v>34</v>
      </c>
      <c r="L946" s="5">
        <v>3415</v>
      </c>
      <c r="N946" s="5">
        <v>25837.05</v>
      </c>
      <c r="O946" s="6">
        <v>25.342500000000001</v>
      </c>
      <c r="P946" s="6">
        <v>6.97</v>
      </c>
      <c r="Q946" s="6">
        <v>46.23</v>
      </c>
      <c r="R946" s="6">
        <v>46.484999999999999</v>
      </c>
      <c r="S946" s="6"/>
      <c r="T946" s="6">
        <v>30.605</v>
      </c>
      <c r="U946" s="6">
        <v>22</v>
      </c>
      <c r="V946" s="6">
        <v>11.567500000000001</v>
      </c>
      <c r="W946" s="7">
        <v>0.69</v>
      </c>
      <c r="X946" s="13"/>
      <c r="Y946" s="6">
        <v>64.537499999999994</v>
      </c>
      <c r="Z946" s="3">
        <v>1.62625814</v>
      </c>
      <c r="AA946" s="6">
        <v>1</v>
      </c>
      <c r="AB946" s="16">
        <f>AA946*10</f>
        <v>10</v>
      </c>
      <c r="AC946" s="6">
        <v>0.75</v>
      </c>
      <c r="AD946" s="16">
        <f>AC946*10</f>
        <v>7.5</v>
      </c>
      <c r="AE946" s="1">
        <v>1</v>
      </c>
    </row>
    <row r="947" spans="1:31" x14ac:dyDescent="0.2">
      <c r="A947" s="1">
        <v>946</v>
      </c>
      <c r="B947" s="1">
        <v>2016</v>
      </c>
      <c r="C947" s="1" t="s">
        <v>31</v>
      </c>
      <c r="D947" s="8" t="s">
        <v>391</v>
      </c>
      <c r="E947" s="8" t="s">
        <v>496</v>
      </c>
      <c r="F947" s="1" t="s">
        <v>32</v>
      </c>
      <c r="G947" s="8">
        <v>118</v>
      </c>
      <c r="H947" s="1" t="s">
        <v>34</v>
      </c>
      <c r="I947" s="12">
        <v>10.9</v>
      </c>
      <c r="J947" s="7">
        <v>31.1</v>
      </c>
      <c r="K947" s="1" t="s">
        <v>34</v>
      </c>
      <c r="L947" s="14">
        <v>3415</v>
      </c>
      <c r="M947" s="1" t="s">
        <v>34</v>
      </c>
      <c r="N947" s="14">
        <v>37215</v>
      </c>
      <c r="O947" s="13">
        <v>34.700000000000003</v>
      </c>
      <c r="P947" s="13">
        <v>8</v>
      </c>
      <c r="Q947" s="13">
        <v>40.9</v>
      </c>
      <c r="R947" s="13">
        <v>56.2</v>
      </c>
      <c r="S947" s="13"/>
      <c r="T947" s="13">
        <v>24.4</v>
      </c>
      <c r="U947" s="13">
        <v>32.299999999999997</v>
      </c>
      <c r="V947" s="13">
        <v>4.2</v>
      </c>
      <c r="W947" s="7">
        <v>0.73</v>
      </c>
      <c r="X947" s="13"/>
      <c r="Y947" s="13">
        <v>71.8</v>
      </c>
      <c r="Z947" s="7">
        <v>2.5099999999999998</v>
      </c>
      <c r="AA947" s="15" t="s">
        <v>89</v>
      </c>
      <c r="AB947" s="16"/>
      <c r="AD947" s="16"/>
      <c r="AE947" s="1">
        <v>1</v>
      </c>
    </row>
    <row r="948" spans="1:31" x14ac:dyDescent="0.2">
      <c r="A948" s="1">
        <v>947</v>
      </c>
      <c r="B948" s="1">
        <v>2020</v>
      </c>
      <c r="C948" s="1" t="s">
        <v>31</v>
      </c>
      <c r="D948" s="19" t="s">
        <v>900</v>
      </c>
      <c r="E948" s="1" t="s">
        <v>772</v>
      </c>
      <c r="F948" s="1" t="s">
        <v>32</v>
      </c>
      <c r="G948" s="1">
        <v>117</v>
      </c>
      <c r="H948" s="1" t="s">
        <v>754</v>
      </c>
      <c r="I948" s="12">
        <v>8.8502107313694989</v>
      </c>
      <c r="J948" s="12">
        <v>25.280958723000001</v>
      </c>
      <c r="K948" s="1" t="s">
        <v>754</v>
      </c>
      <c r="L948" s="16">
        <v>3415.037651263</v>
      </c>
      <c r="M948" s="16" t="s">
        <v>34</v>
      </c>
      <c r="N948" s="16">
        <v>30295.193355255</v>
      </c>
      <c r="O948" s="10">
        <v>46.204497700000005</v>
      </c>
      <c r="P948" s="15">
        <v>7.9349999999999996</v>
      </c>
      <c r="Q948" s="15">
        <v>42.682499999999997</v>
      </c>
      <c r="R948" s="15">
        <v>51.336729622999997</v>
      </c>
      <c r="S948" s="15"/>
      <c r="T948" s="15">
        <v>21.682500000000001</v>
      </c>
      <c r="U948" s="15">
        <v>31.585000000000001</v>
      </c>
      <c r="V948" s="15">
        <v>5.7132303999999996</v>
      </c>
      <c r="W948" s="12">
        <v>0.7089067280000001</v>
      </c>
      <c r="X948" s="15"/>
      <c r="Y948" s="15">
        <v>74.258474750000005</v>
      </c>
      <c r="Z948" s="12"/>
      <c r="AA948" s="15">
        <v>1.25</v>
      </c>
      <c r="AB948" s="16">
        <f>AA948*33.334</f>
        <v>41.667500000000004</v>
      </c>
      <c r="AD948" s="16"/>
      <c r="AE948" s="1">
        <v>1</v>
      </c>
    </row>
    <row r="949" spans="1:31" x14ac:dyDescent="0.2">
      <c r="A949" s="1">
        <v>948</v>
      </c>
      <c r="B949" s="1">
        <v>2021</v>
      </c>
      <c r="C949" s="1" t="s">
        <v>88</v>
      </c>
      <c r="D949" s="1" t="s">
        <v>838</v>
      </c>
      <c r="E949" s="1" t="s">
        <v>839</v>
      </c>
      <c r="F949" s="1" t="s">
        <v>83</v>
      </c>
      <c r="H949" s="1" t="s">
        <v>89</v>
      </c>
      <c r="I949" s="12">
        <v>6.0763518390250004</v>
      </c>
      <c r="J949" s="12">
        <v>17.361005253999998</v>
      </c>
      <c r="K949" s="1" t="s">
        <v>34</v>
      </c>
      <c r="L949" s="16">
        <v>3415.25</v>
      </c>
      <c r="N949" s="16">
        <v>20777.571178005001</v>
      </c>
      <c r="O949" s="15">
        <v>32.599131</v>
      </c>
      <c r="P949" s="15">
        <v>8.7025000000000006</v>
      </c>
      <c r="Q949" s="15">
        <v>45.317500000000003</v>
      </c>
      <c r="R949" s="15">
        <v>49.4375</v>
      </c>
      <c r="U949" s="15">
        <v>22.965</v>
      </c>
      <c r="V949" s="15">
        <v>5.915</v>
      </c>
      <c r="W949" s="12">
        <v>0.73112500000000002</v>
      </c>
      <c r="X949" s="15"/>
      <c r="Y949" s="15">
        <v>65.295000000000002</v>
      </c>
      <c r="Z949" s="12"/>
      <c r="AA949" s="15">
        <v>0.5</v>
      </c>
      <c r="AB949" s="16">
        <f>AA949*33.334</f>
        <v>16.667000000000002</v>
      </c>
      <c r="AC949" s="1">
        <v>0</v>
      </c>
      <c r="AD949" s="16">
        <f>AC949*33.334</f>
        <v>0</v>
      </c>
      <c r="AE949" s="1">
        <v>1</v>
      </c>
    </row>
    <row r="950" spans="1:31" x14ac:dyDescent="0.2">
      <c r="A950" s="1">
        <v>949</v>
      </c>
      <c r="B950" s="1">
        <v>2021</v>
      </c>
      <c r="C950" s="1" t="s">
        <v>31</v>
      </c>
      <c r="D950" s="1" t="s">
        <v>916</v>
      </c>
      <c r="E950" s="1" t="s">
        <v>650</v>
      </c>
      <c r="F950" s="1" t="s">
        <v>32</v>
      </c>
      <c r="G950" s="1">
        <v>116</v>
      </c>
      <c r="H950" s="1" t="s">
        <v>89</v>
      </c>
      <c r="I950" s="12">
        <v>6.9843066067319999</v>
      </c>
      <c r="J950" s="12">
        <v>19.955161734000001</v>
      </c>
      <c r="K950" s="1" t="s">
        <v>89</v>
      </c>
      <c r="L950" s="16">
        <v>3415.96347737</v>
      </c>
      <c r="M950" s="16" t="s">
        <v>89</v>
      </c>
      <c r="N950" s="16">
        <v>23854.82542374</v>
      </c>
      <c r="O950" s="15">
        <v>35.055046499999996</v>
      </c>
      <c r="P950" s="15">
        <v>7.8560330409999999</v>
      </c>
      <c r="Q950" s="15">
        <v>38.384912548000003</v>
      </c>
      <c r="R950" s="15">
        <v>61.282760733000003</v>
      </c>
      <c r="T950" s="15">
        <v>21.680123087999998</v>
      </c>
      <c r="U950" s="15">
        <v>41.112284629000001</v>
      </c>
      <c r="V950" s="15">
        <v>5.9161216559999996</v>
      </c>
      <c r="W950" s="12">
        <v>0.71390152208999991</v>
      </c>
      <c r="X950" s="15"/>
      <c r="Y950" s="15">
        <v>73.424678173999993</v>
      </c>
      <c r="Z950" s="12"/>
      <c r="AA950" s="15">
        <v>0.33359422900000002</v>
      </c>
      <c r="AB950" s="16">
        <f>AA950*33.334</f>
        <v>11.120030029486001</v>
      </c>
      <c r="AD950" s="16"/>
      <c r="AE950" s="1">
        <v>1</v>
      </c>
    </row>
    <row r="951" spans="1:31" x14ac:dyDescent="0.2">
      <c r="A951" s="1">
        <v>950</v>
      </c>
      <c r="B951" s="1">
        <v>2014</v>
      </c>
      <c r="C951" s="1" t="s">
        <v>31</v>
      </c>
      <c r="D951" s="1" t="s">
        <v>291</v>
      </c>
      <c r="E951" s="1" t="s">
        <v>438</v>
      </c>
      <c r="F951" s="1" t="s">
        <v>32</v>
      </c>
      <c r="G951" s="1">
        <v>116</v>
      </c>
      <c r="I951" s="12">
        <v>8.39</v>
      </c>
      <c r="J951" s="12">
        <v>24</v>
      </c>
      <c r="L951" s="16">
        <v>3416</v>
      </c>
      <c r="N951" s="16">
        <v>28685</v>
      </c>
      <c r="O951" s="15">
        <v>32.200000000000003</v>
      </c>
      <c r="P951" s="15">
        <v>8</v>
      </c>
      <c r="Q951" s="15">
        <v>41.1</v>
      </c>
      <c r="R951" s="15">
        <v>54.9</v>
      </c>
      <c r="T951" s="15"/>
      <c r="U951" s="15">
        <v>31.5</v>
      </c>
      <c r="V951" s="15">
        <v>5.2</v>
      </c>
      <c r="W951" s="12">
        <v>0.73</v>
      </c>
      <c r="X951" s="15"/>
      <c r="Y951" s="15">
        <v>70.099999999999994</v>
      </c>
      <c r="Z951" s="12">
        <v>1.9</v>
      </c>
      <c r="AB951" s="16"/>
      <c r="AD951" s="16"/>
      <c r="AE951" s="1">
        <v>1</v>
      </c>
    </row>
    <row r="952" spans="1:31" x14ac:dyDescent="0.2">
      <c r="A952" s="1">
        <v>951</v>
      </c>
      <c r="B952" s="1">
        <v>2014</v>
      </c>
      <c r="C952" s="1" t="s">
        <v>31</v>
      </c>
      <c r="D952" s="1" t="s">
        <v>108</v>
      </c>
      <c r="E952" s="1" t="s">
        <v>433</v>
      </c>
      <c r="F952" s="1" t="s">
        <v>32</v>
      </c>
      <c r="G952" s="1">
        <v>118</v>
      </c>
      <c r="I952" s="12">
        <v>9.5299999999999994</v>
      </c>
      <c r="J952" s="12">
        <v>27.2</v>
      </c>
      <c r="L952" s="16">
        <v>3416</v>
      </c>
      <c r="M952" s="1" t="s">
        <v>34</v>
      </c>
      <c r="N952" s="16">
        <v>32570</v>
      </c>
      <c r="O952" s="15">
        <v>31.8</v>
      </c>
      <c r="P952" s="15">
        <v>8</v>
      </c>
      <c r="Q952" s="15">
        <v>42</v>
      </c>
      <c r="R952" s="15">
        <v>56.1</v>
      </c>
      <c r="T952" s="15"/>
      <c r="U952" s="15">
        <v>30</v>
      </c>
      <c r="V952" s="15">
        <v>6.4</v>
      </c>
      <c r="W952" s="12">
        <v>0.72</v>
      </c>
      <c r="X952" s="15"/>
      <c r="Y952" s="15">
        <v>69.8</v>
      </c>
      <c r="Z952" s="12">
        <v>2.2400000000000002</v>
      </c>
      <c r="AB952" s="16"/>
      <c r="AD952" s="16"/>
      <c r="AE952" s="1">
        <v>1</v>
      </c>
    </row>
    <row r="953" spans="1:31" x14ac:dyDescent="0.2">
      <c r="A953" s="1">
        <v>952</v>
      </c>
      <c r="B953" s="1">
        <v>2012</v>
      </c>
      <c r="C953" s="1" t="s">
        <v>31</v>
      </c>
      <c r="D953" s="8" t="s">
        <v>874</v>
      </c>
      <c r="E953" s="1" t="s">
        <v>279</v>
      </c>
      <c r="F953" s="1" t="s">
        <v>32</v>
      </c>
      <c r="I953" s="12">
        <v>9</v>
      </c>
      <c r="J953" s="12">
        <v>25.7</v>
      </c>
      <c r="L953" s="16">
        <v>3417</v>
      </c>
      <c r="N953" s="16">
        <v>30755</v>
      </c>
      <c r="O953" s="15">
        <v>34.799999999999997</v>
      </c>
      <c r="P953" s="15">
        <v>7.9</v>
      </c>
      <c r="Q953" s="15">
        <v>43.6</v>
      </c>
      <c r="R953" s="15">
        <v>62.2</v>
      </c>
      <c r="T953" s="15"/>
      <c r="U953" s="15">
        <v>34.799999999999997</v>
      </c>
      <c r="V953" s="15">
        <v>4.5999999999999996</v>
      </c>
      <c r="W953" s="12">
        <v>0.74</v>
      </c>
      <c r="X953" s="15"/>
      <c r="Y953" s="15"/>
      <c r="Z953" s="12">
        <v>2.44</v>
      </c>
      <c r="AB953" s="16"/>
      <c r="AD953" s="16"/>
      <c r="AE953" s="1">
        <v>1</v>
      </c>
    </row>
    <row r="954" spans="1:31" x14ac:dyDescent="0.2">
      <c r="A954" s="1">
        <v>953</v>
      </c>
      <c r="B954" s="1">
        <v>2020</v>
      </c>
      <c r="C954" s="1" t="s">
        <v>31</v>
      </c>
      <c r="D954" s="1" t="s">
        <v>37</v>
      </c>
      <c r="E954" s="1" t="s">
        <v>725</v>
      </c>
      <c r="F954" s="1" t="s">
        <v>83</v>
      </c>
      <c r="G954" s="1">
        <v>118</v>
      </c>
      <c r="H954" s="1" t="s">
        <v>754</v>
      </c>
      <c r="I954" s="12">
        <v>5.1029656385984996</v>
      </c>
      <c r="J954" s="12">
        <v>14.579901825</v>
      </c>
      <c r="L954" s="16">
        <v>3417.273326815</v>
      </c>
      <c r="M954" s="16" t="s">
        <v>754</v>
      </c>
      <c r="N954" s="16">
        <v>17503.598670758001</v>
      </c>
      <c r="O954" s="15">
        <v>28.545965299999999</v>
      </c>
      <c r="P954" s="15">
        <v>8.9574999999999996</v>
      </c>
      <c r="Q954" s="15">
        <v>44.725000000000001</v>
      </c>
      <c r="R954" s="15">
        <v>47.082500000000003</v>
      </c>
      <c r="S954" s="15"/>
      <c r="T954" s="15">
        <v>25.335000000000001</v>
      </c>
      <c r="U954" s="15">
        <v>27.0425</v>
      </c>
      <c r="V954" s="15">
        <v>5.4725000000000001</v>
      </c>
      <c r="W954" s="12">
        <v>0.71498447099999995</v>
      </c>
      <c r="X954" s="15"/>
      <c r="Y954" s="15">
        <v>73.463114114000007</v>
      </c>
      <c r="Z954" s="12"/>
      <c r="AA954" s="15">
        <v>1</v>
      </c>
      <c r="AB954" s="16">
        <f>AA954*33.334</f>
        <v>33.334000000000003</v>
      </c>
      <c r="AD954" s="16"/>
      <c r="AE954" s="1">
        <v>1</v>
      </c>
    </row>
    <row r="955" spans="1:31" x14ac:dyDescent="0.2">
      <c r="A955" s="1">
        <v>954</v>
      </c>
      <c r="B955" s="1">
        <v>2016</v>
      </c>
      <c r="C955" s="1" t="s">
        <v>31</v>
      </c>
      <c r="D955" s="8" t="s">
        <v>555</v>
      </c>
      <c r="E955" s="8" t="s">
        <v>558</v>
      </c>
      <c r="F955" s="1" t="s">
        <v>32</v>
      </c>
      <c r="G955" s="8">
        <v>117</v>
      </c>
      <c r="I955" s="12">
        <v>8.27</v>
      </c>
      <c r="J955" s="7">
        <v>23.628571428571401</v>
      </c>
      <c r="K955" s="1" t="s">
        <v>34</v>
      </c>
      <c r="L955" s="14">
        <v>3418</v>
      </c>
      <c r="N955" s="14">
        <v>28443</v>
      </c>
      <c r="O955" s="13">
        <v>32.4</v>
      </c>
      <c r="P955" s="13">
        <v>8.6999999999999993</v>
      </c>
      <c r="Q955" s="13">
        <v>39.200000000000003</v>
      </c>
      <c r="R955" s="13">
        <v>57</v>
      </c>
      <c r="S955" s="13"/>
      <c r="T955" s="13">
        <v>22.1</v>
      </c>
      <c r="U955" s="13">
        <v>32.299999999999997</v>
      </c>
      <c r="V955" s="13">
        <v>4.5999999999999996</v>
      </c>
      <c r="W955" s="7">
        <v>0.73</v>
      </c>
      <c r="X955" s="13"/>
      <c r="Y955" s="13">
        <v>72.7</v>
      </c>
      <c r="Z955" s="7">
        <v>1.83</v>
      </c>
      <c r="AA955" s="15" t="s">
        <v>89</v>
      </c>
      <c r="AB955" s="16"/>
      <c r="AD955" s="16"/>
      <c r="AE955" s="1">
        <v>1</v>
      </c>
    </row>
    <row r="956" spans="1:31" x14ac:dyDescent="0.2">
      <c r="A956" s="1">
        <v>955</v>
      </c>
      <c r="B956" s="1">
        <v>2018</v>
      </c>
      <c r="C956" s="1" t="s">
        <v>31</v>
      </c>
      <c r="D956" s="1" t="s">
        <v>37</v>
      </c>
      <c r="E956" s="1" t="s">
        <v>621</v>
      </c>
      <c r="F956" s="1" t="s">
        <v>32</v>
      </c>
      <c r="G956" s="1">
        <v>118</v>
      </c>
      <c r="I956" s="12">
        <v>7.9</v>
      </c>
      <c r="J956" s="3">
        <v>22.429907700000001</v>
      </c>
      <c r="K956" s="1" t="s">
        <v>34</v>
      </c>
      <c r="L956" s="5">
        <v>3418.5</v>
      </c>
      <c r="M956" s="1" t="s">
        <v>34</v>
      </c>
      <c r="N956" s="5">
        <v>26963</v>
      </c>
      <c r="O956" s="6">
        <v>34.722499999999997</v>
      </c>
      <c r="P956" s="18">
        <v>8.3000000000000007</v>
      </c>
      <c r="Q956" s="6">
        <v>39.317500000000003</v>
      </c>
      <c r="R956" s="6">
        <v>58.09</v>
      </c>
      <c r="S956" s="3"/>
      <c r="T956" s="6">
        <v>23.6875</v>
      </c>
      <c r="U956" s="6">
        <v>36.799999999999997</v>
      </c>
      <c r="V956" s="6">
        <v>5.2024999999999997</v>
      </c>
      <c r="W956" s="3">
        <v>0.74</v>
      </c>
      <c r="X956" s="6"/>
      <c r="Y956" s="6">
        <v>71.400000000000006</v>
      </c>
      <c r="Z956" s="3">
        <v>1.7855040200000001</v>
      </c>
      <c r="AB956" s="16"/>
      <c r="AD956" s="16"/>
      <c r="AE956" s="1">
        <v>1</v>
      </c>
    </row>
    <row r="957" spans="1:31" x14ac:dyDescent="0.2">
      <c r="A957" s="1">
        <v>956</v>
      </c>
      <c r="B957" s="1">
        <v>2015</v>
      </c>
      <c r="C957" s="8" t="s">
        <v>31</v>
      </c>
      <c r="D957" s="8" t="s">
        <v>71</v>
      </c>
      <c r="E957" s="8" t="s">
        <v>498</v>
      </c>
      <c r="F957" s="1" t="s">
        <v>83</v>
      </c>
      <c r="I957" s="12">
        <v>4.62</v>
      </c>
      <c r="J957" s="7">
        <v>13.200000000000001</v>
      </c>
      <c r="L957" s="14">
        <v>3419</v>
      </c>
      <c r="N957" s="14">
        <v>15749</v>
      </c>
      <c r="O957" s="13">
        <v>32.299999999999997</v>
      </c>
      <c r="P957" s="13">
        <v>6</v>
      </c>
      <c r="Q957" s="13">
        <v>40.299999999999997</v>
      </c>
      <c r="R957" s="13">
        <v>50.5</v>
      </c>
      <c r="S957" s="8"/>
      <c r="T957" s="13">
        <v>25.5</v>
      </c>
      <c r="U957" s="13">
        <v>35.4</v>
      </c>
      <c r="V957" s="13">
        <v>4.7</v>
      </c>
      <c r="W957" s="7">
        <v>0.74</v>
      </c>
      <c r="X957" s="13"/>
      <c r="Y957" s="13">
        <v>71.2</v>
      </c>
      <c r="Z957" s="7">
        <v>0.94</v>
      </c>
      <c r="AA957" s="18">
        <v>2.75</v>
      </c>
      <c r="AB957" s="16">
        <f>AA957*10</f>
        <v>27.5</v>
      </c>
      <c r="AC957" s="15" t="s">
        <v>89</v>
      </c>
      <c r="AD957" s="16"/>
      <c r="AE957" s="1">
        <v>1</v>
      </c>
    </row>
    <row r="958" spans="1:31" x14ac:dyDescent="0.2">
      <c r="A958" s="1">
        <v>957</v>
      </c>
      <c r="B958" s="1">
        <v>2014</v>
      </c>
      <c r="C958" s="1" t="s">
        <v>88</v>
      </c>
      <c r="D958" s="8" t="s">
        <v>1023</v>
      </c>
      <c r="E958" s="8" t="s">
        <v>336</v>
      </c>
      <c r="F958" s="8" t="s">
        <v>83</v>
      </c>
      <c r="G958" s="8"/>
      <c r="H958" s="8"/>
      <c r="I958" s="12">
        <v>7.25</v>
      </c>
      <c r="J958" s="7">
        <v>20.714285714285701</v>
      </c>
      <c r="K958" s="13"/>
      <c r="L958" s="14">
        <v>3420</v>
      </c>
      <c r="M958" s="8"/>
      <c r="N958" s="14">
        <v>24790</v>
      </c>
      <c r="O958" s="13">
        <v>29.2</v>
      </c>
      <c r="P958" s="13">
        <v>10.5</v>
      </c>
      <c r="Q958" s="13">
        <v>45.6</v>
      </c>
      <c r="R958" s="13">
        <v>57.9</v>
      </c>
      <c r="S958" s="13"/>
      <c r="T958" s="13"/>
      <c r="U958" s="13">
        <v>28.3</v>
      </c>
      <c r="V958" s="13">
        <v>3.2</v>
      </c>
      <c r="W958" s="7">
        <v>0.66</v>
      </c>
      <c r="X958" s="15"/>
      <c r="Y958" s="13">
        <v>63.9</v>
      </c>
      <c r="Z958" s="7">
        <v>1.91</v>
      </c>
      <c r="AA958" s="13">
        <v>1</v>
      </c>
      <c r="AB958" s="16">
        <f>AA958*10</f>
        <v>10</v>
      </c>
      <c r="AC958" s="8">
        <v>7.4</v>
      </c>
      <c r="AD958" s="16">
        <f>AC958*10</f>
        <v>74</v>
      </c>
      <c r="AE958" s="1">
        <v>1</v>
      </c>
    </row>
    <row r="959" spans="1:31" x14ac:dyDescent="0.2">
      <c r="A959" s="1">
        <v>958</v>
      </c>
      <c r="B959" s="1">
        <v>2020</v>
      </c>
      <c r="C959" s="1" t="s">
        <v>31</v>
      </c>
      <c r="D959" s="1" t="s">
        <v>805</v>
      </c>
      <c r="E959" s="1" t="s">
        <v>767</v>
      </c>
      <c r="F959" s="1" t="s">
        <v>83</v>
      </c>
      <c r="G959" s="1">
        <v>118</v>
      </c>
      <c r="H959" s="1" t="s">
        <v>754</v>
      </c>
      <c r="I959" s="12">
        <v>5.6128400464145001</v>
      </c>
      <c r="J959" s="12">
        <v>16.036685847000001</v>
      </c>
      <c r="L959" s="16">
        <v>3420.3030967919999</v>
      </c>
      <c r="M959" s="16" t="s">
        <v>34</v>
      </c>
      <c r="N959" s="16">
        <v>19286.616334579001</v>
      </c>
      <c r="O959" s="15">
        <v>29.335577600000001</v>
      </c>
      <c r="P959" s="15">
        <v>8.9525000000000006</v>
      </c>
      <c r="Q959" s="15">
        <v>43.722499999999997</v>
      </c>
      <c r="R959" s="15">
        <v>42.715000000000003</v>
      </c>
      <c r="S959" s="15"/>
      <c r="T959" s="15">
        <v>24.247499999999999</v>
      </c>
      <c r="U959" s="15">
        <v>28.997499999999999</v>
      </c>
      <c r="V959" s="15">
        <v>4.9424999999999999</v>
      </c>
      <c r="W959" s="12">
        <v>0.71876240999999996</v>
      </c>
      <c r="X959" s="15"/>
      <c r="Y959" s="15">
        <v>73.034514000000001</v>
      </c>
      <c r="Z959" s="12"/>
      <c r="AA959" s="15">
        <v>0.5</v>
      </c>
      <c r="AB959" s="16">
        <f>AA959*33.334</f>
        <v>16.667000000000002</v>
      </c>
      <c r="AD959" s="16"/>
      <c r="AE959" s="1">
        <v>1</v>
      </c>
    </row>
    <row r="960" spans="1:31" x14ac:dyDescent="0.2">
      <c r="A960" s="1">
        <v>959</v>
      </c>
      <c r="B960" s="1">
        <v>2012</v>
      </c>
      <c r="C960" s="1" t="s">
        <v>31</v>
      </c>
      <c r="D960" s="22" t="s">
        <v>917</v>
      </c>
      <c r="E960" s="1" t="s">
        <v>299</v>
      </c>
      <c r="F960" s="1" t="s">
        <v>83</v>
      </c>
      <c r="I960" s="12">
        <v>5.66</v>
      </c>
      <c r="J960" s="12">
        <v>16.2</v>
      </c>
      <c r="K960" s="1" t="s">
        <v>34</v>
      </c>
      <c r="L960" s="16">
        <v>3421</v>
      </c>
      <c r="N960" s="16">
        <v>19366</v>
      </c>
      <c r="O960" s="15">
        <v>30.5</v>
      </c>
      <c r="P960" s="15">
        <v>7.69</v>
      </c>
      <c r="Q960" s="15">
        <v>42.3</v>
      </c>
      <c r="R960" s="15">
        <v>56.8</v>
      </c>
      <c r="T960" s="15"/>
      <c r="U960" s="15">
        <v>39.200000000000003</v>
      </c>
      <c r="V960" s="15">
        <v>3</v>
      </c>
      <c r="W960" s="12">
        <v>0.73</v>
      </c>
      <c r="X960" s="15"/>
      <c r="Y960" s="15"/>
      <c r="Z960" s="12">
        <v>1.36</v>
      </c>
      <c r="AB960" s="16"/>
      <c r="AD960" s="16"/>
      <c r="AE960" s="1">
        <v>1</v>
      </c>
    </row>
    <row r="961" spans="1:31" x14ac:dyDescent="0.2">
      <c r="A961" s="1">
        <v>960</v>
      </c>
      <c r="B961" s="1">
        <v>2009</v>
      </c>
      <c r="C961" s="1" t="s">
        <v>31</v>
      </c>
      <c r="D961" s="8" t="s">
        <v>37</v>
      </c>
      <c r="E961" s="8" t="s">
        <v>41</v>
      </c>
      <c r="F961" s="1" t="s">
        <v>32</v>
      </c>
      <c r="I961" s="12">
        <v>7.52</v>
      </c>
      <c r="J961" s="7">
        <v>21.485714285714302</v>
      </c>
      <c r="L961" s="14">
        <v>3421</v>
      </c>
      <c r="N961" s="14">
        <v>25724</v>
      </c>
      <c r="O961" s="13">
        <v>28.9</v>
      </c>
      <c r="P961" s="13">
        <v>8.6999999999999993</v>
      </c>
      <c r="Q961" s="13">
        <v>46.6</v>
      </c>
      <c r="R961" s="13">
        <v>58.9</v>
      </c>
      <c r="S961" s="13"/>
      <c r="T961" s="15" t="s">
        <v>89</v>
      </c>
      <c r="U961" s="13">
        <v>29.8</v>
      </c>
      <c r="V961" s="13">
        <v>8</v>
      </c>
      <c r="W961" s="12" t="s">
        <v>89</v>
      </c>
      <c r="X961" s="15"/>
      <c r="Y961" s="13">
        <v>73.400000000000006</v>
      </c>
      <c r="Z961" s="7">
        <v>2.0699999999999998</v>
      </c>
      <c r="AB961" s="16"/>
      <c r="AD961" s="16"/>
      <c r="AE961" s="1">
        <v>1</v>
      </c>
    </row>
    <row r="962" spans="1:31" x14ac:dyDescent="0.2">
      <c r="A962" s="1">
        <v>961</v>
      </c>
      <c r="B962" s="1">
        <v>2009</v>
      </c>
      <c r="C962" s="1" t="s">
        <v>31</v>
      </c>
      <c r="D962" s="1" t="s">
        <v>916</v>
      </c>
      <c r="E962" s="8" t="s">
        <v>36</v>
      </c>
      <c r="F962" s="1" t="s">
        <v>32</v>
      </c>
      <c r="I962" s="12">
        <v>7.84</v>
      </c>
      <c r="J962" s="7">
        <v>22.4</v>
      </c>
      <c r="L962" s="14">
        <v>3421</v>
      </c>
      <c r="N962" s="14">
        <v>26815</v>
      </c>
      <c r="O962" s="13">
        <v>32.4</v>
      </c>
      <c r="P962" s="13">
        <v>9.4</v>
      </c>
      <c r="Q962" s="13">
        <v>44.6</v>
      </c>
      <c r="R962" s="13">
        <v>56.6</v>
      </c>
      <c r="S962" s="13"/>
      <c r="T962" s="15" t="s">
        <v>89</v>
      </c>
      <c r="U962" s="13">
        <v>31.3</v>
      </c>
      <c r="V962" s="13">
        <v>8.1999999999999993</v>
      </c>
      <c r="W962" s="12" t="s">
        <v>89</v>
      </c>
      <c r="X962" s="15"/>
      <c r="Y962" s="13">
        <v>73</v>
      </c>
      <c r="Z962" s="7">
        <v>1.98</v>
      </c>
      <c r="AB962" s="16"/>
      <c r="AD962" s="16"/>
      <c r="AE962" s="1">
        <v>1</v>
      </c>
    </row>
    <row r="963" spans="1:31" x14ac:dyDescent="0.2">
      <c r="A963" s="1">
        <v>962</v>
      </c>
      <c r="B963" s="1">
        <v>2021</v>
      </c>
      <c r="C963" s="1" t="s">
        <v>31</v>
      </c>
      <c r="D963" s="1" t="s">
        <v>821</v>
      </c>
      <c r="E963" s="1" t="s">
        <v>824</v>
      </c>
      <c r="F963" s="1" t="s">
        <v>32</v>
      </c>
      <c r="G963" s="1">
        <v>118</v>
      </c>
      <c r="H963" s="1" t="s">
        <v>89</v>
      </c>
      <c r="I963" s="12">
        <v>7.9876047131624999</v>
      </c>
      <c r="J963" s="12">
        <v>22.821727752000001</v>
      </c>
      <c r="K963" s="1" t="s">
        <v>89</v>
      </c>
      <c r="L963" s="16">
        <v>3421.329046627</v>
      </c>
      <c r="M963" s="16" t="s">
        <v>89</v>
      </c>
      <c r="N963" s="16">
        <v>27079.923978863</v>
      </c>
      <c r="O963" s="15">
        <v>42.433665699999999</v>
      </c>
      <c r="P963" s="15">
        <v>7.6871623060000003</v>
      </c>
      <c r="Q963" s="15">
        <v>35.871524078</v>
      </c>
      <c r="R963" s="15">
        <v>58.047078743999997</v>
      </c>
      <c r="T963" s="15">
        <v>21.054898424000001</v>
      </c>
      <c r="U963" s="15">
        <v>45.03603511</v>
      </c>
      <c r="V963" s="15">
        <v>6.2689836630000002</v>
      </c>
      <c r="W963" s="12">
        <v>0.71783795530000005</v>
      </c>
      <c r="X963" s="15"/>
      <c r="Y963" s="15">
        <v>73.058470451999995</v>
      </c>
      <c r="Z963" s="12"/>
      <c r="AA963" s="15">
        <v>1.4629670589999999</v>
      </c>
      <c r="AB963" s="16">
        <f>AA963*33.334</f>
        <v>48.766543944706001</v>
      </c>
      <c r="AD963" s="16"/>
      <c r="AE963" s="1">
        <v>1</v>
      </c>
    </row>
    <row r="964" spans="1:31" x14ac:dyDescent="0.2">
      <c r="A964" s="1">
        <v>963</v>
      </c>
      <c r="B964" s="1">
        <v>2016</v>
      </c>
      <c r="C964" s="1" t="s">
        <v>31</v>
      </c>
      <c r="D964" s="19" t="s">
        <v>985</v>
      </c>
      <c r="E964" s="8" t="s">
        <v>530</v>
      </c>
      <c r="F964" s="1" t="s">
        <v>32</v>
      </c>
      <c r="G964" s="8">
        <v>117</v>
      </c>
      <c r="I964" s="12">
        <v>8.15</v>
      </c>
      <c r="J964" s="7">
        <v>23.285714285714299</v>
      </c>
      <c r="K964" s="1" t="s">
        <v>34</v>
      </c>
      <c r="L964" s="14">
        <v>3422</v>
      </c>
      <c r="N964" s="14">
        <v>27900</v>
      </c>
      <c r="O964" s="13">
        <v>32.700000000000003</v>
      </c>
      <c r="P964" s="13">
        <v>7.3</v>
      </c>
      <c r="Q964" s="13">
        <v>42.5</v>
      </c>
      <c r="R964" s="13">
        <v>53.6</v>
      </c>
      <c r="S964" s="13"/>
      <c r="T964" s="13">
        <v>25.1</v>
      </c>
      <c r="U964" s="13">
        <v>33.6</v>
      </c>
      <c r="V964" s="13">
        <v>2.8</v>
      </c>
      <c r="W964" s="7">
        <v>0.73</v>
      </c>
      <c r="X964" s="13"/>
      <c r="Y964" s="13">
        <v>71.5</v>
      </c>
      <c r="Z964" s="7">
        <v>1.85</v>
      </c>
      <c r="AA964" s="15" t="s">
        <v>89</v>
      </c>
      <c r="AB964" s="16"/>
      <c r="AD964" s="16"/>
      <c r="AE964" s="1">
        <v>1</v>
      </c>
    </row>
    <row r="965" spans="1:31" x14ac:dyDescent="0.2">
      <c r="A965" s="1">
        <v>964</v>
      </c>
      <c r="B965" s="1">
        <v>2012</v>
      </c>
      <c r="C965" s="1" t="s">
        <v>31</v>
      </c>
      <c r="D965" s="1" t="s">
        <v>805</v>
      </c>
      <c r="E965" s="1" t="s">
        <v>317</v>
      </c>
      <c r="F965" s="1" t="s">
        <v>83</v>
      </c>
      <c r="H965" s="1" t="s">
        <v>34</v>
      </c>
      <c r="I965" s="12">
        <v>6.46</v>
      </c>
      <c r="J965" s="12">
        <v>18.5</v>
      </c>
      <c r="K965" s="1" t="s">
        <v>34</v>
      </c>
      <c r="L965" s="16">
        <v>3423</v>
      </c>
      <c r="M965" s="1" t="s">
        <v>34</v>
      </c>
      <c r="N965" s="16">
        <v>22098</v>
      </c>
      <c r="O965" s="15">
        <v>32.6</v>
      </c>
      <c r="P965" s="15">
        <v>7.88</v>
      </c>
      <c r="Q965" s="15">
        <v>43</v>
      </c>
      <c r="R965" s="15">
        <v>59.3</v>
      </c>
      <c r="T965" s="15"/>
      <c r="U965" s="15">
        <v>37.1</v>
      </c>
      <c r="V965" s="15">
        <v>3.7</v>
      </c>
      <c r="W965" s="12">
        <v>0.73</v>
      </c>
      <c r="X965" s="15"/>
      <c r="Y965" s="15"/>
      <c r="Z965" s="12">
        <v>1.65</v>
      </c>
      <c r="AB965" s="16"/>
      <c r="AD965" s="16"/>
      <c r="AE965" s="1">
        <v>1</v>
      </c>
    </row>
    <row r="966" spans="1:31" x14ac:dyDescent="0.2">
      <c r="A966" s="1">
        <v>965</v>
      </c>
      <c r="B966" s="1">
        <v>2010</v>
      </c>
      <c r="C966" s="1" t="s">
        <v>31</v>
      </c>
      <c r="D966" s="8" t="s">
        <v>67</v>
      </c>
      <c r="E966" s="8">
        <v>514</v>
      </c>
      <c r="F966" s="1" t="s">
        <v>32</v>
      </c>
      <c r="I966" s="12">
        <v>9.4</v>
      </c>
      <c r="J966" s="7">
        <v>26.8571428571429</v>
      </c>
      <c r="L966" s="14">
        <v>3423</v>
      </c>
      <c r="N966" s="14">
        <v>32057</v>
      </c>
      <c r="O966" s="13">
        <v>31.1</v>
      </c>
      <c r="P966" s="13">
        <v>10.1</v>
      </c>
      <c r="Q966" s="13">
        <v>46.5</v>
      </c>
      <c r="R966" s="13">
        <v>59.9</v>
      </c>
      <c r="S966" s="13"/>
      <c r="T966" s="15"/>
      <c r="U966" s="13">
        <v>30.1</v>
      </c>
      <c r="V966" s="13">
        <v>7.1</v>
      </c>
      <c r="W966" s="12"/>
      <c r="X966" s="15"/>
      <c r="Y966" s="13">
        <v>70.400000000000006</v>
      </c>
      <c r="Z966" s="7">
        <v>2.63</v>
      </c>
      <c r="AB966" s="16"/>
      <c r="AD966" s="16"/>
      <c r="AE966" s="1">
        <v>1</v>
      </c>
    </row>
    <row r="967" spans="1:31" x14ac:dyDescent="0.2">
      <c r="A967" s="1">
        <v>966</v>
      </c>
      <c r="B967" s="1">
        <v>2016</v>
      </c>
      <c r="C967" s="1" t="s">
        <v>31</v>
      </c>
      <c r="D967" s="1" t="s">
        <v>805</v>
      </c>
      <c r="E967" s="8" t="s">
        <v>554</v>
      </c>
      <c r="F967" s="1" t="s">
        <v>32</v>
      </c>
      <c r="G967" s="8">
        <v>121</v>
      </c>
      <c r="H967" s="1" t="s">
        <v>34</v>
      </c>
      <c r="I967" s="12">
        <v>9.6999999999999993</v>
      </c>
      <c r="J967" s="7">
        <v>27.7</v>
      </c>
      <c r="K967" s="1" t="s">
        <v>34</v>
      </c>
      <c r="L967" s="14">
        <v>3425</v>
      </c>
      <c r="M967" s="1" t="s">
        <v>34</v>
      </c>
      <c r="N967" s="14">
        <v>33248</v>
      </c>
      <c r="O967" s="13">
        <v>34</v>
      </c>
      <c r="P967" s="13">
        <v>7.6</v>
      </c>
      <c r="Q967" s="13">
        <v>40.5</v>
      </c>
      <c r="R967" s="13">
        <v>51.9</v>
      </c>
      <c r="S967" s="13"/>
      <c r="T967" s="13">
        <v>23.7</v>
      </c>
      <c r="U967" s="13">
        <v>34.4</v>
      </c>
      <c r="V967" s="13">
        <v>3.3</v>
      </c>
      <c r="W967" s="7">
        <v>0.74</v>
      </c>
      <c r="X967" s="13"/>
      <c r="Y967" s="13">
        <v>72.5</v>
      </c>
      <c r="Z967" s="7">
        <v>2.04</v>
      </c>
      <c r="AA967" s="15" t="s">
        <v>89</v>
      </c>
      <c r="AB967" s="16"/>
      <c r="AD967" s="16"/>
      <c r="AE967" s="1">
        <v>1</v>
      </c>
    </row>
    <row r="968" spans="1:31" x14ac:dyDescent="0.2">
      <c r="A968" s="1">
        <v>967</v>
      </c>
      <c r="B968" s="1">
        <v>2018</v>
      </c>
      <c r="C968" s="1" t="s">
        <v>31</v>
      </c>
      <c r="D968" s="1" t="s">
        <v>402</v>
      </c>
      <c r="E968" s="1" t="s">
        <v>532</v>
      </c>
      <c r="F968" s="1" t="s">
        <v>32</v>
      </c>
      <c r="G968" s="1">
        <v>118</v>
      </c>
      <c r="H968" s="1" t="s">
        <v>34</v>
      </c>
      <c r="I968" s="12">
        <v>8.6999999999999993</v>
      </c>
      <c r="J968" s="3">
        <v>24.8</v>
      </c>
      <c r="K968" s="1" t="s">
        <v>34</v>
      </c>
      <c r="L968" s="5">
        <v>3425.3</v>
      </c>
      <c r="M968" s="1" t="s">
        <v>34</v>
      </c>
      <c r="N968" s="5">
        <v>29802</v>
      </c>
      <c r="O968" s="6">
        <v>35.715000000000003</v>
      </c>
      <c r="P968" s="18">
        <v>7.72</v>
      </c>
      <c r="Q968" s="6">
        <v>39.11</v>
      </c>
      <c r="R968" s="6">
        <v>58.9</v>
      </c>
      <c r="S968" s="3"/>
      <c r="T968" s="6">
        <v>23.63</v>
      </c>
      <c r="U968" s="6">
        <v>38.1</v>
      </c>
      <c r="V968" s="6">
        <v>5.1325000000000003</v>
      </c>
      <c r="W968" s="3">
        <v>0.752</v>
      </c>
      <c r="X968" s="6"/>
      <c r="Y968" s="6">
        <v>72.400000000000006</v>
      </c>
      <c r="Z968" s="3">
        <v>2</v>
      </c>
      <c r="AB968" s="16"/>
      <c r="AD968" s="16"/>
      <c r="AE968" s="1">
        <v>1</v>
      </c>
    </row>
    <row r="969" spans="1:31" x14ac:dyDescent="0.2">
      <c r="A969" s="1">
        <v>968</v>
      </c>
      <c r="B969" s="1">
        <v>2013</v>
      </c>
      <c r="C969" s="1" t="s">
        <v>31</v>
      </c>
      <c r="D969" s="8" t="s">
        <v>125</v>
      </c>
      <c r="E969" s="8" t="s">
        <v>381</v>
      </c>
      <c r="F969" s="1" t="s">
        <v>32</v>
      </c>
      <c r="G969" s="8">
        <v>118</v>
      </c>
      <c r="H969" s="8"/>
      <c r="I969" s="12">
        <v>9.2799999999999994</v>
      </c>
      <c r="J969" s="7">
        <v>26.514285714285698</v>
      </c>
      <c r="K969" s="13"/>
      <c r="L969" s="14">
        <v>3426</v>
      </c>
      <c r="M969" s="8"/>
      <c r="N969" s="14">
        <v>31860</v>
      </c>
      <c r="O969" s="13">
        <v>34</v>
      </c>
      <c r="P969" s="13">
        <v>7.7</v>
      </c>
      <c r="Q969" s="13">
        <v>36.299999999999997</v>
      </c>
      <c r="R969" s="13">
        <v>51.4</v>
      </c>
      <c r="S969" s="13" t="s">
        <v>89</v>
      </c>
      <c r="T969" s="13"/>
      <c r="U969" s="13">
        <v>37.700000000000003</v>
      </c>
      <c r="V969" s="13">
        <v>4.5999999999999996</v>
      </c>
      <c r="W969" s="7">
        <v>0.75</v>
      </c>
      <c r="X969" s="15" t="s">
        <v>89</v>
      </c>
      <c r="Y969" s="15" t="s">
        <v>89</v>
      </c>
      <c r="Z969" s="7">
        <v>1.72</v>
      </c>
      <c r="AB969" s="16"/>
      <c r="AD969" s="16"/>
      <c r="AE969" s="1">
        <v>1</v>
      </c>
    </row>
    <row r="970" spans="1:31" x14ac:dyDescent="0.2">
      <c r="A970" s="1">
        <v>969</v>
      </c>
      <c r="B970" s="1">
        <v>2021</v>
      </c>
      <c r="C970" s="1" t="s">
        <v>31</v>
      </c>
      <c r="D970" s="1" t="s">
        <v>821</v>
      </c>
      <c r="E970" s="1" t="s">
        <v>822</v>
      </c>
      <c r="F970" s="1" t="s">
        <v>32</v>
      </c>
      <c r="G970" s="1">
        <v>116</v>
      </c>
      <c r="H970" s="1" t="s">
        <v>89</v>
      </c>
      <c r="I970" s="12">
        <v>7.6513573535204999</v>
      </c>
      <c r="J970" s="12">
        <v>21.861021010000002</v>
      </c>
      <c r="K970" s="1" t="s">
        <v>89</v>
      </c>
      <c r="L970" s="16">
        <v>3426.1645233129998</v>
      </c>
      <c r="M970" s="16" t="s">
        <v>89</v>
      </c>
      <c r="N970" s="16">
        <v>26144.054607107999</v>
      </c>
      <c r="O970" s="15">
        <v>44.505767899999995</v>
      </c>
      <c r="P970" s="15">
        <v>7.3773311530000001</v>
      </c>
      <c r="Q970" s="15">
        <v>36.903262038999998</v>
      </c>
      <c r="R970" s="15">
        <v>59.972289371999999</v>
      </c>
      <c r="T970" s="15">
        <v>20.892449211999999</v>
      </c>
      <c r="U970" s="15">
        <v>44.268017555</v>
      </c>
      <c r="V970" s="15">
        <v>5.6419918320000004</v>
      </c>
      <c r="W970" s="12">
        <v>0.71671897764999992</v>
      </c>
      <c r="X970" s="15"/>
      <c r="Y970" s="15">
        <v>73.347985226000006</v>
      </c>
      <c r="Z970" s="12"/>
      <c r="AA970" s="15">
        <v>1.54398353</v>
      </c>
      <c r="AB970" s="16">
        <f>AA970*33.334</f>
        <v>51.467146989020002</v>
      </c>
      <c r="AD970" s="16"/>
      <c r="AE970" s="1">
        <v>1</v>
      </c>
    </row>
    <row r="971" spans="1:31" x14ac:dyDescent="0.2">
      <c r="A971" s="1">
        <v>970</v>
      </c>
      <c r="B971" s="1">
        <v>2009</v>
      </c>
      <c r="C971" s="1" t="s">
        <v>31</v>
      </c>
      <c r="D971" s="8" t="s">
        <v>874</v>
      </c>
      <c r="E971" s="8" t="s">
        <v>117</v>
      </c>
      <c r="F971" s="1" t="s">
        <v>32</v>
      </c>
      <c r="I971" s="12">
        <v>8.36</v>
      </c>
      <c r="J971" s="7">
        <v>23.8857142857143</v>
      </c>
      <c r="L971" s="14">
        <v>3427</v>
      </c>
      <c r="N971" s="14">
        <v>28655</v>
      </c>
      <c r="O971" s="13">
        <v>27.8</v>
      </c>
      <c r="P971" s="13">
        <v>9.1999999999999993</v>
      </c>
      <c r="Q971" s="13">
        <v>44.2</v>
      </c>
      <c r="R971" s="13">
        <v>59.3</v>
      </c>
      <c r="S971" s="13"/>
      <c r="T971" s="15" t="s">
        <v>89</v>
      </c>
      <c r="U971" s="13">
        <v>33.5</v>
      </c>
      <c r="V971" s="13">
        <v>4.9000000000000004</v>
      </c>
      <c r="W971" s="12" t="s">
        <v>89</v>
      </c>
      <c r="X971" s="15"/>
      <c r="Y971" s="13">
        <v>73.5</v>
      </c>
      <c r="Z971" s="7">
        <v>2.19</v>
      </c>
      <c r="AB971" s="16"/>
      <c r="AD971" s="16"/>
      <c r="AE971" s="1">
        <v>1</v>
      </c>
    </row>
    <row r="972" spans="1:31" x14ac:dyDescent="0.2">
      <c r="A972" s="1">
        <v>971</v>
      </c>
      <c r="B972" s="1">
        <v>2015</v>
      </c>
      <c r="C972" s="8" t="s">
        <v>31</v>
      </c>
      <c r="D972" s="8" t="s">
        <v>71</v>
      </c>
      <c r="E972" s="8" t="s">
        <v>498</v>
      </c>
      <c r="F972" s="1" t="s">
        <v>32</v>
      </c>
      <c r="G972" s="8">
        <v>117</v>
      </c>
      <c r="I972" s="12">
        <v>8.49</v>
      </c>
      <c r="J972" s="7">
        <v>24.25714285714286</v>
      </c>
      <c r="L972" s="14">
        <v>3427</v>
      </c>
      <c r="N972" s="14">
        <v>29118</v>
      </c>
      <c r="O972" s="13">
        <v>33.799999999999997</v>
      </c>
      <c r="P972" s="13">
        <v>6.4</v>
      </c>
      <c r="Q972" s="13">
        <v>38.799999999999997</v>
      </c>
      <c r="R972" s="13">
        <v>50</v>
      </c>
      <c r="S972" s="8"/>
      <c r="T972" s="13">
        <v>26.2</v>
      </c>
      <c r="U972" s="13">
        <v>34</v>
      </c>
      <c r="V972" s="13">
        <v>3.3</v>
      </c>
      <c r="W972" s="7">
        <v>0.74</v>
      </c>
      <c r="X972" s="13"/>
      <c r="Y972" s="13">
        <v>72.3</v>
      </c>
      <c r="Z972" s="7">
        <v>1.65</v>
      </c>
      <c r="AA972" s="1" t="s">
        <v>89</v>
      </c>
      <c r="AB972" s="16" t="s">
        <v>89</v>
      </c>
      <c r="AC972" s="1" t="s">
        <v>89</v>
      </c>
      <c r="AD972" s="16" t="s">
        <v>89</v>
      </c>
      <c r="AE972" s="1">
        <v>1</v>
      </c>
    </row>
    <row r="973" spans="1:31" x14ac:dyDescent="0.2">
      <c r="A973" s="1">
        <v>972</v>
      </c>
      <c r="B973" s="1">
        <v>2021</v>
      </c>
      <c r="C973" s="1" t="s">
        <v>31</v>
      </c>
      <c r="D973" s="1" t="s">
        <v>805</v>
      </c>
      <c r="E973" s="1" t="s">
        <v>767</v>
      </c>
      <c r="F973" s="1" t="s">
        <v>32</v>
      </c>
      <c r="G973" s="1">
        <v>119</v>
      </c>
      <c r="H973" s="1" t="s">
        <v>89</v>
      </c>
      <c r="I973" s="12">
        <v>8.9105250513430008</v>
      </c>
      <c r="J973" s="12">
        <v>25.458643003999999</v>
      </c>
      <c r="K973" s="1" t="s">
        <v>89</v>
      </c>
      <c r="L973" s="16">
        <v>3427.6462619980002</v>
      </c>
      <c r="M973" s="16" t="s">
        <v>89</v>
      </c>
      <c r="N973" s="16">
        <v>30312.578976679</v>
      </c>
      <c r="O973" s="15">
        <v>38.282975100000002</v>
      </c>
      <c r="P973" s="15">
        <v>7.8328476729999998</v>
      </c>
      <c r="Q973" s="15">
        <v>36.828218313000001</v>
      </c>
      <c r="R973" s="15">
        <v>59.538669738000003</v>
      </c>
      <c r="T973" s="15">
        <v>21.227510756000001</v>
      </c>
      <c r="U973" s="15">
        <v>43.470409869999997</v>
      </c>
      <c r="V973" s="15">
        <v>6.6175526600000003</v>
      </c>
      <c r="W973" s="12">
        <v>0.71736973868999998</v>
      </c>
      <c r="X973" s="15"/>
      <c r="Y973" s="15">
        <v>73.316574313000004</v>
      </c>
      <c r="Z973" s="12"/>
      <c r="AA973" s="15">
        <v>0.33578064400000002</v>
      </c>
      <c r="AB973" s="16">
        <f>AA973*33.334</f>
        <v>11.192911987096002</v>
      </c>
      <c r="AD973" s="16"/>
      <c r="AE973" s="1">
        <v>1</v>
      </c>
    </row>
    <row r="974" spans="1:31" x14ac:dyDescent="0.2">
      <c r="A974" s="1">
        <v>973</v>
      </c>
      <c r="B974" s="1">
        <v>2016</v>
      </c>
      <c r="C974" s="1" t="s">
        <v>31</v>
      </c>
      <c r="D974" s="1" t="s">
        <v>805</v>
      </c>
      <c r="E974" s="8" t="s">
        <v>543</v>
      </c>
      <c r="F974" s="1" t="s">
        <v>32</v>
      </c>
      <c r="G974" s="8">
        <v>118</v>
      </c>
      <c r="I974" s="12">
        <v>9.35</v>
      </c>
      <c r="J974" s="7">
        <v>26.714285714285701</v>
      </c>
      <c r="K974" s="1" t="s">
        <v>34</v>
      </c>
      <c r="L974" s="14">
        <v>3428</v>
      </c>
      <c r="M974" s="1" t="s">
        <v>34</v>
      </c>
      <c r="N974" s="14">
        <v>32173</v>
      </c>
      <c r="O974" s="13">
        <v>34.9</v>
      </c>
      <c r="P974" s="13">
        <v>7.4</v>
      </c>
      <c r="Q974" s="13">
        <v>36.799999999999997</v>
      </c>
      <c r="R974" s="13">
        <v>52.8</v>
      </c>
      <c r="S974" s="13"/>
      <c r="T974" s="13">
        <v>21.7</v>
      </c>
      <c r="U974" s="13">
        <v>37.6</v>
      </c>
      <c r="V974" s="13">
        <v>3.8</v>
      </c>
      <c r="W974" s="7">
        <v>0.75</v>
      </c>
      <c r="X974" s="13"/>
      <c r="Y974" s="13">
        <v>73.7</v>
      </c>
      <c r="Z974" s="7">
        <v>1.8</v>
      </c>
      <c r="AA974" s="15" t="s">
        <v>89</v>
      </c>
      <c r="AB974" s="16"/>
      <c r="AD974" s="16"/>
      <c r="AE974" s="1">
        <v>1</v>
      </c>
    </row>
    <row r="975" spans="1:31" x14ac:dyDescent="0.2">
      <c r="A975" s="1">
        <v>974</v>
      </c>
      <c r="B975" s="1">
        <v>2012</v>
      </c>
      <c r="C975" s="1" t="s">
        <v>31</v>
      </c>
      <c r="D975" s="8" t="s">
        <v>874</v>
      </c>
      <c r="E975" s="1" t="s">
        <v>281</v>
      </c>
      <c r="F975" s="1" t="s">
        <v>32</v>
      </c>
      <c r="I975" s="12">
        <v>9.77</v>
      </c>
      <c r="J975" s="12">
        <v>27.9</v>
      </c>
      <c r="L975" s="16">
        <v>3428</v>
      </c>
      <c r="N975" s="16">
        <v>33823</v>
      </c>
      <c r="O975" s="15">
        <v>31.7</v>
      </c>
      <c r="P975" s="15">
        <v>7</v>
      </c>
      <c r="Q975" s="15">
        <v>43.6</v>
      </c>
      <c r="R975" s="15">
        <v>63.7</v>
      </c>
      <c r="T975" s="15"/>
      <c r="U975" s="15">
        <v>32.299999999999997</v>
      </c>
      <c r="V975" s="15">
        <v>6.7</v>
      </c>
      <c r="W975" s="12">
        <v>0.74</v>
      </c>
      <c r="X975" s="15"/>
      <c r="Y975" s="15"/>
      <c r="Z975" s="12">
        <v>2.7</v>
      </c>
      <c r="AB975" s="16"/>
      <c r="AD975" s="16"/>
      <c r="AE975" s="1">
        <v>1</v>
      </c>
    </row>
    <row r="976" spans="1:31" x14ac:dyDescent="0.2">
      <c r="A976" s="1">
        <v>975</v>
      </c>
      <c r="B976" s="1">
        <v>2021</v>
      </c>
      <c r="C976" s="1" t="s">
        <v>31</v>
      </c>
      <c r="D976" s="1" t="s">
        <v>874</v>
      </c>
      <c r="E976" s="8" t="s">
        <v>599</v>
      </c>
      <c r="F976" s="1" t="s">
        <v>83</v>
      </c>
      <c r="G976" s="1">
        <v>119</v>
      </c>
      <c r="I976" s="12">
        <v>5.9008714513790004</v>
      </c>
      <c r="J976" s="12">
        <v>16.859632718</v>
      </c>
      <c r="K976" s="1" t="s">
        <v>89</v>
      </c>
      <c r="L976" s="16">
        <v>3428.881785</v>
      </c>
      <c r="N976" s="16">
        <v>20254.960028758</v>
      </c>
      <c r="O976" s="15">
        <v>47.744291700000005</v>
      </c>
      <c r="P976" s="15">
        <v>8.3005974239999993</v>
      </c>
      <c r="Q976" s="15">
        <v>20.635000000000002</v>
      </c>
      <c r="R976" s="15">
        <v>37.575000000000003</v>
      </c>
      <c r="U976" s="15">
        <v>35.674999999999997</v>
      </c>
      <c r="V976" s="15">
        <v>8.3674999999999997</v>
      </c>
      <c r="W976" s="12">
        <v>0.71776836012</v>
      </c>
      <c r="X976" s="15"/>
      <c r="Y976" s="15">
        <v>73.325477704999997</v>
      </c>
      <c r="Z976" s="12"/>
      <c r="AA976" s="15">
        <v>1.625</v>
      </c>
      <c r="AB976" s="16">
        <f>AA976*33.334</f>
        <v>54.167750000000005</v>
      </c>
      <c r="AD976" s="16"/>
      <c r="AE976" s="1">
        <v>1</v>
      </c>
    </row>
    <row r="977" spans="1:31" x14ac:dyDescent="0.2">
      <c r="A977" s="1">
        <v>976</v>
      </c>
      <c r="B977" s="1">
        <v>2016</v>
      </c>
      <c r="C977" s="1" t="s">
        <v>88</v>
      </c>
      <c r="D977" s="8" t="s">
        <v>1023</v>
      </c>
      <c r="E977" s="8" t="s">
        <v>338</v>
      </c>
      <c r="F977" s="1" t="s">
        <v>32</v>
      </c>
      <c r="I977" s="12">
        <v>6.95</v>
      </c>
      <c r="J977" s="7">
        <v>19.8571428571429</v>
      </c>
      <c r="K977" s="1" t="s">
        <v>34</v>
      </c>
      <c r="L977" s="5">
        <v>3429</v>
      </c>
      <c r="N977" s="5">
        <v>23821.1</v>
      </c>
      <c r="O977" s="6">
        <v>31.434999999999999</v>
      </c>
      <c r="P977" s="6">
        <v>8.1999999999999993</v>
      </c>
      <c r="Q977" s="6">
        <v>42.884999999999998</v>
      </c>
      <c r="R977" s="6">
        <v>41.107500000000002</v>
      </c>
      <c r="S977" s="6"/>
      <c r="T977" s="6">
        <v>27.995000000000001</v>
      </c>
      <c r="U977" s="6">
        <v>31.2</v>
      </c>
      <c r="V977" s="6">
        <v>4.3125</v>
      </c>
      <c r="W977" s="7">
        <v>0.69</v>
      </c>
      <c r="X977" s="13"/>
      <c r="Y977" s="6">
        <v>64.367500000000007</v>
      </c>
      <c r="Z977" s="3">
        <v>1.2243069499999999</v>
      </c>
      <c r="AA977" s="6">
        <v>0</v>
      </c>
      <c r="AB977" s="16">
        <f>AA977*10</f>
        <v>0</v>
      </c>
      <c r="AC977" s="6">
        <v>1</v>
      </c>
      <c r="AD977" s="16">
        <f>AC977*10</f>
        <v>10</v>
      </c>
      <c r="AE977" s="1">
        <v>1</v>
      </c>
    </row>
    <row r="978" spans="1:31" x14ac:dyDescent="0.2">
      <c r="A978" s="1">
        <v>977</v>
      </c>
      <c r="B978" s="1">
        <v>2016</v>
      </c>
      <c r="C978" s="1" t="s">
        <v>31</v>
      </c>
      <c r="D978" s="8" t="s">
        <v>37</v>
      </c>
      <c r="E978" s="8" t="s">
        <v>449</v>
      </c>
      <c r="F978" s="1" t="s">
        <v>32</v>
      </c>
      <c r="G978" s="8">
        <v>119</v>
      </c>
      <c r="I978" s="12">
        <v>9.27</v>
      </c>
      <c r="J978" s="7">
        <v>26.485714285714302</v>
      </c>
      <c r="K978" s="1" t="s">
        <v>34</v>
      </c>
      <c r="L978" s="14">
        <v>3430</v>
      </c>
      <c r="N978" s="14">
        <v>31868</v>
      </c>
      <c r="O978" s="13">
        <v>31.4</v>
      </c>
      <c r="P978" s="13">
        <v>8.4</v>
      </c>
      <c r="Q978" s="13">
        <v>44.8</v>
      </c>
      <c r="R978" s="13">
        <v>57.2</v>
      </c>
      <c r="S978" s="13"/>
      <c r="T978" s="13">
        <v>25.1</v>
      </c>
      <c r="U978" s="13">
        <v>29.3</v>
      </c>
      <c r="V978" s="13">
        <v>3.7</v>
      </c>
      <c r="W978" s="7">
        <v>0.72</v>
      </c>
      <c r="X978" s="13"/>
      <c r="Y978" s="13">
        <v>70.599999999999994</v>
      </c>
      <c r="Z978" s="7">
        <v>2.37</v>
      </c>
      <c r="AA978" s="15" t="s">
        <v>89</v>
      </c>
      <c r="AB978" s="16"/>
      <c r="AD978" s="16"/>
      <c r="AE978" s="1">
        <v>1</v>
      </c>
    </row>
    <row r="979" spans="1:31" x14ac:dyDescent="0.2">
      <c r="A979" s="1">
        <v>978</v>
      </c>
      <c r="B979" s="1">
        <v>2015</v>
      </c>
      <c r="C979" s="8" t="s">
        <v>31</v>
      </c>
      <c r="D979" s="8" t="s">
        <v>108</v>
      </c>
      <c r="E979" s="8" t="s">
        <v>433</v>
      </c>
      <c r="F979" s="1" t="s">
        <v>32</v>
      </c>
      <c r="G979" s="8">
        <v>118</v>
      </c>
      <c r="H979" s="1" t="s">
        <v>34</v>
      </c>
      <c r="I979" s="12">
        <v>10.28</v>
      </c>
      <c r="J979" s="7">
        <v>29.4</v>
      </c>
      <c r="L979" s="14">
        <v>3430</v>
      </c>
      <c r="M979" s="1" t="s">
        <v>34</v>
      </c>
      <c r="N979" s="14">
        <v>35255</v>
      </c>
      <c r="O979" s="13">
        <v>36.299999999999997</v>
      </c>
      <c r="P979" s="13">
        <v>6.9</v>
      </c>
      <c r="Q979" s="13">
        <v>36.1</v>
      </c>
      <c r="R979" s="13">
        <v>51.6</v>
      </c>
      <c r="S979" s="8"/>
      <c r="T979" s="13">
        <v>23.9</v>
      </c>
      <c r="U979" s="13">
        <v>36.1</v>
      </c>
      <c r="V979" s="13">
        <v>4</v>
      </c>
      <c r="W979" s="7">
        <v>0.75</v>
      </c>
      <c r="X979" s="13"/>
      <c r="Y979" s="13">
        <v>72.599999999999994</v>
      </c>
      <c r="Z979" s="7">
        <v>1.91</v>
      </c>
      <c r="AA979" s="1" t="s">
        <v>89</v>
      </c>
      <c r="AB979" s="16" t="s">
        <v>89</v>
      </c>
      <c r="AC979" s="1" t="s">
        <v>89</v>
      </c>
      <c r="AD979" s="16" t="s">
        <v>89</v>
      </c>
      <c r="AE979" s="1">
        <v>1</v>
      </c>
    </row>
    <row r="980" spans="1:31" x14ac:dyDescent="0.2">
      <c r="A980" s="1">
        <v>979</v>
      </c>
      <c r="B980" s="1">
        <v>2016</v>
      </c>
      <c r="C980" s="1" t="s">
        <v>31</v>
      </c>
      <c r="D980" s="1" t="s">
        <v>916</v>
      </c>
      <c r="E980" s="8" t="s">
        <v>414</v>
      </c>
      <c r="F980" s="1" t="s">
        <v>32</v>
      </c>
      <c r="G980" s="8">
        <v>124</v>
      </c>
      <c r="I980" s="12">
        <v>9.6</v>
      </c>
      <c r="J980" s="7">
        <v>27.428571428571399</v>
      </c>
      <c r="K980" s="1" t="s">
        <v>34</v>
      </c>
      <c r="L980" s="14">
        <v>3431</v>
      </c>
      <c r="M980" s="1" t="s">
        <v>34</v>
      </c>
      <c r="N980" s="14">
        <v>32923</v>
      </c>
      <c r="O980" s="13">
        <v>32.799999999999997</v>
      </c>
      <c r="P980" s="13">
        <v>7.4</v>
      </c>
      <c r="Q980" s="13">
        <v>42.6</v>
      </c>
      <c r="R980" s="13">
        <v>53.4</v>
      </c>
      <c r="S980" s="13"/>
      <c r="T980" s="13">
        <v>25.2</v>
      </c>
      <c r="U980" s="13">
        <v>31.4</v>
      </c>
      <c r="V980" s="13">
        <v>3.5</v>
      </c>
      <c r="W980" s="7">
        <v>0.73</v>
      </c>
      <c r="X980" s="13"/>
      <c r="Y980" s="13">
        <v>71.7</v>
      </c>
      <c r="Z980" s="7">
        <v>2.1800000000000002</v>
      </c>
      <c r="AA980" s="15" t="s">
        <v>89</v>
      </c>
      <c r="AB980" s="16"/>
      <c r="AD980" s="16"/>
      <c r="AE980" s="1">
        <v>1</v>
      </c>
    </row>
    <row r="981" spans="1:31" x14ac:dyDescent="0.2">
      <c r="A981" s="1">
        <v>980</v>
      </c>
      <c r="B981" s="1">
        <v>2020</v>
      </c>
      <c r="C981" s="1" t="s">
        <v>31</v>
      </c>
      <c r="D981" s="1" t="s">
        <v>108</v>
      </c>
      <c r="E981" s="1" t="s">
        <v>780</v>
      </c>
      <c r="F981" s="1" t="s">
        <v>83</v>
      </c>
      <c r="G981" s="1">
        <v>116</v>
      </c>
      <c r="H981" s="1" t="s">
        <v>34</v>
      </c>
      <c r="I981" s="12">
        <v>6.1684552616974999</v>
      </c>
      <c r="J981" s="12">
        <v>17.624157890999999</v>
      </c>
      <c r="L981" s="16">
        <v>3431.1123797119999</v>
      </c>
      <c r="M981" s="16" t="s">
        <v>34</v>
      </c>
      <c r="N981" s="16">
        <v>21187.952473265999</v>
      </c>
      <c r="O981" s="15">
        <v>33.567623699999999</v>
      </c>
      <c r="P981" s="15">
        <v>8.5050000000000008</v>
      </c>
      <c r="Q981" s="15">
        <v>42.895000000000003</v>
      </c>
      <c r="R981" s="15">
        <v>46.265000000000001</v>
      </c>
      <c r="S981" s="15"/>
      <c r="T981" s="15">
        <v>23.602499999999999</v>
      </c>
      <c r="U981" s="15">
        <v>30.8325</v>
      </c>
      <c r="V981" s="15">
        <v>5.4850000000000003</v>
      </c>
      <c r="W981" s="12">
        <v>0.71815280699999984</v>
      </c>
      <c r="X981" s="15"/>
      <c r="Y981" s="15">
        <v>73.469403331999999</v>
      </c>
      <c r="Z981" s="12"/>
      <c r="AA981" s="15">
        <v>1.75</v>
      </c>
      <c r="AB981" s="16">
        <f>AA981*33.334</f>
        <v>58.334500000000006</v>
      </c>
      <c r="AD981" s="16"/>
      <c r="AE981" s="1">
        <v>1</v>
      </c>
    </row>
    <row r="982" spans="1:31" x14ac:dyDescent="0.2">
      <c r="A982" s="1">
        <v>981</v>
      </c>
      <c r="B982" s="1">
        <v>2021</v>
      </c>
      <c r="C982" s="1" t="s">
        <v>31</v>
      </c>
      <c r="D982" s="19" t="s">
        <v>900</v>
      </c>
      <c r="E982" s="1" t="s">
        <v>769</v>
      </c>
      <c r="F982" s="1" t="s">
        <v>83</v>
      </c>
      <c r="G982" s="1">
        <v>115</v>
      </c>
      <c r="I982" s="12">
        <v>4.8801054144405001</v>
      </c>
      <c r="J982" s="12">
        <v>13.943158327000001</v>
      </c>
      <c r="K982" s="1" t="s">
        <v>89</v>
      </c>
      <c r="L982" s="16">
        <v>3431.6544130000002</v>
      </c>
      <c r="N982" s="16">
        <v>16761.248132739998</v>
      </c>
      <c r="O982" s="15">
        <v>42.3348054</v>
      </c>
      <c r="P982" s="15">
        <v>8.5821234279999992</v>
      </c>
      <c r="Q982" s="15">
        <v>20.952500000000001</v>
      </c>
      <c r="R982" s="15">
        <v>37.397500000000001</v>
      </c>
      <c r="U982" s="15">
        <v>38.755000000000003</v>
      </c>
      <c r="V982" s="15">
        <v>7.9924999999999997</v>
      </c>
      <c r="W982" s="12">
        <v>0.71816941092999997</v>
      </c>
      <c r="X982" s="15"/>
      <c r="Y982" s="15">
        <v>73.346016769000002</v>
      </c>
      <c r="Z982" s="12"/>
      <c r="AA982" s="15">
        <v>0.25</v>
      </c>
      <c r="AB982" s="16">
        <f>AA982*33.334</f>
        <v>8.3335000000000008</v>
      </c>
      <c r="AD982" s="16"/>
      <c r="AE982" s="1">
        <v>1</v>
      </c>
    </row>
    <row r="983" spans="1:31" x14ac:dyDescent="0.2">
      <c r="A983" s="1">
        <v>982</v>
      </c>
      <c r="B983" s="1">
        <v>2013</v>
      </c>
      <c r="C983" s="1" t="s">
        <v>31</v>
      </c>
      <c r="D983" s="1" t="s">
        <v>916</v>
      </c>
      <c r="E983" s="8" t="s">
        <v>360</v>
      </c>
      <c r="F983" s="1" t="s">
        <v>32</v>
      </c>
      <c r="G983" s="8">
        <v>118</v>
      </c>
      <c r="H983" s="8"/>
      <c r="I983" s="12">
        <v>9.02</v>
      </c>
      <c r="J983" s="7">
        <v>25.771428571428601</v>
      </c>
      <c r="K983" s="13"/>
      <c r="L983" s="14">
        <v>3432</v>
      </c>
      <c r="M983" s="14"/>
      <c r="N983" s="14">
        <v>30977</v>
      </c>
      <c r="O983" s="13">
        <v>35.1</v>
      </c>
      <c r="P983" s="13">
        <v>7.1</v>
      </c>
      <c r="Q983" s="13">
        <v>32.799999999999997</v>
      </c>
      <c r="R983" s="13">
        <v>49.4</v>
      </c>
      <c r="S983" s="13" t="s">
        <v>89</v>
      </c>
      <c r="T983" s="13"/>
      <c r="U983" s="13">
        <v>42.4</v>
      </c>
      <c r="V983" s="13">
        <v>3</v>
      </c>
      <c r="W983" s="7">
        <v>0.76</v>
      </c>
      <c r="X983" s="15" t="s">
        <v>89</v>
      </c>
      <c r="Y983" s="15" t="s">
        <v>89</v>
      </c>
      <c r="Z983" s="7">
        <v>1.46</v>
      </c>
      <c r="AB983" s="16"/>
      <c r="AD983" s="16"/>
      <c r="AE983" s="1">
        <v>1</v>
      </c>
    </row>
    <row r="984" spans="1:31" x14ac:dyDescent="0.2">
      <c r="A984" s="1">
        <v>983</v>
      </c>
      <c r="B984" s="1">
        <v>2014</v>
      </c>
      <c r="C984" s="1" t="s">
        <v>31</v>
      </c>
      <c r="D984" s="8" t="s">
        <v>874</v>
      </c>
      <c r="E984" s="1" t="s">
        <v>282</v>
      </c>
      <c r="F984" s="1" t="s">
        <v>32</v>
      </c>
      <c r="G984" s="1">
        <v>117</v>
      </c>
      <c r="I984" s="12">
        <v>9.59</v>
      </c>
      <c r="J984" s="12">
        <v>27.4</v>
      </c>
      <c r="L984" s="16">
        <v>3432</v>
      </c>
      <c r="M984" s="1" t="s">
        <v>34</v>
      </c>
      <c r="N984" s="16">
        <v>32941</v>
      </c>
      <c r="O984" s="15">
        <v>33.4</v>
      </c>
      <c r="P984" s="15">
        <v>7.6</v>
      </c>
      <c r="Q984" s="15">
        <v>41</v>
      </c>
      <c r="R984" s="15">
        <v>56.1</v>
      </c>
      <c r="T984" s="15"/>
      <c r="U984" s="15">
        <v>30.4</v>
      </c>
      <c r="V984" s="15">
        <v>6.9</v>
      </c>
      <c r="W984" s="12">
        <v>0.73</v>
      </c>
      <c r="X984" s="15"/>
      <c r="Y984" s="15">
        <v>70.2</v>
      </c>
      <c r="Z984" s="12">
        <v>2.2000000000000002</v>
      </c>
      <c r="AB984" s="16"/>
      <c r="AD984" s="16"/>
      <c r="AE984" s="1">
        <v>1</v>
      </c>
    </row>
    <row r="985" spans="1:31" x14ac:dyDescent="0.2">
      <c r="A985" s="1">
        <v>984</v>
      </c>
      <c r="B985" s="1">
        <v>2015</v>
      </c>
      <c r="C985" s="8" t="s">
        <v>31</v>
      </c>
      <c r="D985" s="8" t="s">
        <v>71</v>
      </c>
      <c r="E985" s="8" t="s">
        <v>385</v>
      </c>
      <c r="F985" s="1" t="s">
        <v>32</v>
      </c>
      <c r="G985" s="8">
        <v>117</v>
      </c>
      <c r="I985" s="12">
        <v>9.94</v>
      </c>
      <c r="J985" s="7">
        <v>28.400000000000002</v>
      </c>
      <c r="L985" s="14">
        <v>3432</v>
      </c>
      <c r="M985" s="1" t="s">
        <v>34</v>
      </c>
      <c r="N985" s="14">
        <v>34185</v>
      </c>
      <c r="O985" s="13">
        <v>32</v>
      </c>
      <c r="P985" s="13">
        <v>6.9</v>
      </c>
      <c r="Q985" s="13">
        <v>38.700000000000003</v>
      </c>
      <c r="R985" s="13">
        <v>49</v>
      </c>
      <c r="S985" s="8"/>
      <c r="T985" s="13">
        <v>26.4</v>
      </c>
      <c r="U985" s="13">
        <v>33.6</v>
      </c>
      <c r="V985" s="13">
        <v>4</v>
      </c>
      <c r="W985" s="7">
        <v>0.74</v>
      </c>
      <c r="X985" s="13"/>
      <c r="Y985" s="13">
        <v>72.2</v>
      </c>
      <c r="Z985" s="7">
        <v>1.87</v>
      </c>
      <c r="AA985" s="1" t="s">
        <v>89</v>
      </c>
      <c r="AB985" s="16" t="s">
        <v>89</v>
      </c>
      <c r="AC985" s="1" t="s">
        <v>89</v>
      </c>
      <c r="AD985" s="16" t="s">
        <v>89</v>
      </c>
      <c r="AE985" s="1">
        <v>1</v>
      </c>
    </row>
    <row r="986" spans="1:31" x14ac:dyDescent="0.2">
      <c r="A986" s="1">
        <v>985</v>
      </c>
      <c r="B986" s="1">
        <v>2015</v>
      </c>
      <c r="C986" s="8" t="s">
        <v>31</v>
      </c>
      <c r="D986" s="8" t="s">
        <v>37</v>
      </c>
      <c r="E986" s="8" t="s">
        <v>449</v>
      </c>
      <c r="F986" s="1" t="s">
        <v>83</v>
      </c>
      <c r="I986" s="12">
        <v>6.82</v>
      </c>
      <c r="J986" s="7">
        <v>19.485714285714288</v>
      </c>
      <c r="L986" s="14">
        <v>3433</v>
      </c>
      <c r="N986" s="14">
        <v>23410</v>
      </c>
      <c r="O986" s="13">
        <v>34.299999999999997</v>
      </c>
      <c r="P986" s="13">
        <v>7.7</v>
      </c>
      <c r="Q986" s="13">
        <v>39.200000000000003</v>
      </c>
      <c r="R986" s="13">
        <v>51.8</v>
      </c>
      <c r="S986" s="8"/>
      <c r="T986" s="13">
        <v>23.9</v>
      </c>
      <c r="U986" s="13">
        <v>35.5</v>
      </c>
      <c r="V986" s="13">
        <v>3.8</v>
      </c>
      <c r="W986" s="7">
        <v>0.75</v>
      </c>
      <c r="X986" s="13"/>
      <c r="Y986" s="13">
        <v>72.400000000000006</v>
      </c>
      <c r="Z986" s="7">
        <v>1.38</v>
      </c>
      <c r="AA986" s="18">
        <v>1.875</v>
      </c>
      <c r="AB986" s="16">
        <f>AA986*10</f>
        <v>18.75</v>
      </c>
      <c r="AC986" s="15" t="s">
        <v>89</v>
      </c>
      <c r="AD986" s="16"/>
      <c r="AE986" s="1">
        <v>1</v>
      </c>
    </row>
    <row r="987" spans="1:31" x14ac:dyDescent="0.2">
      <c r="A987" s="1">
        <v>986</v>
      </c>
      <c r="B987" s="1">
        <v>2008</v>
      </c>
      <c r="C987" s="1" t="s">
        <v>31</v>
      </c>
      <c r="D987" s="8" t="s">
        <v>56</v>
      </c>
      <c r="E987" s="8" t="s">
        <v>64</v>
      </c>
      <c r="F987" s="8" t="s">
        <v>32</v>
      </c>
      <c r="G987" s="8"/>
      <c r="H987" s="8"/>
      <c r="I987" s="12">
        <v>9.0299999999999994</v>
      </c>
      <c r="J987" s="7">
        <v>28.8</v>
      </c>
      <c r="K987" s="13"/>
      <c r="L987" s="14">
        <v>3433</v>
      </c>
      <c r="M987" s="14"/>
      <c r="N987" s="14">
        <v>31018</v>
      </c>
      <c r="O987" s="13">
        <v>30.9</v>
      </c>
      <c r="P987" s="13">
        <v>7.9</v>
      </c>
      <c r="Q987" s="13">
        <v>49.7</v>
      </c>
      <c r="R987" s="13">
        <v>71</v>
      </c>
      <c r="S987" s="13"/>
      <c r="T987" s="13"/>
      <c r="U987" s="13">
        <v>25.6</v>
      </c>
      <c r="V987" s="13"/>
      <c r="W987" s="13"/>
      <c r="X987" s="15"/>
      <c r="Y987" s="13">
        <v>74.900000000000006</v>
      </c>
      <c r="Z987" s="7">
        <v>3.19</v>
      </c>
      <c r="AB987" s="16"/>
      <c r="AD987" s="16"/>
      <c r="AE987" s="1">
        <v>1</v>
      </c>
    </row>
    <row r="988" spans="1:31" x14ac:dyDescent="0.2">
      <c r="A988" s="1">
        <v>987</v>
      </c>
      <c r="B988" s="1">
        <v>2021</v>
      </c>
      <c r="C988" s="1" t="s">
        <v>31</v>
      </c>
      <c r="D988" s="1" t="s">
        <v>402</v>
      </c>
      <c r="E988" s="1" t="s">
        <v>762</v>
      </c>
      <c r="F988" s="1" t="s">
        <v>32</v>
      </c>
      <c r="G988" s="1">
        <v>118</v>
      </c>
      <c r="H988" s="1" t="s">
        <v>89</v>
      </c>
      <c r="I988" s="12">
        <v>8.7198590431504996</v>
      </c>
      <c r="J988" s="12">
        <v>24.91388298</v>
      </c>
      <c r="K988" s="1" t="s">
        <v>89</v>
      </c>
      <c r="L988" s="16">
        <v>3433.3048696840001</v>
      </c>
      <c r="M988" s="16" t="s">
        <v>89</v>
      </c>
      <c r="N988" s="16">
        <v>29733.033359002999</v>
      </c>
      <c r="O988" s="15">
        <v>38.257992200000004</v>
      </c>
      <c r="P988" s="15">
        <v>7.6881903569999999</v>
      </c>
      <c r="Q988" s="15">
        <v>38.331565431000001</v>
      </c>
      <c r="R988" s="15">
        <v>61.741965235999999</v>
      </c>
      <c r="T988" s="15">
        <v>21.736316922</v>
      </c>
      <c r="U988" s="15">
        <v>41.095097248999998</v>
      </c>
      <c r="V988" s="15">
        <v>6.3880871580000003</v>
      </c>
      <c r="W988" s="12">
        <v>0.71609813039000003</v>
      </c>
      <c r="X988" s="15"/>
      <c r="Y988" s="15">
        <v>73.616876242999993</v>
      </c>
      <c r="Z988" s="12"/>
      <c r="AA988" s="15">
        <v>0.64718743599999995</v>
      </c>
      <c r="AB988" s="16">
        <f>AA988*33.334</f>
        <v>21.573345991623999</v>
      </c>
      <c r="AD988" s="16"/>
      <c r="AE988" s="1">
        <v>1</v>
      </c>
    </row>
    <row r="989" spans="1:31" x14ac:dyDescent="0.2">
      <c r="A989" s="1">
        <v>988</v>
      </c>
      <c r="B989" s="1">
        <v>2015</v>
      </c>
      <c r="C989" s="8" t="s">
        <v>31</v>
      </c>
      <c r="D989" s="8" t="s">
        <v>108</v>
      </c>
      <c r="E989" s="8" t="s">
        <v>492</v>
      </c>
      <c r="F989" s="1" t="s">
        <v>32</v>
      </c>
      <c r="G989" s="8">
        <v>118</v>
      </c>
      <c r="I989" s="12">
        <v>9.06</v>
      </c>
      <c r="J989" s="7">
        <v>25.88571428571429</v>
      </c>
      <c r="L989" s="14">
        <v>3434</v>
      </c>
      <c r="N989" s="14">
        <v>31164</v>
      </c>
      <c r="O989" s="13">
        <v>33.6</v>
      </c>
      <c r="P989" s="13">
        <v>6.9</v>
      </c>
      <c r="Q989" s="13">
        <v>39.4</v>
      </c>
      <c r="R989" s="13">
        <v>50.2</v>
      </c>
      <c r="S989" s="8"/>
      <c r="T989" s="13">
        <v>26.1</v>
      </c>
      <c r="U989" s="13">
        <v>32.6</v>
      </c>
      <c r="V989" s="13">
        <v>4</v>
      </c>
      <c r="W989" s="7">
        <v>0.74</v>
      </c>
      <c r="X989" s="13"/>
      <c r="Y989" s="13">
        <v>72.400000000000006</v>
      </c>
      <c r="Z989" s="7">
        <v>1.78</v>
      </c>
      <c r="AA989" s="1" t="s">
        <v>89</v>
      </c>
      <c r="AB989" s="16" t="s">
        <v>89</v>
      </c>
      <c r="AC989" s="1" t="s">
        <v>89</v>
      </c>
      <c r="AD989" s="16" t="s">
        <v>89</v>
      </c>
      <c r="AE989" s="1">
        <v>1</v>
      </c>
    </row>
    <row r="990" spans="1:31" x14ac:dyDescent="0.2">
      <c r="A990" s="1">
        <v>989</v>
      </c>
      <c r="B990" s="1">
        <v>2013</v>
      </c>
      <c r="C990" s="1" t="s">
        <v>31</v>
      </c>
      <c r="D990" s="8" t="s">
        <v>125</v>
      </c>
      <c r="E990" s="8" t="s">
        <v>355</v>
      </c>
      <c r="F990" s="1" t="s">
        <v>32</v>
      </c>
      <c r="G990" s="8">
        <v>115</v>
      </c>
      <c r="H990" s="8"/>
      <c r="I990" s="12">
        <v>8.43</v>
      </c>
      <c r="J990" s="7">
        <v>24.0857142857143</v>
      </c>
      <c r="K990" s="13"/>
      <c r="L990" s="14">
        <v>3435</v>
      </c>
      <c r="M990" s="14"/>
      <c r="N990" s="14">
        <v>29055</v>
      </c>
      <c r="O990" s="13">
        <v>29.9</v>
      </c>
      <c r="P990" s="13">
        <v>8.1</v>
      </c>
      <c r="Q990" s="13">
        <v>37.799999999999997</v>
      </c>
      <c r="R990" s="13">
        <v>55.1</v>
      </c>
      <c r="S990" s="13" t="s">
        <v>89</v>
      </c>
      <c r="T990" s="13"/>
      <c r="U990" s="13">
        <v>37.9</v>
      </c>
      <c r="V990" s="13">
        <v>3.6</v>
      </c>
      <c r="W990" s="7">
        <v>0.73</v>
      </c>
      <c r="X990" s="15" t="s">
        <v>89</v>
      </c>
      <c r="Y990" s="15" t="s">
        <v>89</v>
      </c>
      <c r="Z990" s="7">
        <v>1.74</v>
      </c>
      <c r="AB990" s="16"/>
      <c r="AD990" s="16"/>
      <c r="AE990" s="1">
        <v>1</v>
      </c>
    </row>
    <row r="991" spans="1:31" x14ac:dyDescent="0.2">
      <c r="A991" s="1">
        <v>990</v>
      </c>
      <c r="B991" s="1">
        <v>2009</v>
      </c>
      <c r="C991" s="1" t="s">
        <v>31</v>
      </c>
      <c r="D991" s="8" t="s">
        <v>37</v>
      </c>
      <c r="E991" s="8" t="s">
        <v>130</v>
      </c>
      <c r="F991" s="1" t="s">
        <v>83</v>
      </c>
      <c r="I991" s="12">
        <v>6.22</v>
      </c>
      <c r="J991" s="7">
        <v>17.8</v>
      </c>
      <c r="L991" s="14">
        <v>3436</v>
      </c>
      <c r="M991" s="14"/>
      <c r="N991" s="14">
        <v>21392</v>
      </c>
      <c r="O991" s="13">
        <v>28.4</v>
      </c>
      <c r="P991" s="13">
        <v>9.67</v>
      </c>
      <c r="Q991" s="13">
        <v>39.299999999999997</v>
      </c>
      <c r="R991" s="13">
        <v>49.5</v>
      </c>
      <c r="S991" s="8"/>
      <c r="T991" s="13">
        <v>24.7</v>
      </c>
      <c r="U991" s="13">
        <v>38.4</v>
      </c>
      <c r="V991" s="15"/>
      <c r="W991" s="7" t="s">
        <v>89</v>
      </c>
      <c r="X991" s="13"/>
      <c r="Y991" s="13">
        <v>72.900000000000006</v>
      </c>
      <c r="Z991" s="7">
        <v>1.21</v>
      </c>
      <c r="AB991" s="16"/>
      <c r="AD991" s="16"/>
      <c r="AE991" s="1">
        <v>1</v>
      </c>
    </row>
    <row r="992" spans="1:31" x14ac:dyDescent="0.2">
      <c r="A992" s="1">
        <v>991</v>
      </c>
      <c r="B992" s="1">
        <v>2016</v>
      </c>
      <c r="C992" s="1" t="s">
        <v>31</v>
      </c>
      <c r="D992" s="8" t="s">
        <v>391</v>
      </c>
      <c r="E992" s="8" t="s">
        <v>552</v>
      </c>
      <c r="F992" s="1" t="s">
        <v>32</v>
      </c>
      <c r="G992" s="8">
        <v>113</v>
      </c>
      <c r="I992" s="12">
        <v>9</v>
      </c>
      <c r="J992" s="7">
        <v>25.714285714285701</v>
      </c>
      <c r="K992" s="1" t="s">
        <v>34</v>
      </c>
      <c r="L992" s="14">
        <v>3436</v>
      </c>
      <c r="N992" s="14">
        <v>30998</v>
      </c>
      <c r="O992" s="13">
        <v>29.6</v>
      </c>
      <c r="P992" s="13">
        <v>8.9</v>
      </c>
      <c r="Q992" s="13">
        <v>42.6</v>
      </c>
      <c r="R992" s="13">
        <v>57.2</v>
      </c>
      <c r="S992" s="13"/>
      <c r="T992" s="13">
        <v>25</v>
      </c>
      <c r="U992" s="13">
        <v>29.8</v>
      </c>
      <c r="V992" s="13">
        <v>4.5999999999999996</v>
      </c>
      <c r="W992" s="7">
        <v>0.72</v>
      </c>
      <c r="X992" s="13"/>
      <c r="Y992" s="13">
        <v>70.400000000000006</v>
      </c>
      <c r="Z992" s="7">
        <v>2.19</v>
      </c>
      <c r="AA992" s="15" t="s">
        <v>89</v>
      </c>
      <c r="AB992" s="16"/>
      <c r="AD992" s="16"/>
      <c r="AE992" s="1">
        <v>1</v>
      </c>
    </row>
    <row r="993" spans="1:31" x14ac:dyDescent="0.2">
      <c r="A993" s="1">
        <v>992</v>
      </c>
      <c r="B993" s="1">
        <v>2016</v>
      </c>
      <c r="C993" s="1" t="s">
        <v>88</v>
      </c>
      <c r="D993" s="8" t="s">
        <v>187</v>
      </c>
      <c r="E993" s="8" t="s">
        <v>564</v>
      </c>
      <c r="F993" s="1" t="s">
        <v>32</v>
      </c>
      <c r="I993" s="12">
        <v>8.4</v>
      </c>
      <c r="J993" s="7">
        <v>24</v>
      </c>
      <c r="K993" s="1" t="s">
        <v>34</v>
      </c>
      <c r="L993" s="5">
        <v>3437</v>
      </c>
      <c r="N993" s="5">
        <v>28957.7</v>
      </c>
      <c r="O993" s="6">
        <v>35.9925</v>
      </c>
      <c r="P993" s="6">
        <v>6.79</v>
      </c>
      <c r="Q993" s="6">
        <v>47.954999999999998</v>
      </c>
      <c r="R993" s="6">
        <v>52.53</v>
      </c>
      <c r="S993" s="6"/>
      <c r="T993" s="6">
        <v>31.045000000000002</v>
      </c>
      <c r="U993" s="6">
        <v>24.322500000000002</v>
      </c>
      <c r="V993" s="6">
        <v>6.8975</v>
      </c>
      <c r="W993" s="7">
        <v>0.67</v>
      </c>
      <c r="X993" s="13"/>
      <c r="Y993" s="6">
        <v>65.8</v>
      </c>
      <c r="Z993" s="3">
        <v>2.1052489900000002</v>
      </c>
      <c r="AA993" s="6">
        <v>1</v>
      </c>
      <c r="AB993" s="16">
        <f>AA993*10</f>
        <v>10</v>
      </c>
      <c r="AC993" s="6">
        <v>1.5</v>
      </c>
      <c r="AD993" s="16">
        <f>AC993*10</f>
        <v>15</v>
      </c>
      <c r="AE993" s="1">
        <v>1</v>
      </c>
    </row>
    <row r="994" spans="1:31" x14ac:dyDescent="0.2">
      <c r="A994" s="1">
        <v>993</v>
      </c>
      <c r="B994" s="1">
        <v>2008</v>
      </c>
      <c r="C994" s="1" t="s">
        <v>31</v>
      </c>
      <c r="D994" s="8" t="s">
        <v>54</v>
      </c>
      <c r="E994" s="8" t="s">
        <v>65</v>
      </c>
      <c r="F994" s="8" t="s">
        <v>32</v>
      </c>
      <c r="G994" s="8"/>
      <c r="H994" s="8"/>
      <c r="I994" s="12">
        <v>9.8800000000000008</v>
      </c>
      <c r="J994" s="7">
        <v>28.228571428571431</v>
      </c>
      <c r="K994" s="13"/>
      <c r="L994" s="14">
        <v>3437</v>
      </c>
      <c r="M994" s="14"/>
      <c r="N994" s="14">
        <v>33955</v>
      </c>
      <c r="O994" s="13">
        <v>32</v>
      </c>
      <c r="P994" s="13">
        <v>8.4</v>
      </c>
      <c r="Q994" s="13">
        <v>44.4</v>
      </c>
      <c r="R994" s="13">
        <v>65.900000000000006</v>
      </c>
      <c r="S994" s="13"/>
      <c r="T994" s="13"/>
      <c r="U994" s="13">
        <v>30.2</v>
      </c>
      <c r="V994" s="13"/>
      <c r="W994" s="13"/>
      <c r="X994" s="15"/>
      <c r="Y994" s="13">
        <v>73.900000000000006</v>
      </c>
      <c r="Z994" s="7">
        <v>2.91</v>
      </c>
      <c r="AB994" s="16"/>
      <c r="AD994" s="16"/>
      <c r="AE994" s="1">
        <v>1</v>
      </c>
    </row>
    <row r="995" spans="1:31" x14ac:dyDescent="0.2">
      <c r="A995" s="1">
        <v>994</v>
      </c>
      <c r="B995" s="1">
        <v>2019</v>
      </c>
      <c r="C995" s="1" t="s">
        <v>31</v>
      </c>
      <c r="D995" s="1" t="s">
        <v>916</v>
      </c>
      <c r="E995" s="1" t="s">
        <v>649</v>
      </c>
      <c r="F995" s="1" t="s">
        <v>32</v>
      </c>
      <c r="G995" s="1">
        <v>130</v>
      </c>
      <c r="H995" s="1" t="s">
        <v>34</v>
      </c>
      <c r="I995" s="12">
        <v>10.7</v>
      </c>
      <c r="J995" s="7">
        <v>30.5</v>
      </c>
      <c r="L995" s="5">
        <v>3437.75</v>
      </c>
      <c r="M995" s="1" t="s">
        <v>34</v>
      </c>
      <c r="N995" s="5">
        <v>36845.4</v>
      </c>
      <c r="O995" s="6">
        <v>30.947500000000002</v>
      </c>
      <c r="P995" s="6">
        <v>9.1125000000000007</v>
      </c>
      <c r="Q995" s="6">
        <v>43.9</v>
      </c>
      <c r="R995" s="6">
        <v>58.807499999999997</v>
      </c>
      <c r="S995" s="3"/>
      <c r="T995" s="6">
        <v>25.4</v>
      </c>
      <c r="U995" s="6">
        <v>29.36</v>
      </c>
      <c r="V995" s="6">
        <v>10.3</v>
      </c>
      <c r="W995" s="3">
        <v>0.71379999999999999</v>
      </c>
      <c r="X995" s="6"/>
      <c r="Y995" s="6">
        <v>68.995000000000005</v>
      </c>
      <c r="Z995" s="3">
        <v>2.7</v>
      </c>
      <c r="AB995" s="16"/>
      <c r="AD995" s="16"/>
      <c r="AE995" s="1">
        <v>1</v>
      </c>
    </row>
    <row r="996" spans="1:31" x14ac:dyDescent="0.2">
      <c r="A996" s="1">
        <v>995</v>
      </c>
      <c r="B996" s="1">
        <v>2017</v>
      </c>
      <c r="C996" s="1" t="s">
        <v>88</v>
      </c>
      <c r="D996" s="1" t="s">
        <v>187</v>
      </c>
      <c r="E996" s="1" t="s">
        <v>631</v>
      </c>
      <c r="F996" s="1" t="s">
        <v>32</v>
      </c>
      <c r="I996" s="12">
        <v>5.7327863299999997</v>
      </c>
      <c r="J996" s="3">
        <v>16.379389499999998</v>
      </c>
      <c r="K996" s="1" t="s">
        <v>34</v>
      </c>
      <c r="L996" s="5">
        <v>3438</v>
      </c>
      <c r="M996" s="1" t="s">
        <v>34</v>
      </c>
      <c r="N996" s="5">
        <v>19735</v>
      </c>
      <c r="O996" s="6">
        <v>29.425404499999999</v>
      </c>
      <c r="P996" s="6">
        <v>4.8475000000000001</v>
      </c>
      <c r="Q996" s="6">
        <v>52.032499999999999</v>
      </c>
      <c r="R996" s="15">
        <v>60.3</v>
      </c>
      <c r="S996" s="15">
        <v>15.5</v>
      </c>
      <c r="U996" s="6">
        <v>12.01</v>
      </c>
      <c r="V996" s="6">
        <v>20.6</v>
      </c>
      <c r="W996" s="3">
        <v>0.66799999999999993</v>
      </c>
      <c r="X996" s="6"/>
      <c r="Y996" s="15">
        <v>67.2</v>
      </c>
      <c r="Z996" s="3">
        <v>1.795601</v>
      </c>
      <c r="AB996" s="16"/>
      <c r="AD996" s="16"/>
      <c r="AE996" s="1">
        <v>1</v>
      </c>
    </row>
    <row r="997" spans="1:31" x14ac:dyDescent="0.2">
      <c r="A997" s="1">
        <v>996</v>
      </c>
      <c r="B997" s="1">
        <v>2018</v>
      </c>
      <c r="C997" s="1" t="s">
        <v>88</v>
      </c>
      <c r="D997" s="28" t="s">
        <v>914</v>
      </c>
      <c r="E997" s="1" t="s">
        <v>678</v>
      </c>
      <c r="F997" s="1" t="s">
        <v>32</v>
      </c>
      <c r="I997" s="12">
        <v>5.6176423529985602</v>
      </c>
      <c r="J997" s="12">
        <v>16.050406722853001</v>
      </c>
      <c r="K997" s="1" t="s">
        <v>34</v>
      </c>
      <c r="L997" s="16">
        <v>3438.5</v>
      </c>
      <c r="N997" s="16">
        <v>19338.753712469599</v>
      </c>
      <c r="O997" s="15">
        <v>39.706160474828998</v>
      </c>
      <c r="P997" s="15">
        <v>10.11</v>
      </c>
      <c r="Q997" s="15">
        <v>36.282499999999999</v>
      </c>
      <c r="R997" s="15">
        <v>25.02</v>
      </c>
      <c r="S997" s="12">
        <v>18.87</v>
      </c>
      <c r="U997" s="15">
        <v>37</v>
      </c>
      <c r="V997" s="15">
        <v>1.0874999999999999</v>
      </c>
      <c r="W997" s="12">
        <v>0.74029999999999996</v>
      </c>
      <c r="X997" s="15"/>
      <c r="Y997" s="15">
        <v>64.39</v>
      </c>
      <c r="Z997" s="12">
        <v>0.23111903813175699</v>
      </c>
      <c r="AA997" s="16">
        <v>1.75</v>
      </c>
      <c r="AB997" s="16">
        <f>AA997*33.334</f>
        <v>58.334500000000006</v>
      </c>
      <c r="AC997" s="16">
        <v>2.25</v>
      </c>
      <c r="AD997" s="16">
        <f>AC997*33.334</f>
        <v>75.001500000000007</v>
      </c>
      <c r="AE997" s="1">
        <v>1</v>
      </c>
    </row>
    <row r="998" spans="1:31" x14ac:dyDescent="0.2">
      <c r="A998" s="1">
        <v>997</v>
      </c>
      <c r="B998" s="1">
        <v>2021</v>
      </c>
      <c r="C998" s="1" t="s">
        <v>31</v>
      </c>
      <c r="D998" s="1" t="s">
        <v>821</v>
      </c>
      <c r="E998" s="1" t="s">
        <v>822</v>
      </c>
      <c r="F998" s="1" t="s">
        <v>83</v>
      </c>
      <c r="G998" s="1">
        <v>118</v>
      </c>
      <c r="I998" s="12">
        <v>5.7427660017725</v>
      </c>
      <c r="J998" s="12">
        <v>16.407902862</v>
      </c>
      <c r="L998" s="16">
        <v>3439.3701430000001</v>
      </c>
      <c r="N998" s="16">
        <v>19736.126586095001</v>
      </c>
      <c r="O998" s="15">
        <v>54.290960099999999</v>
      </c>
      <c r="P998" s="15">
        <v>7.9601419050000004</v>
      </c>
      <c r="Q998" s="15">
        <v>20.677499999999998</v>
      </c>
      <c r="R998" s="15">
        <v>38.365000000000002</v>
      </c>
      <c r="U998" s="15">
        <v>36.545000000000002</v>
      </c>
      <c r="V998" s="15">
        <v>7.2824999999999998</v>
      </c>
      <c r="W998" s="12">
        <v>0.71754216179999997</v>
      </c>
      <c r="X998" s="15"/>
      <c r="Y998" s="15">
        <v>73.707060725999995</v>
      </c>
      <c r="Z998" s="12"/>
      <c r="AA998" s="15">
        <v>1.625</v>
      </c>
      <c r="AB998" s="16">
        <f>AA998*33.334</f>
        <v>54.167750000000005</v>
      </c>
      <c r="AD998" s="16"/>
      <c r="AE998" s="1">
        <v>1</v>
      </c>
    </row>
    <row r="999" spans="1:31" x14ac:dyDescent="0.2">
      <c r="A999" s="1">
        <v>998</v>
      </c>
      <c r="B999" s="1">
        <v>2019</v>
      </c>
      <c r="C999" s="1" t="s">
        <v>31</v>
      </c>
      <c r="D999" s="1" t="s">
        <v>700</v>
      </c>
      <c r="E999" s="1" t="s">
        <v>705</v>
      </c>
      <c r="F999" s="1" t="s">
        <v>32</v>
      </c>
      <c r="G999" s="1">
        <v>117</v>
      </c>
      <c r="H999" s="1" t="s">
        <v>34</v>
      </c>
      <c r="I999" s="12">
        <v>10.3</v>
      </c>
      <c r="J999" s="7">
        <v>29.4</v>
      </c>
      <c r="L999" s="5">
        <v>3439.5</v>
      </c>
      <c r="M999" s="1" t="s">
        <v>34</v>
      </c>
      <c r="N999" s="5">
        <v>35377.5</v>
      </c>
      <c r="O999" s="6">
        <v>35.270000000000003</v>
      </c>
      <c r="P999" s="6">
        <v>9.1</v>
      </c>
      <c r="Q999" s="6">
        <v>41.795000000000002</v>
      </c>
      <c r="R999" s="6">
        <v>56.965000000000003</v>
      </c>
      <c r="S999" s="3"/>
      <c r="T999" s="6">
        <v>24.1</v>
      </c>
      <c r="U999" s="6">
        <v>33.627499999999998</v>
      </c>
      <c r="V999" s="6">
        <v>7.9550000000000001</v>
      </c>
      <c r="W999" s="3">
        <v>0.72325000000000006</v>
      </c>
      <c r="X999" s="6"/>
      <c r="Y999" s="6">
        <v>69.84</v>
      </c>
      <c r="Z999" s="3">
        <v>2.4449357759219801</v>
      </c>
      <c r="AB999" s="16"/>
      <c r="AD999" s="16"/>
      <c r="AE999" s="1">
        <v>1</v>
      </c>
    </row>
    <row r="1000" spans="1:31" x14ac:dyDescent="0.2">
      <c r="A1000" s="1">
        <v>999</v>
      </c>
      <c r="B1000" s="1">
        <v>2017</v>
      </c>
      <c r="C1000" s="1" t="s">
        <v>31</v>
      </c>
      <c r="D1000" s="8" t="s">
        <v>71</v>
      </c>
      <c r="E1000" s="8" t="s">
        <v>627</v>
      </c>
      <c r="F1000" s="1" t="s">
        <v>32</v>
      </c>
      <c r="G1000" s="1">
        <v>117</v>
      </c>
      <c r="I1000" s="12">
        <v>8.4087001299999997</v>
      </c>
      <c r="J1000" s="3">
        <v>24.0248575</v>
      </c>
      <c r="L1000" s="5">
        <v>3440.25</v>
      </c>
      <c r="N1000" s="5">
        <v>28898.996599999999</v>
      </c>
      <c r="O1000" s="6">
        <v>30.526102000000002</v>
      </c>
      <c r="P1000" s="6">
        <v>6.8574999999999999</v>
      </c>
      <c r="Q1000" s="6">
        <v>40.467500000000001</v>
      </c>
      <c r="R1000" s="6">
        <v>52.034999999999997</v>
      </c>
      <c r="S1000" s="3"/>
      <c r="T1000" s="6">
        <v>24.872499999999999</v>
      </c>
      <c r="U1000" s="6">
        <v>36.104999999999997</v>
      </c>
      <c r="V1000" s="6">
        <v>2.94</v>
      </c>
      <c r="W1000" s="3">
        <v>0.76852189999999998</v>
      </c>
      <c r="X1000" s="6"/>
      <c r="Y1000" s="6">
        <v>71.194999999999993</v>
      </c>
      <c r="Z1000" s="3">
        <v>1.7668731900000001</v>
      </c>
      <c r="AB1000" s="16"/>
      <c r="AD1000" s="16"/>
      <c r="AE1000" s="1">
        <v>1</v>
      </c>
    </row>
    <row r="1001" spans="1:31" x14ac:dyDescent="0.2">
      <c r="A1001" s="1">
        <v>1000</v>
      </c>
      <c r="B1001" s="1">
        <v>2020</v>
      </c>
      <c r="C1001" s="1" t="s">
        <v>31</v>
      </c>
      <c r="D1001" s="8" t="s">
        <v>874</v>
      </c>
      <c r="E1001" s="1" t="s">
        <v>726</v>
      </c>
      <c r="F1001" s="1" t="s">
        <v>83</v>
      </c>
      <c r="G1001" s="1">
        <v>118</v>
      </c>
      <c r="H1001" s="1" t="s">
        <v>754</v>
      </c>
      <c r="I1001" s="12">
        <v>5.4047456995690002</v>
      </c>
      <c r="J1001" s="12">
        <v>15.44213057</v>
      </c>
      <c r="L1001" s="16">
        <v>3440.3984972349999</v>
      </c>
      <c r="M1001" s="16" t="s">
        <v>34</v>
      </c>
      <c r="N1001" s="16">
        <v>18685.049365755</v>
      </c>
      <c r="O1001" s="15">
        <v>30.857838599999997</v>
      </c>
      <c r="P1001" s="15">
        <v>8.6425000000000001</v>
      </c>
      <c r="Q1001" s="15">
        <v>42.125</v>
      </c>
      <c r="R1001" s="15">
        <v>44.782499999999999</v>
      </c>
      <c r="S1001" s="15"/>
      <c r="T1001" s="15">
        <v>23.504999999999999</v>
      </c>
      <c r="U1001" s="15">
        <v>30.4</v>
      </c>
      <c r="V1001" s="15">
        <v>5.7225000000000001</v>
      </c>
      <c r="W1001" s="12">
        <v>0.72104494000000008</v>
      </c>
      <c r="X1001" s="15"/>
      <c r="Y1001" s="15">
        <v>73.370513473000003</v>
      </c>
      <c r="Z1001" s="12"/>
      <c r="AA1001" s="15">
        <v>0.625</v>
      </c>
      <c r="AB1001" s="16">
        <f>AA1001*33.334</f>
        <v>20.833750000000002</v>
      </c>
      <c r="AD1001" s="16"/>
      <c r="AE1001" s="1">
        <v>1</v>
      </c>
    </row>
    <row r="1002" spans="1:31" x14ac:dyDescent="0.2">
      <c r="A1002" s="1">
        <v>1001</v>
      </c>
      <c r="B1002" s="1">
        <v>2020</v>
      </c>
      <c r="C1002" s="1" t="s">
        <v>31</v>
      </c>
      <c r="D1002" s="1" t="s">
        <v>37</v>
      </c>
      <c r="E1002" s="1" t="s">
        <v>725</v>
      </c>
      <c r="F1002" s="1" t="s">
        <v>32</v>
      </c>
      <c r="G1002" s="1">
        <v>118</v>
      </c>
      <c r="H1002" s="1" t="s">
        <v>754</v>
      </c>
      <c r="I1002" s="12">
        <v>8.662819257900999</v>
      </c>
      <c r="J1002" s="12">
        <v>24.745554512999998</v>
      </c>
      <c r="K1002" s="1" t="s">
        <v>754</v>
      </c>
      <c r="L1002" s="16">
        <v>3440.7040178480001</v>
      </c>
      <c r="M1002" s="16" t="s">
        <v>34</v>
      </c>
      <c r="N1002" s="16">
        <v>29777.030138775001</v>
      </c>
      <c r="O1002" s="10">
        <v>47.245393499999999</v>
      </c>
      <c r="P1002" s="15">
        <v>7.6124999999999998</v>
      </c>
      <c r="Q1002" s="15">
        <v>42.37</v>
      </c>
      <c r="R1002" s="15">
        <v>52.351729622999997</v>
      </c>
      <c r="S1002" s="15"/>
      <c r="T1002" s="15">
        <v>22.3675</v>
      </c>
      <c r="U1002" s="15">
        <v>32.734999999999999</v>
      </c>
      <c r="V1002" s="15">
        <v>4.4932303999999998</v>
      </c>
      <c r="W1002" s="12">
        <v>0.71168466600000002</v>
      </c>
      <c r="X1002" s="15"/>
      <c r="Y1002" s="15">
        <v>74.7223525</v>
      </c>
      <c r="Z1002" s="12"/>
      <c r="AA1002" s="15">
        <v>1.375</v>
      </c>
      <c r="AB1002" s="16">
        <f>AA1002*33.334</f>
        <v>45.834250000000004</v>
      </c>
      <c r="AD1002" s="16"/>
      <c r="AE1002" s="1">
        <v>1</v>
      </c>
    </row>
    <row r="1003" spans="1:31" x14ac:dyDescent="0.2">
      <c r="A1003" s="1">
        <v>1002</v>
      </c>
      <c r="B1003" s="1">
        <v>2015</v>
      </c>
      <c r="C1003" s="8" t="s">
        <v>31</v>
      </c>
      <c r="D1003" s="8" t="s">
        <v>402</v>
      </c>
      <c r="E1003" s="8" t="s">
        <v>473</v>
      </c>
      <c r="F1003" s="1" t="s">
        <v>32</v>
      </c>
      <c r="G1003" s="8">
        <v>117</v>
      </c>
      <c r="I1003" s="12">
        <v>8.7899999999999991</v>
      </c>
      <c r="J1003" s="7">
        <v>25.1</v>
      </c>
      <c r="L1003" s="14">
        <v>3441</v>
      </c>
      <c r="N1003" s="14">
        <v>30295</v>
      </c>
      <c r="O1003" s="13">
        <v>32.700000000000003</v>
      </c>
      <c r="P1003" s="13">
        <v>7.1</v>
      </c>
      <c r="Q1003" s="13">
        <v>40.799999999999997</v>
      </c>
      <c r="R1003" s="13">
        <v>54.5</v>
      </c>
      <c r="S1003" s="8"/>
      <c r="T1003" s="13">
        <v>25.9</v>
      </c>
      <c r="U1003" s="13">
        <v>33</v>
      </c>
      <c r="V1003" s="13">
        <v>3.4</v>
      </c>
      <c r="W1003" s="7">
        <v>0.73</v>
      </c>
      <c r="X1003" s="13"/>
      <c r="Y1003" s="13">
        <v>73</v>
      </c>
      <c r="Z1003" s="7">
        <v>1.95</v>
      </c>
      <c r="AA1003" s="1" t="s">
        <v>89</v>
      </c>
      <c r="AB1003" s="16" t="s">
        <v>89</v>
      </c>
      <c r="AC1003" s="1" t="s">
        <v>89</v>
      </c>
      <c r="AD1003" s="16" t="s">
        <v>89</v>
      </c>
      <c r="AE1003" s="1">
        <v>1</v>
      </c>
    </row>
    <row r="1004" spans="1:31" x14ac:dyDescent="0.2">
      <c r="A1004" s="1">
        <v>1003</v>
      </c>
      <c r="B1004" s="1">
        <v>2011</v>
      </c>
      <c r="C1004" s="1" t="s">
        <v>31</v>
      </c>
      <c r="D1004" s="1" t="s">
        <v>916</v>
      </c>
      <c r="E1004" s="1" t="s">
        <v>195</v>
      </c>
      <c r="F1004" s="1" t="s">
        <v>32</v>
      </c>
      <c r="I1004" s="12">
        <v>8.86</v>
      </c>
      <c r="J1004" s="12">
        <v>27.5</v>
      </c>
      <c r="L1004" s="16">
        <v>3441</v>
      </c>
      <c r="N1004" s="16">
        <v>30502</v>
      </c>
      <c r="O1004" s="15">
        <v>24.9</v>
      </c>
      <c r="P1004" s="15">
        <v>8.5</v>
      </c>
      <c r="Q1004" s="15">
        <v>47.2</v>
      </c>
      <c r="R1004" s="15">
        <v>60.7</v>
      </c>
      <c r="T1004" s="15"/>
      <c r="U1004" s="15">
        <v>31.2</v>
      </c>
      <c r="V1004" s="15">
        <v>4.2</v>
      </c>
      <c r="W1004" s="12"/>
      <c r="X1004" s="15"/>
      <c r="Y1004" s="15">
        <v>69.3</v>
      </c>
      <c r="Z1004" s="12">
        <v>2.54</v>
      </c>
      <c r="AB1004" s="16"/>
      <c r="AD1004" s="16"/>
      <c r="AE1004" s="1">
        <v>1</v>
      </c>
    </row>
    <row r="1005" spans="1:31" x14ac:dyDescent="0.2">
      <c r="A1005" s="1">
        <v>1004</v>
      </c>
      <c r="B1005" s="1">
        <v>2015</v>
      </c>
      <c r="C1005" s="8" t="s">
        <v>31</v>
      </c>
      <c r="D1005" s="1" t="s">
        <v>805</v>
      </c>
      <c r="E1005" s="8" t="s">
        <v>483</v>
      </c>
      <c r="F1005" s="1" t="s">
        <v>83</v>
      </c>
      <c r="I1005" s="12">
        <v>6.32</v>
      </c>
      <c r="J1005" s="7">
        <v>18.05714285714286</v>
      </c>
      <c r="L1005" s="14">
        <v>3443</v>
      </c>
      <c r="N1005" s="14">
        <v>21798</v>
      </c>
      <c r="O1005" s="13">
        <v>34.700000000000003</v>
      </c>
      <c r="P1005" s="13">
        <v>7.2</v>
      </c>
      <c r="Q1005" s="13">
        <v>37.299999999999997</v>
      </c>
      <c r="R1005" s="13">
        <v>50</v>
      </c>
      <c r="S1005" s="8"/>
      <c r="T1005" s="13">
        <v>23</v>
      </c>
      <c r="U1005" s="13">
        <v>37.5</v>
      </c>
      <c r="V1005" s="13">
        <v>4.3</v>
      </c>
      <c r="W1005" s="7">
        <v>0.76</v>
      </c>
      <c r="X1005" s="13"/>
      <c r="Y1005" s="13">
        <v>72.8</v>
      </c>
      <c r="Z1005" s="7">
        <v>1.18</v>
      </c>
      <c r="AA1005" s="18">
        <v>2.5</v>
      </c>
      <c r="AB1005" s="16">
        <f>AA1005*10</f>
        <v>25</v>
      </c>
      <c r="AC1005" s="15" t="s">
        <v>89</v>
      </c>
      <c r="AD1005" s="16"/>
      <c r="AE1005" s="1">
        <v>1</v>
      </c>
    </row>
    <row r="1006" spans="1:31" x14ac:dyDescent="0.2">
      <c r="A1006" s="1">
        <v>1005</v>
      </c>
      <c r="B1006" s="1">
        <v>2021</v>
      </c>
      <c r="C1006" s="1" t="s">
        <v>31</v>
      </c>
      <c r="D1006" s="1" t="s">
        <v>815</v>
      </c>
      <c r="E1006" s="1" t="s">
        <v>818</v>
      </c>
      <c r="F1006" s="1" t="s">
        <v>32</v>
      </c>
      <c r="G1006" s="1">
        <v>113</v>
      </c>
      <c r="H1006" s="1" t="s">
        <v>89</v>
      </c>
      <c r="I1006" s="12">
        <v>5.6286765631194999</v>
      </c>
      <c r="J1006" s="12">
        <v>16.081933036999999</v>
      </c>
      <c r="K1006" s="1" t="s">
        <v>89</v>
      </c>
      <c r="L1006" s="16">
        <v>3443.2376543119999</v>
      </c>
      <c r="M1006" s="16" t="s">
        <v>89</v>
      </c>
      <c r="N1006" s="16">
        <v>19390.865106408</v>
      </c>
      <c r="O1006" s="15">
        <v>34.796544799999999</v>
      </c>
      <c r="P1006" s="15">
        <v>7.2725049899999998</v>
      </c>
      <c r="Q1006" s="15">
        <v>40.197371195000002</v>
      </c>
      <c r="R1006" s="15">
        <v>64.017874241000001</v>
      </c>
      <c r="T1006" s="15">
        <v>22.768704589999999</v>
      </c>
      <c r="U1006" s="15">
        <v>37.855722489999998</v>
      </c>
      <c r="V1006" s="15">
        <v>6.339518161</v>
      </c>
      <c r="W1006" s="12">
        <v>0.71541634699000001</v>
      </c>
      <c r="X1006" s="15"/>
      <c r="Y1006" s="15">
        <v>74.148772382999994</v>
      </c>
      <c r="Z1006" s="12"/>
      <c r="AA1006" s="15">
        <v>0.899373851</v>
      </c>
      <c r="AB1006" s="16">
        <f>AA1006*33.334</f>
        <v>29.979727949234004</v>
      </c>
      <c r="AD1006" s="16"/>
      <c r="AE1006" s="1">
        <v>1</v>
      </c>
    </row>
    <row r="1007" spans="1:31" x14ac:dyDescent="0.2">
      <c r="A1007" s="1">
        <v>1006</v>
      </c>
      <c r="B1007" s="1">
        <v>2010</v>
      </c>
      <c r="C1007" s="1" t="s">
        <v>31</v>
      </c>
      <c r="D1007" s="1" t="s">
        <v>805</v>
      </c>
      <c r="E1007" s="8" t="s">
        <v>170</v>
      </c>
      <c r="F1007" s="1" t="s">
        <v>83</v>
      </c>
      <c r="I1007" s="12">
        <v>7.65</v>
      </c>
      <c r="J1007" s="7">
        <v>21.8571428571429</v>
      </c>
      <c r="L1007" s="14">
        <v>3444</v>
      </c>
      <c r="N1007" s="14">
        <v>26344</v>
      </c>
      <c r="O1007" s="13">
        <v>29.9</v>
      </c>
      <c r="P1007" s="13">
        <v>8.1999999999999993</v>
      </c>
      <c r="Q1007" s="13">
        <v>41.6</v>
      </c>
      <c r="R1007" s="13">
        <v>54.3</v>
      </c>
      <c r="S1007" s="13"/>
      <c r="T1007" s="15"/>
      <c r="U1007" s="13">
        <v>37.5</v>
      </c>
      <c r="V1007" s="13">
        <v>3.6</v>
      </c>
      <c r="W1007" s="12"/>
      <c r="X1007" s="15"/>
      <c r="Y1007" s="13">
        <v>71.099999999999994</v>
      </c>
      <c r="Z1007" s="7">
        <v>1.73</v>
      </c>
      <c r="AB1007" s="16"/>
      <c r="AD1007" s="16"/>
      <c r="AE1007" s="1">
        <v>1</v>
      </c>
    </row>
    <row r="1008" spans="1:31" x14ac:dyDescent="0.2">
      <c r="A1008" s="1">
        <v>1007</v>
      </c>
      <c r="B1008" s="1">
        <v>2009</v>
      </c>
      <c r="C1008" s="1" t="s">
        <v>31</v>
      </c>
      <c r="D1008" s="8" t="s">
        <v>71</v>
      </c>
      <c r="E1008" s="8" t="s">
        <v>132</v>
      </c>
      <c r="F1008" s="1" t="s">
        <v>32</v>
      </c>
      <c r="I1008" s="12">
        <v>8.36</v>
      </c>
      <c r="J1008" s="7">
        <v>23.8857142857143</v>
      </c>
      <c r="L1008" s="14">
        <v>3444</v>
      </c>
      <c r="N1008" s="14">
        <v>28812</v>
      </c>
      <c r="O1008" s="13">
        <v>27.8</v>
      </c>
      <c r="P1008" s="13">
        <v>9.1999999999999993</v>
      </c>
      <c r="Q1008" s="13">
        <v>43.1</v>
      </c>
      <c r="R1008" s="13">
        <v>56.5</v>
      </c>
      <c r="S1008" s="13"/>
      <c r="T1008" s="15" t="s">
        <v>89</v>
      </c>
      <c r="U1008" s="13">
        <v>34</v>
      </c>
      <c r="V1008" s="13">
        <v>6.5</v>
      </c>
      <c r="W1008" s="12" t="s">
        <v>89</v>
      </c>
      <c r="X1008" s="15"/>
      <c r="Y1008" s="13">
        <v>73.3</v>
      </c>
      <c r="Z1008" s="7">
        <v>2.04</v>
      </c>
      <c r="AB1008" s="16"/>
      <c r="AD1008" s="16"/>
      <c r="AE1008" s="1">
        <v>1</v>
      </c>
    </row>
    <row r="1009" spans="1:31" x14ac:dyDescent="0.2">
      <c r="A1009" s="1">
        <v>1008</v>
      </c>
      <c r="B1009" s="1">
        <v>2012</v>
      </c>
      <c r="C1009" s="1" t="s">
        <v>31</v>
      </c>
      <c r="D1009" s="1" t="s">
        <v>916</v>
      </c>
      <c r="E1009" s="1" t="s">
        <v>283</v>
      </c>
      <c r="F1009" s="1" t="s">
        <v>32</v>
      </c>
      <c r="I1009" s="12">
        <v>8.82</v>
      </c>
      <c r="J1009" s="12">
        <v>25.2</v>
      </c>
      <c r="L1009" s="16">
        <v>3444</v>
      </c>
      <c r="N1009" s="16">
        <v>30425</v>
      </c>
      <c r="O1009" s="15">
        <v>29.2</v>
      </c>
      <c r="P1009" s="15">
        <v>7.2</v>
      </c>
      <c r="Q1009" s="15">
        <v>47.5</v>
      </c>
      <c r="R1009" s="15">
        <v>63.7</v>
      </c>
      <c r="T1009" s="15"/>
      <c r="U1009" s="15">
        <v>31.7</v>
      </c>
      <c r="V1009" s="15">
        <v>4.4000000000000004</v>
      </c>
      <c r="W1009" s="12">
        <v>0.72</v>
      </c>
      <c r="X1009" s="15"/>
      <c r="Y1009" s="15"/>
      <c r="Z1009" s="12">
        <v>2.67</v>
      </c>
      <c r="AB1009" s="16"/>
      <c r="AD1009" s="16"/>
      <c r="AE1009" s="1">
        <v>1</v>
      </c>
    </row>
    <row r="1010" spans="1:31" x14ac:dyDescent="0.2">
      <c r="A1010" s="1">
        <v>1009</v>
      </c>
      <c r="B1010" s="1">
        <v>2018</v>
      </c>
      <c r="C1010" s="1" t="s">
        <v>31</v>
      </c>
      <c r="D1010" s="1" t="s">
        <v>402</v>
      </c>
      <c r="E1010" s="1" t="s">
        <v>605</v>
      </c>
      <c r="F1010" s="1" t="s">
        <v>32</v>
      </c>
      <c r="G1010" s="1">
        <v>118</v>
      </c>
      <c r="H1010" s="1" t="s">
        <v>34</v>
      </c>
      <c r="I1010" s="12">
        <v>8.5</v>
      </c>
      <c r="J1010" s="3">
        <v>24.4</v>
      </c>
      <c r="K1010" s="1" t="s">
        <v>34</v>
      </c>
      <c r="L1010" s="5">
        <v>3444.3</v>
      </c>
      <c r="M1010" s="1" t="s">
        <v>34</v>
      </c>
      <c r="N1010" s="5">
        <v>29390</v>
      </c>
      <c r="O1010" s="6">
        <v>33.796666700000003</v>
      </c>
      <c r="P1010" s="18">
        <v>7.78</v>
      </c>
      <c r="Q1010" s="6">
        <v>39.896666699999997</v>
      </c>
      <c r="R1010" s="6">
        <v>57.313333299999996</v>
      </c>
      <c r="S1010" s="3"/>
      <c r="T1010" s="6">
        <v>23.7766667</v>
      </c>
      <c r="U1010" s="6">
        <v>36.5</v>
      </c>
      <c r="V1010" s="6">
        <v>5.1066666700000001</v>
      </c>
      <c r="W1010" s="3">
        <v>0.747</v>
      </c>
      <c r="X1010" s="6"/>
      <c r="Y1010" s="6">
        <v>72</v>
      </c>
      <c r="Z1010" s="3">
        <v>1.96</v>
      </c>
      <c r="AB1010" s="16"/>
      <c r="AD1010" s="16"/>
      <c r="AE1010" s="1">
        <v>1</v>
      </c>
    </row>
    <row r="1011" spans="1:31" x14ac:dyDescent="0.2">
      <c r="A1011" s="1">
        <v>1010</v>
      </c>
      <c r="B1011" s="1">
        <v>2012</v>
      </c>
      <c r="C1011" s="1" t="s">
        <v>31</v>
      </c>
      <c r="D1011" s="19" t="s">
        <v>861</v>
      </c>
      <c r="E1011" s="1" t="s">
        <v>284</v>
      </c>
      <c r="F1011" s="1" t="s">
        <v>32</v>
      </c>
      <c r="I1011" s="12">
        <v>9.75</v>
      </c>
      <c r="J1011" s="12">
        <v>27.9</v>
      </c>
      <c r="L1011" s="16">
        <v>3447</v>
      </c>
      <c r="N1011" s="16">
        <v>33532</v>
      </c>
      <c r="O1011" s="15">
        <v>31.2</v>
      </c>
      <c r="P1011" s="15">
        <v>7.6</v>
      </c>
      <c r="Q1011" s="15">
        <v>46.5</v>
      </c>
      <c r="R1011" s="15">
        <v>63.5</v>
      </c>
      <c r="T1011" s="15"/>
      <c r="U1011" s="15">
        <v>30.6</v>
      </c>
      <c r="V1011" s="15">
        <v>5.5</v>
      </c>
      <c r="W1011" s="12">
        <v>0.72</v>
      </c>
      <c r="X1011" s="15"/>
      <c r="Y1011" s="15"/>
      <c r="Z1011" s="12">
        <v>2.87</v>
      </c>
      <c r="AB1011" s="16"/>
      <c r="AD1011" s="16"/>
      <c r="AE1011" s="1">
        <v>1</v>
      </c>
    </row>
    <row r="1012" spans="1:31" x14ac:dyDescent="0.2">
      <c r="A1012" s="1">
        <v>1011</v>
      </c>
      <c r="B1012" s="1">
        <v>2021</v>
      </c>
      <c r="C1012" s="1" t="s">
        <v>31</v>
      </c>
      <c r="D1012" s="1" t="s">
        <v>108</v>
      </c>
      <c r="E1012" s="1" t="s">
        <v>667</v>
      </c>
      <c r="F1012" s="1" t="s">
        <v>83</v>
      </c>
      <c r="G1012" s="1">
        <v>118</v>
      </c>
      <c r="I1012" s="12">
        <v>5.9300241771549995</v>
      </c>
      <c r="J1012" s="12">
        <v>16.94292622</v>
      </c>
      <c r="L1012" s="16">
        <v>3447.151175</v>
      </c>
      <c r="N1012" s="16">
        <v>20430.977843077999</v>
      </c>
      <c r="O1012" s="15">
        <v>46.7050245</v>
      </c>
      <c r="P1012" s="15">
        <v>7.5703082039999998</v>
      </c>
      <c r="Q1012" s="15">
        <v>19.815000000000001</v>
      </c>
      <c r="R1012" s="15">
        <v>36.299999999999997</v>
      </c>
      <c r="U1012" s="15">
        <v>40.057499999999997</v>
      </c>
      <c r="V1012" s="15">
        <v>7.5324999999999998</v>
      </c>
      <c r="W1012" s="12">
        <v>0.72051981790999997</v>
      </c>
      <c r="X1012" s="15"/>
      <c r="Y1012" s="15">
        <v>73.539407565000005</v>
      </c>
      <c r="Z1012" s="12"/>
      <c r="AA1012" s="15">
        <v>1.375</v>
      </c>
      <c r="AB1012" s="16">
        <f>AA1012*33.334</f>
        <v>45.834250000000004</v>
      </c>
      <c r="AD1012" s="16"/>
      <c r="AE1012" s="1">
        <v>1</v>
      </c>
    </row>
    <row r="1013" spans="1:31" x14ac:dyDescent="0.2">
      <c r="A1013" s="1">
        <v>1012</v>
      </c>
      <c r="B1013" s="1">
        <v>2020</v>
      </c>
      <c r="C1013" s="1" t="s">
        <v>31</v>
      </c>
      <c r="D1013" s="1" t="s">
        <v>402</v>
      </c>
      <c r="E1013" s="1" t="s">
        <v>761</v>
      </c>
      <c r="F1013" s="1" t="s">
        <v>83</v>
      </c>
      <c r="G1013" s="1">
        <v>117</v>
      </c>
      <c r="H1013" s="1" t="s">
        <v>754</v>
      </c>
      <c r="I1013" s="12">
        <v>5.2711012770084995</v>
      </c>
      <c r="J1013" s="12">
        <v>15.060289363000001</v>
      </c>
      <c r="L1013" s="16">
        <v>3447.8453576739998</v>
      </c>
      <c r="M1013" s="16" t="s">
        <v>34</v>
      </c>
      <c r="N1013" s="16">
        <v>18231.462245158</v>
      </c>
      <c r="O1013" s="15">
        <v>28.434957900000001</v>
      </c>
      <c r="P1013" s="15">
        <v>9.0399999999999991</v>
      </c>
      <c r="Q1013" s="15">
        <v>43.202500000000001</v>
      </c>
      <c r="R1013" s="15">
        <v>46.322499999999998</v>
      </c>
      <c r="S1013" s="15"/>
      <c r="T1013" s="15">
        <v>24.247499999999999</v>
      </c>
      <c r="U1013" s="15">
        <v>28.59</v>
      </c>
      <c r="V1013" s="15">
        <v>5.35</v>
      </c>
      <c r="W1013" s="12">
        <v>0.72008547199999995</v>
      </c>
      <c r="X1013" s="15"/>
      <c r="Y1013" s="15">
        <v>73.752498500000002</v>
      </c>
      <c r="Z1013" s="12"/>
      <c r="AA1013" s="15">
        <v>1.5</v>
      </c>
      <c r="AB1013" s="16">
        <f>AA1013*33.334</f>
        <v>50.001000000000005</v>
      </c>
      <c r="AD1013" s="16"/>
      <c r="AE1013" s="1">
        <v>1</v>
      </c>
    </row>
    <row r="1014" spans="1:31" x14ac:dyDescent="0.2">
      <c r="A1014" s="1">
        <v>1013</v>
      </c>
      <c r="B1014" s="1">
        <v>2011</v>
      </c>
      <c r="C1014" s="1" t="s">
        <v>31</v>
      </c>
      <c r="D1014" s="1" t="s">
        <v>916</v>
      </c>
      <c r="E1014" s="1">
        <v>47403</v>
      </c>
      <c r="F1014" s="1" t="s">
        <v>83</v>
      </c>
      <c r="I1014" s="12">
        <v>6.18</v>
      </c>
      <c r="J1014" s="12">
        <v>17.7</v>
      </c>
      <c r="L1014" s="16">
        <v>3448</v>
      </c>
      <c r="N1014" s="16">
        <v>21342</v>
      </c>
      <c r="O1014" s="15">
        <v>29.9</v>
      </c>
      <c r="P1014" s="15">
        <v>6.9</v>
      </c>
      <c r="Q1014" s="15">
        <v>48.4</v>
      </c>
      <c r="R1014" s="15">
        <v>61.1</v>
      </c>
      <c r="T1014" s="15"/>
      <c r="U1014" s="15">
        <v>29.8</v>
      </c>
      <c r="V1014" s="15">
        <v>3.9</v>
      </c>
      <c r="W1014" s="12"/>
      <c r="X1014" s="15"/>
      <c r="Y1014" s="15">
        <v>69.099999999999994</v>
      </c>
      <c r="Z1014" s="12">
        <v>1.84</v>
      </c>
      <c r="AB1014" s="16"/>
      <c r="AD1014" s="16"/>
      <c r="AE1014" s="1">
        <v>1</v>
      </c>
    </row>
    <row r="1015" spans="1:31" x14ac:dyDescent="0.2">
      <c r="A1015" s="1">
        <v>1014</v>
      </c>
      <c r="B1015" s="1">
        <v>2010</v>
      </c>
      <c r="C1015" s="1" t="s">
        <v>31</v>
      </c>
      <c r="D1015" s="1" t="s">
        <v>916</v>
      </c>
      <c r="E1015" s="8" t="s">
        <v>143</v>
      </c>
      <c r="F1015" s="1" t="s">
        <v>32</v>
      </c>
      <c r="I1015" s="12">
        <v>8.6999999999999993</v>
      </c>
      <c r="J1015" s="7">
        <v>24.8571428571429</v>
      </c>
      <c r="L1015" s="14">
        <v>3448</v>
      </c>
      <c r="N1015" s="14">
        <v>30010</v>
      </c>
      <c r="O1015" s="13">
        <v>27</v>
      </c>
      <c r="P1015" s="13">
        <v>8.8000000000000007</v>
      </c>
      <c r="Q1015" s="13">
        <v>42.7</v>
      </c>
      <c r="R1015" s="13">
        <v>55.3</v>
      </c>
      <c r="S1015" s="13"/>
      <c r="T1015" s="15"/>
      <c r="U1015" s="13">
        <v>35.1</v>
      </c>
      <c r="V1015" s="13">
        <v>5.7</v>
      </c>
      <c r="W1015" s="12"/>
      <c r="X1015" s="15"/>
      <c r="Y1015" s="13">
        <v>71.099999999999994</v>
      </c>
      <c r="Z1015" s="7">
        <v>2.0499999999999998</v>
      </c>
      <c r="AB1015" s="16"/>
      <c r="AD1015" s="16"/>
      <c r="AE1015" s="1">
        <v>1</v>
      </c>
    </row>
    <row r="1016" spans="1:31" x14ac:dyDescent="0.2">
      <c r="A1016" s="1">
        <v>1015</v>
      </c>
      <c r="B1016" s="1">
        <v>2013</v>
      </c>
      <c r="C1016" s="1" t="s">
        <v>31</v>
      </c>
      <c r="D1016" s="8" t="s">
        <v>125</v>
      </c>
      <c r="E1016" s="8" t="s">
        <v>273</v>
      </c>
      <c r="F1016" s="1" t="s">
        <v>32</v>
      </c>
      <c r="G1016" s="8">
        <v>119</v>
      </c>
      <c r="H1016" s="8" t="s">
        <v>34</v>
      </c>
      <c r="I1016" s="12">
        <v>10.43</v>
      </c>
      <c r="J1016" s="7">
        <v>29.8</v>
      </c>
      <c r="K1016" s="13" t="s">
        <v>34</v>
      </c>
      <c r="L1016" s="14">
        <v>3448</v>
      </c>
      <c r="M1016" s="14" t="s">
        <v>34</v>
      </c>
      <c r="N1016" s="14">
        <v>35946</v>
      </c>
      <c r="O1016" s="13">
        <v>35.299999999999997</v>
      </c>
      <c r="P1016" s="13">
        <v>7.6</v>
      </c>
      <c r="Q1016" s="13">
        <v>34.4</v>
      </c>
      <c r="R1016" s="13">
        <v>52.7</v>
      </c>
      <c r="S1016" s="13" t="s">
        <v>89</v>
      </c>
      <c r="T1016" s="13"/>
      <c r="U1016" s="13">
        <v>39.799999999999997</v>
      </c>
      <c r="V1016" s="13">
        <v>4.3</v>
      </c>
      <c r="W1016" s="7">
        <v>0.76</v>
      </c>
      <c r="X1016" s="15" t="s">
        <v>89</v>
      </c>
      <c r="Y1016" s="15" t="s">
        <v>89</v>
      </c>
      <c r="Z1016" s="7">
        <v>1.89</v>
      </c>
      <c r="AB1016" s="16"/>
      <c r="AD1016" s="16"/>
      <c r="AE1016" s="1">
        <v>1</v>
      </c>
    </row>
    <row r="1017" spans="1:31" x14ac:dyDescent="0.2">
      <c r="A1017" s="1">
        <v>1016</v>
      </c>
      <c r="B1017" s="1">
        <v>2009</v>
      </c>
      <c r="C1017" s="1" t="s">
        <v>31</v>
      </c>
      <c r="D1017" s="8" t="s">
        <v>37</v>
      </c>
      <c r="E1017" s="8" t="s">
        <v>129</v>
      </c>
      <c r="F1017" s="1" t="s">
        <v>83</v>
      </c>
      <c r="I1017" s="12">
        <v>7.27</v>
      </c>
      <c r="J1017" s="7">
        <v>20.8</v>
      </c>
      <c r="K1017" s="1" t="s">
        <v>34</v>
      </c>
      <c r="L1017" s="14">
        <v>3449</v>
      </c>
      <c r="M1017" s="14"/>
      <c r="N1017" s="14">
        <v>25114</v>
      </c>
      <c r="O1017" s="13">
        <v>28.8</v>
      </c>
      <c r="P1017" s="13">
        <v>10.5</v>
      </c>
      <c r="Q1017" s="13">
        <v>41.5</v>
      </c>
      <c r="R1017" s="13">
        <v>52.7</v>
      </c>
      <c r="S1017" s="8"/>
      <c r="T1017" s="13">
        <v>25.9</v>
      </c>
      <c r="U1017" s="13">
        <v>34.700000000000003</v>
      </c>
      <c r="V1017" s="15"/>
      <c r="W1017" s="7" t="s">
        <v>89</v>
      </c>
      <c r="X1017" s="13"/>
      <c r="Y1017" s="13">
        <v>73.5</v>
      </c>
      <c r="Z1017" s="7">
        <v>1.59</v>
      </c>
      <c r="AB1017" s="16"/>
      <c r="AD1017" s="16"/>
      <c r="AE1017" s="1">
        <v>1</v>
      </c>
    </row>
    <row r="1018" spans="1:31" x14ac:dyDescent="0.2">
      <c r="A1018" s="1">
        <v>1017</v>
      </c>
      <c r="B1018" s="1">
        <v>2020</v>
      </c>
      <c r="C1018" s="1" t="s">
        <v>31</v>
      </c>
      <c r="D1018" s="19" t="s">
        <v>900</v>
      </c>
      <c r="E1018" s="1" t="s">
        <v>773</v>
      </c>
      <c r="F1018" s="1" t="s">
        <v>83</v>
      </c>
      <c r="G1018" s="1">
        <v>118</v>
      </c>
      <c r="H1018" s="1" t="s">
        <v>754</v>
      </c>
      <c r="I1018" s="12">
        <v>5.1361851773225</v>
      </c>
      <c r="J1018" s="12">
        <v>14.674814791999999</v>
      </c>
      <c r="L1018" s="16">
        <v>3449.9633487589999</v>
      </c>
      <c r="M1018" s="16" t="s">
        <v>754</v>
      </c>
      <c r="N1018" s="16">
        <v>17792.276593294999</v>
      </c>
      <c r="O1018" s="15">
        <v>34.0420479</v>
      </c>
      <c r="P1018" s="15">
        <v>8.0274999999999999</v>
      </c>
      <c r="Q1018" s="15">
        <v>40.795000000000002</v>
      </c>
      <c r="R1018" s="15">
        <v>44.46</v>
      </c>
      <c r="S1018" s="15"/>
      <c r="T1018" s="15">
        <v>22.6</v>
      </c>
      <c r="U1018" s="15">
        <v>33.057499999999997</v>
      </c>
      <c r="V1018" s="15">
        <v>4.3174999999999999</v>
      </c>
      <c r="W1018" s="12">
        <v>0.72148287499999997</v>
      </c>
      <c r="X1018" s="15"/>
      <c r="Y1018" s="15">
        <v>73.606769077999999</v>
      </c>
      <c r="Z1018" s="12"/>
      <c r="AA1018" s="15">
        <v>1.25</v>
      </c>
      <c r="AB1018" s="16">
        <f>AA1018*33.334</f>
        <v>41.667500000000004</v>
      </c>
      <c r="AD1018" s="16"/>
      <c r="AE1018" s="1">
        <v>1</v>
      </c>
    </row>
    <row r="1019" spans="1:31" x14ac:dyDescent="0.2">
      <c r="A1019" s="1">
        <v>1018</v>
      </c>
      <c r="B1019" s="1">
        <v>2009</v>
      </c>
      <c r="C1019" s="1" t="s">
        <v>31</v>
      </c>
      <c r="D1019" s="8" t="s">
        <v>35</v>
      </c>
      <c r="E1019" s="8">
        <v>9941</v>
      </c>
      <c r="F1019" s="1" t="s">
        <v>83</v>
      </c>
      <c r="I1019" s="12">
        <v>6.15</v>
      </c>
      <c r="J1019" s="7">
        <v>17.600000000000001</v>
      </c>
      <c r="K1019" s="1" t="s">
        <v>34</v>
      </c>
      <c r="L1019" s="14">
        <v>3450</v>
      </c>
      <c r="M1019" s="14"/>
      <c r="N1019" s="14">
        <v>21224</v>
      </c>
      <c r="O1019" s="13">
        <v>31</v>
      </c>
      <c r="P1019" s="13">
        <v>8.8699999999999992</v>
      </c>
      <c r="Q1019" s="13">
        <v>37.1</v>
      </c>
      <c r="R1019" s="13">
        <v>47.2</v>
      </c>
      <c r="S1019" s="8"/>
      <c r="T1019" s="13">
        <v>22.4</v>
      </c>
      <c r="U1019" s="13">
        <v>42.3</v>
      </c>
      <c r="V1019" s="15"/>
      <c r="W1019" s="7" t="s">
        <v>89</v>
      </c>
      <c r="X1019" s="13"/>
      <c r="Y1019" s="13">
        <v>72.8</v>
      </c>
      <c r="Z1019" s="7">
        <v>1.07</v>
      </c>
      <c r="AB1019" s="16"/>
      <c r="AD1019" s="16"/>
      <c r="AE1019" s="1">
        <v>1</v>
      </c>
    </row>
    <row r="1020" spans="1:31" x14ac:dyDescent="0.2">
      <c r="A1020" s="1">
        <v>1019</v>
      </c>
      <c r="B1020" s="1">
        <v>2013</v>
      </c>
      <c r="C1020" s="1" t="s">
        <v>31</v>
      </c>
      <c r="D1020" s="8" t="s">
        <v>125</v>
      </c>
      <c r="E1020" s="8" t="s">
        <v>357</v>
      </c>
      <c r="F1020" s="1" t="s">
        <v>32</v>
      </c>
      <c r="G1020" s="8">
        <v>114</v>
      </c>
      <c r="H1020" s="8"/>
      <c r="I1020" s="12">
        <v>7.74</v>
      </c>
      <c r="J1020" s="7">
        <v>22.1142857142857</v>
      </c>
      <c r="K1020" s="13"/>
      <c r="L1020" s="14">
        <v>3450</v>
      </c>
      <c r="M1020" s="14"/>
      <c r="N1020" s="14">
        <v>26712</v>
      </c>
      <c r="O1020" s="13">
        <v>29.4</v>
      </c>
      <c r="P1020" s="13">
        <v>8.5</v>
      </c>
      <c r="Q1020" s="13">
        <v>39.9</v>
      </c>
      <c r="R1020" s="13">
        <v>56.7</v>
      </c>
      <c r="S1020" s="13" t="s">
        <v>89</v>
      </c>
      <c r="T1020" s="13"/>
      <c r="U1020" s="13">
        <v>34.6</v>
      </c>
      <c r="V1020" s="13">
        <v>3.6</v>
      </c>
      <c r="W1020" s="7">
        <v>0.73</v>
      </c>
      <c r="X1020" s="15" t="s">
        <v>89</v>
      </c>
      <c r="Y1020" s="15" t="s">
        <v>89</v>
      </c>
      <c r="Z1020" s="7">
        <v>1.75</v>
      </c>
      <c r="AB1020" s="16"/>
      <c r="AD1020" s="16"/>
      <c r="AE1020" s="1">
        <v>1</v>
      </c>
    </row>
    <row r="1021" spans="1:31" x14ac:dyDescent="0.2">
      <c r="A1021" s="1">
        <v>1020</v>
      </c>
      <c r="B1021" s="1">
        <v>2017</v>
      </c>
      <c r="C1021" s="1" t="s">
        <v>31</v>
      </c>
      <c r="D1021" s="8" t="s">
        <v>874</v>
      </c>
      <c r="E1021" s="8" t="s">
        <v>598</v>
      </c>
      <c r="F1021" s="1" t="s">
        <v>32</v>
      </c>
      <c r="G1021" s="1">
        <v>116</v>
      </c>
      <c r="I1021" s="12">
        <v>8.0155249600000005</v>
      </c>
      <c r="J1021" s="3">
        <v>22.901499900000001</v>
      </c>
      <c r="L1021" s="5">
        <v>3450.75</v>
      </c>
      <c r="N1021" s="5">
        <v>27757.353299999999</v>
      </c>
      <c r="O1021" s="6">
        <v>29.860614000000002</v>
      </c>
      <c r="P1021" s="6">
        <v>7.1025</v>
      </c>
      <c r="Q1021" s="6">
        <v>39.6325</v>
      </c>
      <c r="R1021" s="6">
        <v>50.377499999999998</v>
      </c>
      <c r="S1021" s="3"/>
      <c r="T1021" s="6">
        <v>24.46</v>
      </c>
      <c r="U1021" s="6">
        <v>36.700000000000003</v>
      </c>
      <c r="V1021" s="6">
        <v>2.2225000000000001</v>
      </c>
      <c r="W1021" s="3">
        <v>0.77517804999999995</v>
      </c>
      <c r="X1021" s="6"/>
      <c r="Y1021" s="6">
        <v>71.734999999999999</v>
      </c>
      <c r="Z1021" s="3">
        <v>1.5854385</v>
      </c>
      <c r="AB1021" s="16"/>
      <c r="AD1021" s="16"/>
      <c r="AE1021" s="1">
        <v>1</v>
      </c>
    </row>
    <row r="1022" spans="1:31" x14ac:dyDescent="0.2">
      <c r="A1022" s="1">
        <v>1021</v>
      </c>
      <c r="B1022" s="1">
        <v>2021</v>
      </c>
      <c r="C1022" s="1" t="s">
        <v>31</v>
      </c>
      <c r="D1022" s="1" t="s">
        <v>108</v>
      </c>
      <c r="E1022" s="1" t="s">
        <v>820</v>
      </c>
      <c r="F1022" s="1" t="s">
        <v>32</v>
      </c>
      <c r="G1022" s="1">
        <v>116</v>
      </c>
      <c r="H1022" s="1" t="s">
        <v>34</v>
      </c>
      <c r="I1022" s="12">
        <v>9.6822574652844988</v>
      </c>
      <c r="J1022" s="12">
        <v>27.663592758</v>
      </c>
      <c r="K1022" s="1" t="s">
        <v>89</v>
      </c>
      <c r="L1022" s="16">
        <v>3451.2520004550001</v>
      </c>
      <c r="M1022" s="16" t="s">
        <v>34</v>
      </c>
      <c r="N1022" s="16">
        <v>34216.643152985998</v>
      </c>
      <c r="O1022" s="15">
        <v>42.484488200000001</v>
      </c>
      <c r="P1022" s="15">
        <v>7.611931631</v>
      </c>
      <c r="Q1022" s="15">
        <v>35.362802639000002</v>
      </c>
      <c r="R1022" s="15">
        <v>60.723366736999999</v>
      </c>
      <c r="T1022" s="15">
        <v>20.233381532999999</v>
      </c>
      <c r="U1022" s="15">
        <v>45.622538708999997</v>
      </c>
      <c r="V1022" s="15">
        <v>5.8452465159999996</v>
      </c>
      <c r="W1022" s="12">
        <v>0.71981366648999989</v>
      </c>
      <c r="X1022" s="15"/>
      <c r="Y1022" s="15">
        <v>73.685108932999995</v>
      </c>
      <c r="Z1022" s="12"/>
      <c r="AA1022" s="15">
        <v>1.7721874360000001</v>
      </c>
      <c r="AB1022" s="16">
        <f>AA1022*33.334</f>
        <v>59.074095991624006</v>
      </c>
      <c r="AD1022" s="16"/>
      <c r="AE1022" s="1">
        <v>1</v>
      </c>
    </row>
    <row r="1023" spans="1:31" x14ac:dyDescent="0.2">
      <c r="A1023" s="1">
        <v>1022</v>
      </c>
      <c r="B1023" s="1">
        <v>2013</v>
      </c>
      <c r="C1023" s="1" t="s">
        <v>31</v>
      </c>
      <c r="D1023" s="8" t="s">
        <v>37</v>
      </c>
      <c r="E1023" s="8" t="s">
        <v>290</v>
      </c>
      <c r="F1023" s="1" t="s">
        <v>32</v>
      </c>
      <c r="G1023" s="8">
        <v>120</v>
      </c>
      <c r="H1023" s="8"/>
      <c r="I1023" s="12">
        <v>9.11</v>
      </c>
      <c r="J1023" s="7">
        <v>26.0285714285714</v>
      </c>
      <c r="K1023" s="13"/>
      <c r="L1023" s="14">
        <v>3452</v>
      </c>
      <c r="M1023" s="14"/>
      <c r="N1023" s="14">
        <v>31393</v>
      </c>
      <c r="O1023" s="13">
        <v>31</v>
      </c>
      <c r="P1023" s="13">
        <v>7.4</v>
      </c>
      <c r="Q1023" s="13">
        <v>40.4</v>
      </c>
      <c r="R1023" s="13">
        <v>52.9</v>
      </c>
      <c r="S1023" s="13"/>
      <c r="T1023" s="13"/>
      <c r="U1023" s="13">
        <v>33.200000000000003</v>
      </c>
      <c r="V1023" s="13">
        <v>4.5999999999999996</v>
      </c>
      <c r="W1023" s="7">
        <v>0.74</v>
      </c>
      <c r="X1023" s="15"/>
      <c r="Y1023" s="15"/>
      <c r="Z1023" s="7">
        <v>1.94</v>
      </c>
      <c r="AB1023" s="16"/>
      <c r="AD1023" s="16"/>
      <c r="AE1023" s="1">
        <v>1</v>
      </c>
    </row>
    <row r="1024" spans="1:31" x14ac:dyDescent="0.2">
      <c r="A1024" s="1">
        <v>1023</v>
      </c>
      <c r="B1024" s="1">
        <v>2008</v>
      </c>
      <c r="C1024" s="1" t="s">
        <v>31</v>
      </c>
      <c r="D1024" s="1" t="s">
        <v>916</v>
      </c>
      <c r="E1024" s="8" t="s">
        <v>36</v>
      </c>
      <c r="F1024" s="8" t="s">
        <v>32</v>
      </c>
      <c r="G1024" s="8"/>
      <c r="H1024" s="8"/>
      <c r="I1024" s="12">
        <v>9.98</v>
      </c>
      <c r="J1024" s="7">
        <v>28.514285714285716</v>
      </c>
      <c r="K1024" s="13"/>
      <c r="L1024" s="14">
        <v>3452</v>
      </c>
      <c r="M1024" s="14"/>
      <c r="N1024" s="14">
        <v>34422</v>
      </c>
      <c r="O1024" s="13">
        <v>32.299999999999997</v>
      </c>
      <c r="P1024" s="13">
        <v>8.4</v>
      </c>
      <c r="Q1024" s="13">
        <v>46.7</v>
      </c>
      <c r="R1024" s="13">
        <v>69.8</v>
      </c>
      <c r="S1024" s="13"/>
      <c r="T1024" s="13"/>
      <c r="U1024" s="13">
        <v>26.2</v>
      </c>
      <c r="V1024" s="13"/>
      <c r="W1024" s="13"/>
      <c r="X1024" s="15"/>
      <c r="Y1024" s="13">
        <v>74.7</v>
      </c>
      <c r="Z1024" s="7">
        <v>3.25</v>
      </c>
      <c r="AB1024" s="16"/>
      <c r="AD1024" s="16"/>
      <c r="AE1024" s="1">
        <v>1</v>
      </c>
    </row>
    <row r="1025" spans="1:31" x14ac:dyDescent="0.2">
      <c r="A1025" s="1">
        <v>1024</v>
      </c>
      <c r="B1025" s="1">
        <v>2016</v>
      </c>
      <c r="C1025" s="1" t="s">
        <v>31</v>
      </c>
      <c r="D1025" s="8" t="s">
        <v>108</v>
      </c>
      <c r="E1025" s="8" t="s">
        <v>431</v>
      </c>
      <c r="F1025" s="1" t="s">
        <v>32</v>
      </c>
      <c r="G1025" s="8">
        <v>116</v>
      </c>
      <c r="I1025" s="12">
        <v>9.0500000000000007</v>
      </c>
      <c r="J1025" s="7">
        <v>25.8571428571429</v>
      </c>
      <c r="K1025" s="1" t="s">
        <v>34</v>
      </c>
      <c r="L1025" s="14">
        <v>3453</v>
      </c>
      <c r="N1025" s="14">
        <v>31346</v>
      </c>
      <c r="O1025" s="13">
        <v>32.1</v>
      </c>
      <c r="P1025" s="13">
        <v>7.8</v>
      </c>
      <c r="Q1025" s="13">
        <v>42.1</v>
      </c>
      <c r="R1025" s="13">
        <v>55.9</v>
      </c>
      <c r="S1025" s="13"/>
      <c r="T1025" s="13">
        <v>24.5</v>
      </c>
      <c r="U1025" s="13">
        <v>33.700000000000003</v>
      </c>
      <c r="V1025" s="13">
        <v>3.3</v>
      </c>
      <c r="W1025" s="7">
        <v>0.73</v>
      </c>
      <c r="X1025" s="13"/>
      <c r="Y1025" s="13">
        <v>71.7</v>
      </c>
      <c r="Z1025" s="7">
        <v>2.11</v>
      </c>
      <c r="AA1025" s="15" t="s">
        <v>89</v>
      </c>
      <c r="AB1025" s="16"/>
      <c r="AD1025" s="16"/>
      <c r="AE1025" s="1">
        <v>1</v>
      </c>
    </row>
    <row r="1026" spans="1:31" x14ac:dyDescent="0.2">
      <c r="A1026" s="1">
        <v>1025</v>
      </c>
      <c r="B1026" s="1">
        <v>2021</v>
      </c>
      <c r="C1026" s="1" t="s">
        <v>31</v>
      </c>
      <c r="D1026" s="1" t="s">
        <v>108</v>
      </c>
      <c r="E1026" s="1" t="s">
        <v>781</v>
      </c>
      <c r="F1026" s="1" t="s">
        <v>32</v>
      </c>
      <c r="G1026" s="1">
        <v>117</v>
      </c>
      <c r="H1026" s="1" t="s">
        <v>89</v>
      </c>
      <c r="I1026" s="12">
        <v>6.4225736375175</v>
      </c>
      <c r="J1026" s="12">
        <v>18.350210393000001</v>
      </c>
      <c r="K1026" s="1" t="s">
        <v>89</v>
      </c>
      <c r="L1026" s="16">
        <v>3453.3048696840001</v>
      </c>
      <c r="M1026" s="16" t="s">
        <v>89</v>
      </c>
      <c r="N1026" s="16">
        <v>22074.931094921001</v>
      </c>
      <c r="O1026" s="15">
        <v>38.391463100000003</v>
      </c>
      <c r="P1026" s="15">
        <v>8.3781903569999994</v>
      </c>
      <c r="Q1026" s="15">
        <v>34.641565430999997</v>
      </c>
      <c r="R1026" s="15">
        <v>59.424465236000003</v>
      </c>
      <c r="T1026" s="15">
        <v>20.788816921999999</v>
      </c>
      <c r="U1026" s="15">
        <v>43.752597248999997</v>
      </c>
      <c r="V1026" s="15">
        <v>7.1105871580000004</v>
      </c>
      <c r="W1026" s="12">
        <v>0.72149813038999999</v>
      </c>
      <c r="X1026" s="15"/>
      <c r="Y1026" s="15">
        <v>73.559376243000003</v>
      </c>
      <c r="Z1026" s="12"/>
      <c r="AA1026" s="15">
        <v>0.397187436</v>
      </c>
      <c r="AB1026" s="16">
        <f>AA1026*33.334</f>
        <v>13.239845991624001</v>
      </c>
      <c r="AD1026" s="16"/>
      <c r="AE1026" s="1">
        <v>1</v>
      </c>
    </row>
    <row r="1027" spans="1:31" x14ac:dyDescent="0.2">
      <c r="A1027" s="1">
        <v>1026</v>
      </c>
      <c r="B1027" s="1">
        <v>2017</v>
      </c>
      <c r="C1027" s="1" t="s">
        <v>31</v>
      </c>
      <c r="D1027" s="1" t="s">
        <v>805</v>
      </c>
      <c r="E1027" s="8" t="s">
        <v>610</v>
      </c>
      <c r="F1027" s="1" t="s">
        <v>32</v>
      </c>
      <c r="G1027" s="1">
        <v>116</v>
      </c>
      <c r="I1027" s="12">
        <v>8.4964401200000008</v>
      </c>
      <c r="J1027" s="3">
        <v>24.275543200000001</v>
      </c>
      <c r="L1027" s="5">
        <v>3453.75</v>
      </c>
      <c r="N1027" s="5">
        <v>29307.980200000002</v>
      </c>
      <c r="O1027" s="6">
        <v>34.4</v>
      </c>
      <c r="P1027" s="6">
        <v>7.1025</v>
      </c>
      <c r="Q1027" s="6">
        <v>37.744999999999997</v>
      </c>
      <c r="R1027" s="6">
        <v>53.407499999999999</v>
      </c>
      <c r="S1027" s="3"/>
      <c r="T1027" s="6">
        <v>22.997499999999999</v>
      </c>
      <c r="U1027" s="6">
        <v>38.9</v>
      </c>
      <c r="V1027" s="6">
        <v>2.4975000000000001</v>
      </c>
      <c r="W1027" s="3">
        <v>0.78835109999999997</v>
      </c>
      <c r="X1027" s="6"/>
      <c r="Y1027" s="6">
        <v>72.797499999999999</v>
      </c>
      <c r="Z1027" s="3">
        <v>1.71318408</v>
      </c>
      <c r="AB1027" s="16"/>
      <c r="AD1027" s="16"/>
      <c r="AE1027" s="1">
        <v>1</v>
      </c>
    </row>
    <row r="1028" spans="1:31" x14ac:dyDescent="0.2">
      <c r="A1028" s="1">
        <v>1027</v>
      </c>
      <c r="B1028" s="1">
        <v>2014</v>
      </c>
      <c r="C1028" s="1" t="s">
        <v>31</v>
      </c>
      <c r="D1028" s="1" t="s">
        <v>399</v>
      </c>
      <c r="E1028" s="1" t="s">
        <v>401</v>
      </c>
      <c r="F1028" s="1" t="s">
        <v>32</v>
      </c>
      <c r="G1028" s="1">
        <v>116</v>
      </c>
      <c r="I1028" s="12">
        <v>9.01</v>
      </c>
      <c r="J1028" s="12">
        <v>25.7</v>
      </c>
      <c r="L1028" s="16">
        <v>3454</v>
      </c>
      <c r="N1028" s="16">
        <v>31174</v>
      </c>
      <c r="O1028" s="15">
        <v>32.299999999999997</v>
      </c>
      <c r="P1028" s="15">
        <v>8.1</v>
      </c>
      <c r="Q1028" s="15">
        <v>42.1</v>
      </c>
      <c r="R1028" s="15">
        <v>58</v>
      </c>
      <c r="T1028" s="15"/>
      <c r="U1028" s="15">
        <v>30.2</v>
      </c>
      <c r="V1028" s="15">
        <v>6.3</v>
      </c>
      <c r="W1028" s="12">
        <v>0.73</v>
      </c>
      <c r="X1028" s="15"/>
      <c r="Y1028" s="15">
        <v>70.099999999999994</v>
      </c>
      <c r="Z1028" s="12">
        <v>2.2000000000000002</v>
      </c>
      <c r="AB1028" s="16"/>
      <c r="AD1028" s="16"/>
      <c r="AE1028" s="1">
        <v>1</v>
      </c>
    </row>
    <row r="1029" spans="1:31" x14ac:dyDescent="0.2">
      <c r="A1029" s="1">
        <v>1028</v>
      </c>
      <c r="B1029" s="1">
        <v>2017</v>
      </c>
      <c r="C1029" s="1" t="s">
        <v>31</v>
      </c>
      <c r="D1029" s="1" t="s">
        <v>805</v>
      </c>
      <c r="E1029" s="8" t="s">
        <v>613</v>
      </c>
      <c r="F1029" s="1" t="s">
        <v>32</v>
      </c>
      <c r="G1029" s="1">
        <v>120</v>
      </c>
      <c r="H1029" s="1" t="s">
        <v>34</v>
      </c>
      <c r="I1029" s="12">
        <v>9.2799999999999994</v>
      </c>
      <c r="J1029" s="3">
        <v>26.51</v>
      </c>
      <c r="L1029" s="5">
        <v>3454.25</v>
      </c>
      <c r="M1029" s="1" t="s">
        <v>34</v>
      </c>
      <c r="N1029" s="5">
        <v>32062</v>
      </c>
      <c r="O1029" s="6">
        <v>34.799999999999997</v>
      </c>
      <c r="P1029" s="6">
        <v>7.48</v>
      </c>
      <c r="Q1029" s="6">
        <v>37.6325</v>
      </c>
      <c r="R1029" s="6">
        <v>53.127499999999998</v>
      </c>
      <c r="S1029" s="3"/>
      <c r="T1029" s="6">
        <v>22.6175</v>
      </c>
      <c r="U1029" s="6">
        <v>37.799999999999997</v>
      </c>
      <c r="V1029" s="6">
        <v>3.3875000000000002</v>
      </c>
      <c r="W1029" s="3">
        <v>0.78988285000000003</v>
      </c>
      <c r="X1029" s="6"/>
      <c r="Y1029" s="6">
        <v>72.922499999999999</v>
      </c>
      <c r="Z1029" s="3">
        <v>1.8614299000000001</v>
      </c>
      <c r="AB1029" s="16"/>
      <c r="AD1029" s="16"/>
      <c r="AE1029" s="1">
        <v>1</v>
      </c>
    </row>
    <row r="1030" spans="1:31" x14ac:dyDescent="0.2">
      <c r="A1030" s="1">
        <v>1029</v>
      </c>
      <c r="B1030" s="1">
        <v>2013</v>
      </c>
      <c r="C1030" s="1" t="s">
        <v>31</v>
      </c>
      <c r="D1030" s="8" t="s">
        <v>125</v>
      </c>
      <c r="E1030" s="8" t="s">
        <v>271</v>
      </c>
      <c r="F1030" s="1" t="s">
        <v>32</v>
      </c>
      <c r="G1030" s="8">
        <v>117</v>
      </c>
      <c r="H1030" s="8"/>
      <c r="I1030" s="12">
        <v>8.81</v>
      </c>
      <c r="J1030" s="7">
        <v>25.171428571428599</v>
      </c>
      <c r="K1030" s="13"/>
      <c r="L1030" s="14">
        <v>3455</v>
      </c>
      <c r="M1030" s="14"/>
      <c r="N1030" s="14">
        <v>30402</v>
      </c>
      <c r="O1030" s="13">
        <v>33.1</v>
      </c>
      <c r="P1030" s="13">
        <v>7.9</v>
      </c>
      <c r="Q1030" s="13">
        <v>36.5</v>
      </c>
      <c r="R1030" s="13">
        <v>52.7</v>
      </c>
      <c r="S1030" s="13" t="s">
        <v>89</v>
      </c>
      <c r="T1030" s="13"/>
      <c r="U1030" s="13">
        <v>37.799999999999997</v>
      </c>
      <c r="V1030" s="13">
        <v>4</v>
      </c>
      <c r="W1030" s="7">
        <v>0.75</v>
      </c>
      <c r="X1030" s="15" t="s">
        <v>89</v>
      </c>
      <c r="Y1030" s="15" t="s">
        <v>89</v>
      </c>
      <c r="Z1030" s="7">
        <v>1.7</v>
      </c>
      <c r="AB1030" s="16"/>
      <c r="AD1030" s="16"/>
      <c r="AE1030" s="1">
        <v>1</v>
      </c>
    </row>
    <row r="1031" spans="1:31" x14ac:dyDescent="0.2">
      <c r="A1031" s="1">
        <v>1030</v>
      </c>
      <c r="B1031" s="1">
        <v>2014</v>
      </c>
      <c r="C1031" s="1" t="s">
        <v>31</v>
      </c>
      <c r="D1031" s="1" t="s">
        <v>125</v>
      </c>
      <c r="E1031" s="1" t="s">
        <v>427</v>
      </c>
      <c r="F1031" s="1" t="s">
        <v>32</v>
      </c>
      <c r="G1031" s="1">
        <v>117</v>
      </c>
      <c r="I1031" s="12">
        <v>9.3699999999999992</v>
      </c>
      <c r="J1031" s="12">
        <v>29.8</v>
      </c>
      <c r="L1031" s="16">
        <v>3455</v>
      </c>
      <c r="N1031" s="16">
        <v>32343</v>
      </c>
      <c r="O1031" s="15">
        <v>33</v>
      </c>
      <c r="P1031" s="15">
        <v>7.4</v>
      </c>
      <c r="Q1031" s="15">
        <v>41.4</v>
      </c>
      <c r="R1031" s="15">
        <v>56.9</v>
      </c>
      <c r="T1031" s="15"/>
      <c r="U1031" s="15">
        <v>29.6</v>
      </c>
      <c r="V1031" s="15">
        <v>6.5</v>
      </c>
      <c r="W1031" s="12">
        <v>0.73</v>
      </c>
      <c r="X1031" s="15"/>
      <c r="Y1031" s="15">
        <v>70.2</v>
      </c>
      <c r="Z1031" s="12">
        <v>2.21</v>
      </c>
      <c r="AB1031" s="16"/>
      <c r="AD1031" s="16"/>
      <c r="AE1031" s="1">
        <v>1</v>
      </c>
    </row>
    <row r="1032" spans="1:31" x14ac:dyDescent="0.2">
      <c r="A1032" s="1">
        <v>1031</v>
      </c>
      <c r="B1032" s="1">
        <v>2016</v>
      </c>
      <c r="C1032" s="1" t="s">
        <v>31</v>
      </c>
      <c r="D1032" s="8" t="s">
        <v>108</v>
      </c>
      <c r="E1032" s="8" t="s">
        <v>549</v>
      </c>
      <c r="F1032" s="1" t="s">
        <v>32</v>
      </c>
      <c r="G1032" s="8">
        <v>114</v>
      </c>
      <c r="H1032" s="1" t="s">
        <v>34</v>
      </c>
      <c r="I1032" s="12">
        <v>9.65</v>
      </c>
      <c r="J1032" s="7">
        <v>27.6</v>
      </c>
      <c r="K1032" s="1" t="s">
        <v>34</v>
      </c>
      <c r="L1032" s="14">
        <v>3455</v>
      </c>
      <c r="M1032" s="1" t="s">
        <v>34</v>
      </c>
      <c r="N1032" s="14">
        <v>33291</v>
      </c>
      <c r="O1032" s="13">
        <v>34.299999999999997</v>
      </c>
      <c r="P1032" s="13">
        <v>7.1</v>
      </c>
      <c r="Q1032" s="13">
        <v>41.3</v>
      </c>
      <c r="R1032" s="13">
        <v>55.8</v>
      </c>
      <c r="S1032" s="13"/>
      <c r="T1032" s="13">
        <v>24.4</v>
      </c>
      <c r="U1032" s="13">
        <v>37.1</v>
      </c>
      <c r="V1032" s="13">
        <v>2.5</v>
      </c>
      <c r="W1032" s="7">
        <v>0.74</v>
      </c>
      <c r="X1032" s="13"/>
      <c r="Y1032" s="13">
        <v>72.099999999999994</v>
      </c>
      <c r="Z1032" s="7">
        <v>2.23</v>
      </c>
      <c r="AA1032" s="15" t="s">
        <v>89</v>
      </c>
      <c r="AB1032" s="16"/>
      <c r="AD1032" s="16"/>
      <c r="AE1032" s="1">
        <v>1</v>
      </c>
    </row>
    <row r="1033" spans="1:31" x14ac:dyDescent="0.2">
      <c r="A1033" s="1">
        <v>1032</v>
      </c>
      <c r="B1033" s="1">
        <v>2012</v>
      </c>
      <c r="C1033" s="1" t="s">
        <v>31</v>
      </c>
      <c r="D1033" s="19" t="s">
        <v>861</v>
      </c>
      <c r="E1033" s="1" t="s">
        <v>296</v>
      </c>
      <c r="F1033" s="1" t="s">
        <v>32</v>
      </c>
      <c r="H1033" s="1" t="s">
        <v>34</v>
      </c>
      <c r="I1033" s="12">
        <v>10.07</v>
      </c>
      <c r="J1033" s="12">
        <v>28.8</v>
      </c>
      <c r="L1033" s="16">
        <v>3455</v>
      </c>
      <c r="N1033" s="16">
        <v>34826</v>
      </c>
      <c r="O1033" s="15">
        <v>34.1</v>
      </c>
      <c r="P1033" s="15">
        <v>7.4</v>
      </c>
      <c r="Q1033" s="15">
        <v>46.5</v>
      </c>
      <c r="R1033" s="15">
        <v>63.6</v>
      </c>
      <c r="T1033" s="15"/>
      <c r="U1033" s="15">
        <v>31.1</v>
      </c>
      <c r="V1033" s="15">
        <v>5.3</v>
      </c>
      <c r="W1033" s="12">
        <v>0.74</v>
      </c>
      <c r="X1033" s="15"/>
      <c r="Y1033" s="15"/>
      <c r="Z1033" s="12">
        <v>2.98</v>
      </c>
      <c r="AB1033" s="16"/>
      <c r="AD1033" s="16"/>
      <c r="AE1033" s="1">
        <v>1</v>
      </c>
    </row>
    <row r="1034" spans="1:31" x14ac:dyDescent="0.2">
      <c r="A1034" s="1">
        <v>1033</v>
      </c>
      <c r="B1034" s="1">
        <v>2021</v>
      </c>
      <c r="C1034" s="1" t="s">
        <v>31</v>
      </c>
      <c r="D1034" s="1" t="s">
        <v>402</v>
      </c>
      <c r="E1034" s="1" t="s">
        <v>800</v>
      </c>
      <c r="F1034" s="1" t="s">
        <v>32</v>
      </c>
      <c r="G1034" s="1">
        <v>115</v>
      </c>
      <c r="H1034" s="1" t="s">
        <v>89</v>
      </c>
      <c r="I1034" s="12">
        <v>6.9758325815469995</v>
      </c>
      <c r="J1034" s="12">
        <v>19.930950233000001</v>
      </c>
      <c r="K1034" s="1" t="s">
        <v>89</v>
      </c>
      <c r="L1034" s="16">
        <v>3455.5548696840001</v>
      </c>
      <c r="M1034" s="16" t="s">
        <v>89</v>
      </c>
      <c r="N1034" s="16">
        <v>24081.637961730001</v>
      </c>
      <c r="O1034" s="15">
        <v>33.679296700000002</v>
      </c>
      <c r="P1034" s="15">
        <v>7.785690357</v>
      </c>
      <c r="Q1034" s="15">
        <v>35.389065430999999</v>
      </c>
      <c r="R1034" s="15">
        <v>60.076965235999999</v>
      </c>
      <c r="T1034" s="15">
        <v>20.156316921999998</v>
      </c>
      <c r="U1034" s="15">
        <v>45.407597248999998</v>
      </c>
      <c r="V1034" s="15">
        <v>5.6480871580000001</v>
      </c>
      <c r="W1034" s="12">
        <v>0.72122313039000008</v>
      </c>
      <c r="X1034" s="15"/>
      <c r="Y1034" s="15">
        <v>73.664376243000007</v>
      </c>
      <c r="Z1034" s="12"/>
      <c r="AA1034" s="15">
        <v>0.89718743599999995</v>
      </c>
      <c r="AB1034" s="16">
        <f>AA1034*33.334</f>
        <v>29.906845991623999</v>
      </c>
      <c r="AD1034" s="16"/>
      <c r="AE1034" s="1">
        <v>1</v>
      </c>
    </row>
    <row r="1035" spans="1:31" x14ac:dyDescent="0.2">
      <c r="A1035" s="1">
        <v>1034</v>
      </c>
      <c r="B1035" s="1">
        <v>2008</v>
      </c>
      <c r="C1035" s="1" t="s">
        <v>31</v>
      </c>
      <c r="D1035" s="1" t="s">
        <v>805</v>
      </c>
      <c r="E1035" s="8" t="s">
        <v>51</v>
      </c>
      <c r="F1035" s="8" t="s">
        <v>83</v>
      </c>
      <c r="G1035" s="8"/>
      <c r="H1035" s="8"/>
      <c r="I1035" s="12">
        <v>4.12</v>
      </c>
      <c r="J1035" s="7">
        <v>11.771428571428572</v>
      </c>
      <c r="K1035" s="13" t="s">
        <v>34</v>
      </c>
      <c r="L1035" s="14">
        <v>3456</v>
      </c>
      <c r="M1035" s="14"/>
      <c r="N1035" s="14">
        <v>14278</v>
      </c>
      <c r="O1035" s="13">
        <v>34.6</v>
      </c>
      <c r="P1035" s="13">
        <v>10.4</v>
      </c>
      <c r="Q1035" s="13">
        <v>32.9</v>
      </c>
      <c r="R1035" s="13">
        <v>51.7</v>
      </c>
      <c r="S1035" s="13"/>
      <c r="T1035" s="13">
        <v>17.5</v>
      </c>
      <c r="U1035" s="13">
        <v>36.799999999999997</v>
      </c>
      <c r="V1035" s="15"/>
      <c r="X1035" s="15"/>
      <c r="Y1035" s="13">
        <v>73.099999999999994</v>
      </c>
      <c r="Z1035" s="7">
        <v>0.68</v>
      </c>
      <c r="AB1035" s="16"/>
      <c r="AD1035" s="16"/>
      <c r="AE1035" s="1">
        <v>1</v>
      </c>
    </row>
    <row r="1036" spans="1:31" x14ac:dyDescent="0.2">
      <c r="A1036" s="1">
        <v>1035</v>
      </c>
      <c r="B1036" s="1">
        <v>2011</v>
      </c>
      <c r="C1036" s="1" t="s">
        <v>31</v>
      </c>
      <c r="D1036" s="1" t="s">
        <v>916</v>
      </c>
      <c r="E1036" s="1" t="s">
        <v>204</v>
      </c>
      <c r="F1036" s="1" t="s">
        <v>32</v>
      </c>
      <c r="I1036" s="12">
        <v>8.5299999999999994</v>
      </c>
      <c r="J1036" s="12">
        <v>27.3</v>
      </c>
      <c r="L1036" s="16">
        <v>3457</v>
      </c>
      <c r="N1036" s="16">
        <v>29532</v>
      </c>
      <c r="O1036" s="15">
        <v>24.8</v>
      </c>
      <c r="P1036" s="15">
        <v>8.4</v>
      </c>
      <c r="Q1036" s="15">
        <v>46.4</v>
      </c>
      <c r="R1036" s="15">
        <v>61.2</v>
      </c>
      <c r="T1036" s="15"/>
      <c r="U1036" s="15">
        <v>31.3</v>
      </c>
      <c r="V1036" s="15">
        <v>4.9000000000000004</v>
      </c>
      <c r="W1036" s="12"/>
      <c r="X1036" s="15"/>
      <c r="Y1036" s="15">
        <v>69.7</v>
      </c>
      <c r="Z1036" s="12">
        <v>2.42</v>
      </c>
      <c r="AB1036" s="16"/>
      <c r="AD1036" s="16"/>
      <c r="AE1036" s="1">
        <v>1</v>
      </c>
    </row>
    <row r="1037" spans="1:31" x14ac:dyDescent="0.2">
      <c r="A1037" s="1">
        <v>1036</v>
      </c>
      <c r="B1037" s="1">
        <v>2021</v>
      </c>
      <c r="C1037" s="1" t="s">
        <v>31</v>
      </c>
      <c r="D1037" s="28" t="s">
        <v>914</v>
      </c>
      <c r="E1037" s="1" t="s">
        <v>763</v>
      </c>
      <c r="F1037" s="1" t="s">
        <v>32</v>
      </c>
      <c r="G1037" s="1">
        <v>115</v>
      </c>
      <c r="H1037" s="1" t="s">
        <v>89</v>
      </c>
      <c r="I1037" s="12">
        <v>7.6750370003865003</v>
      </c>
      <c r="J1037" s="12">
        <v>21.928677144000002</v>
      </c>
      <c r="K1037" s="1" t="s">
        <v>89</v>
      </c>
      <c r="L1037" s="16">
        <v>3457.4876543119999</v>
      </c>
      <c r="M1037" s="16" t="s">
        <v>89</v>
      </c>
      <c r="N1037" s="16">
        <v>26477.622788735</v>
      </c>
      <c r="O1037" s="15">
        <v>39.437163900000002</v>
      </c>
      <c r="P1037" s="15">
        <v>7.2800049900000001</v>
      </c>
      <c r="Q1037" s="15">
        <v>37.809871194999999</v>
      </c>
      <c r="R1037" s="15">
        <v>62.565374241000001</v>
      </c>
      <c r="T1037" s="15">
        <v>21.07620459</v>
      </c>
      <c r="U1037" s="15">
        <v>43.008222490000001</v>
      </c>
      <c r="V1037" s="15">
        <v>5.8870181610000003</v>
      </c>
      <c r="W1037" s="12">
        <v>0.71904134699</v>
      </c>
      <c r="X1037" s="15"/>
      <c r="Y1037" s="15">
        <v>73.998772383000002</v>
      </c>
      <c r="Z1037" s="12"/>
      <c r="AA1037" s="15">
        <v>0.524373851</v>
      </c>
      <c r="AB1037" s="16">
        <f>AA1037*33.334</f>
        <v>17.479477949234003</v>
      </c>
      <c r="AD1037" s="16"/>
      <c r="AE1037" s="1">
        <v>1</v>
      </c>
    </row>
    <row r="1038" spans="1:31" x14ac:dyDescent="0.2">
      <c r="A1038" s="1">
        <v>1037</v>
      </c>
      <c r="B1038" s="1">
        <v>2016</v>
      </c>
      <c r="C1038" s="1" t="s">
        <v>31</v>
      </c>
      <c r="D1038" s="8" t="s">
        <v>71</v>
      </c>
      <c r="E1038" s="8" t="s">
        <v>537</v>
      </c>
      <c r="F1038" s="1" t="s">
        <v>32</v>
      </c>
      <c r="G1038" s="8">
        <v>115</v>
      </c>
      <c r="I1038" s="12">
        <v>7.8</v>
      </c>
      <c r="J1038" s="7">
        <v>22.285714285714299</v>
      </c>
      <c r="K1038" s="1" t="s">
        <v>34</v>
      </c>
      <c r="L1038" s="14">
        <v>3458</v>
      </c>
      <c r="N1038" s="14">
        <v>26943</v>
      </c>
      <c r="O1038" s="13">
        <v>31.5</v>
      </c>
      <c r="P1038" s="13">
        <v>8.6999999999999993</v>
      </c>
      <c r="Q1038" s="13">
        <v>47</v>
      </c>
      <c r="R1038" s="13">
        <v>63</v>
      </c>
      <c r="S1038" s="13"/>
      <c r="T1038" s="13">
        <v>27.3</v>
      </c>
      <c r="U1038" s="13">
        <v>26.2</v>
      </c>
      <c r="V1038" s="13">
        <v>4.5</v>
      </c>
      <c r="W1038" s="7">
        <v>0.72</v>
      </c>
      <c r="X1038" s="13"/>
      <c r="Y1038" s="13">
        <v>69.7</v>
      </c>
      <c r="Z1038" s="7">
        <v>2.3199999999999998</v>
      </c>
      <c r="AA1038" s="15" t="s">
        <v>89</v>
      </c>
      <c r="AB1038" s="16"/>
      <c r="AD1038" s="16"/>
      <c r="AE1038" s="1">
        <v>1</v>
      </c>
    </row>
    <row r="1039" spans="1:31" x14ac:dyDescent="0.2">
      <c r="A1039" s="1">
        <v>1038</v>
      </c>
      <c r="B1039" s="1">
        <v>2014</v>
      </c>
      <c r="C1039" s="1" t="s">
        <v>31</v>
      </c>
      <c r="D1039" s="1" t="s">
        <v>805</v>
      </c>
      <c r="E1039" s="1" t="s">
        <v>421</v>
      </c>
      <c r="F1039" s="1" t="s">
        <v>32</v>
      </c>
      <c r="G1039" s="1">
        <v>116</v>
      </c>
      <c r="I1039" s="12">
        <v>7.95</v>
      </c>
      <c r="J1039" s="12">
        <v>22.7</v>
      </c>
      <c r="L1039" s="16">
        <v>3459</v>
      </c>
      <c r="N1039" s="16">
        <v>27478</v>
      </c>
      <c r="O1039" s="15">
        <v>33.4</v>
      </c>
      <c r="P1039" s="15">
        <v>7.8</v>
      </c>
      <c r="Q1039" s="15">
        <v>41</v>
      </c>
      <c r="R1039" s="15">
        <v>56.8</v>
      </c>
      <c r="T1039" s="15"/>
      <c r="U1039" s="15">
        <v>32.4</v>
      </c>
      <c r="V1039" s="15">
        <v>5.2</v>
      </c>
      <c r="W1039" s="12">
        <v>0.73</v>
      </c>
      <c r="X1039" s="15"/>
      <c r="Y1039" s="15">
        <v>70.7</v>
      </c>
      <c r="Z1039" s="12">
        <v>1.96</v>
      </c>
      <c r="AB1039" s="16"/>
      <c r="AD1039" s="16"/>
      <c r="AE1039" s="1">
        <v>1</v>
      </c>
    </row>
    <row r="1040" spans="1:31" x14ac:dyDescent="0.2">
      <c r="A1040" s="1">
        <v>1039</v>
      </c>
      <c r="B1040" s="1">
        <v>2009</v>
      </c>
      <c r="C1040" s="1" t="s">
        <v>31</v>
      </c>
      <c r="D1040" s="8" t="s">
        <v>874</v>
      </c>
      <c r="E1040" s="8">
        <v>9009</v>
      </c>
      <c r="F1040" s="1" t="s">
        <v>32</v>
      </c>
      <c r="H1040" s="1" t="s">
        <v>34</v>
      </c>
      <c r="I1040" s="12">
        <v>8.69</v>
      </c>
      <c r="J1040" s="7">
        <v>24.8</v>
      </c>
      <c r="L1040" s="14">
        <v>3459</v>
      </c>
      <c r="N1040" s="14">
        <v>30082</v>
      </c>
      <c r="O1040" s="13">
        <v>33.299999999999997</v>
      </c>
      <c r="P1040" s="13">
        <v>8.9</v>
      </c>
      <c r="Q1040" s="13">
        <v>43.4</v>
      </c>
      <c r="R1040" s="13">
        <v>58</v>
      </c>
      <c r="S1040" s="13"/>
      <c r="T1040" s="15" t="s">
        <v>89</v>
      </c>
      <c r="U1040" s="13">
        <v>32.9</v>
      </c>
      <c r="V1040" s="13">
        <v>6</v>
      </c>
      <c r="W1040" s="12" t="s">
        <v>89</v>
      </c>
      <c r="X1040" s="15"/>
      <c r="Y1040" s="13">
        <v>73.7</v>
      </c>
      <c r="Z1040" s="7">
        <v>2.19</v>
      </c>
      <c r="AB1040" s="16"/>
      <c r="AD1040" s="16"/>
      <c r="AE1040" s="1">
        <v>1</v>
      </c>
    </row>
    <row r="1041" spans="1:31" x14ac:dyDescent="0.2">
      <c r="A1041" s="1">
        <v>1040</v>
      </c>
      <c r="B1041" s="1">
        <v>2010</v>
      </c>
      <c r="C1041" s="1" t="s">
        <v>31</v>
      </c>
      <c r="D1041" s="8" t="s">
        <v>874</v>
      </c>
      <c r="E1041" s="8" t="s">
        <v>117</v>
      </c>
      <c r="F1041" s="1" t="s">
        <v>32</v>
      </c>
      <c r="I1041" s="12">
        <v>10.17</v>
      </c>
      <c r="J1041" s="7">
        <v>29.0571428571429</v>
      </c>
      <c r="L1041" s="14">
        <v>3459</v>
      </c>
      <c r="N1041" s="14">
        <v>35190</v>
      </c>
      <c r="O1041" s="13">
        <v>30.7</v>
      </c>
      <c r="P1041" s="13">
        <v>9</v>
      </c>
      <c r="Q1041" s="13">
        <v>43.2</v>
      </c>
      <c r="R1041" s="13">
        <v>57.6</v>
      </c>
      <c r="S1041" s="13"/>
      <c r="T1041" s="15"/>
      <c r="U1041" s="13">
        <v>35.4</v>
      </c>
      <c r="V1041" s="13">
        <v>5.4</v>
      </c>
      <c r="W1041" s="12"/>
      <c r="X1041" s="15"/>
      <c r="Y1041" s="13">
        <v>71.2</v>
      </c>
      <c r="Z1041" s="7">
        <v>2.5299999999999998</v>
      </c>
      <c r="AB1041" s="16"/>
      <c r="AD1041" s="16"/>
      <c r="AE1041" s="1">
        <v>1</v>
      </c>
    </row>
    <row r="1042" spans="1:31" x14ac:dyDescent="0.2">
      <c r="A1042" s="1">
        <v>1041</v>
      </c>
      <c r="B1042" s="1">
        <v>2009</v>
      </c>
      <c r="C1042" s="1" t="s">
        <v>31</v>
      </c>
      <c r="D1042" s="8" t="s">
        <v>54</v>
      </c>
      <c r="E1042" s="8" t="s">
        <v>114</v>
      </c>
      <c r="F1042" s="1" t="s">
        <v>32</v>
      </c>
      <c r="I1042" s="12">
        <v>7.35</v>
      </c>
      <c r="J1042" s="7">
        <v>21</v>
      </c>
      <c r="L1042" s="14">
        <v>3460</v>
      </c>
      <c r="N1042" s="14">
        <v>25455</v>
      </c>
      <c r="O1042" s="13">
        <v>25.8</v>
      </c>
      <c r="P1042" s="13">
        <v>9.3000000000000007</v>
      </c>
      <c r="Q1042" s="13">
        <v>43.2</v>
      </c>
      <c r="R1042" s="13">
        <v>58.5</v>
      </c>
      <c r="S1042" s="13"/>
      <c r="T1042" s="13" t="s">
        <v>89</v>
      </c>
      <c r="U1042" s="13">
        <v>32.6</v>
      </c>
      <c r="V1042" s="13">
        <v>7.6</v>
      </c>
      <c r="W1042" s="7" t="s">
        <v>89</v>
      </c>
      <c r="X1042" s="13"/>
      <c r="Y1042" s="13">
        <v>73.8</v>
      </c>
      <c r="Z1042" s="7">
        <v>1.86</v>
      </c>
      <c r="AB1042" s="16"/>
      <c r="AD1042" s="16"/>
      <c r="AE1042" s="1">
        <v>1</v>
      </c>
    </row>
    <row r="1043" spans="1:31" x14ac:dyDescent="0.2">
      <c r="A1043" s="1">
        <v>1042</v>
      </c>
      <c r="B1043" s="1">
        <v>2016</v>
      </c>
      <c r="C1043" s="1" t="s">
        <v>31</v>
      </c>
      <c r="D1043" s="8" t="s">
        <v>874</v>
      </c>
      <c r="E1043" s="8" t="s">
        <v>480</v>
      </c>
      <c r="F1043" s="1" t="s">
        <v>32</v>
      </c>
      <c r="G1043" s="8">
        <v>118</v>
      </c>
      <c r="I1043" s="12">
        <v>9.3000000000000007</v>
      </c>
      <c r="J1043" s="7">
        <v>26.571428571428601</v>
      </c>
      <c r="K1043" s="1" t="s">
        <v>34</v>
      </c>
      <c r="L1043" s="14">
        <v>3460</v>
      </c>
      <c r="M1043" s="1" t="s">
        <v>34</v>
      </c>
      <c r="N1043" s="14">
        <v>32164</v>
      </c>
      <c r="O1043" s="13">
        <v>35</v>
      </c>
      <c r="P1043" s="13">
        <v>6.6</v>
      </c>
      <c r="Q1043" s="13">
        <v>43</v>
      </c>
      <c r="R1043" s="13">
        <v>58</v>
      </c>
      <c r="S1043" s="13"/>
      <c r="T1043" s="13">
        <v>24.8</v>
      </c>
      <c r="U1043" s="13">
        <v>34.4</v>
      </c>
      <c r="V1043" s="13">
        <v>2.5</v>
      </c>
      <c r="W1043" s="7">
        <v>0.74</v>
      </c>
      <c r="X1043" s="13"/>
      <c r="Y1043" s="13">
        <v>72.3</v>
      </c>
      <c r="Z1043" s="7">
        <v>2.2999999999999998</v>
      </c>
      <c r="AA1043" s="15" t="s">
        <v>89</v>
      </c>
      <c r="AB1043" s="16"/>
      <c r="AD1043" s="16"/>
      <c r="AE1043" s="1">
        <v>1</v>
      </c>
    </row>
    <row r="1044" spans="1:31" x14ac:dyDescent="0.2">
      <c r="A1044" s="1">
        <v>1043</v>
      </c>
      <c r="B1044" s="1">
        <v>2010</v>
      </c>
      <c r="C1044" s="1" t="s">
        <v>31</v>
      </c>
      <c r="D1044" s="1" t="s">
        <v>805</v>
      </c>
      <c r="E1044" s="8" t="s">
        <v>169</v>
      </c>
      <c r="F1044" s="1" t="s">
        <v>83</v>
      </c>
      <c r="I1044" s="12">
        <v>6.35</v>
      </c>
      <c r="J1044" s="7">
        <v>18.1428571428571</v>
      </c>
      <c r="L1044" s="14">
        <v>3461</v>
      </c>
      <c r="N1044" s="14">
        <v>21992</v>
      </c>
      <c r="O1044" s="13">
        <v>29</v>
      </c>
      <c r="P1044" s="13">
        <v>8.6</v>
      </c>
      <c r="Q1044" s="13">
        <v>38.5</v>
      </c>
      <c r="R1044" s="13">
        <v>50.2</v>
      </c>
      <c r="S1044" s="13"/>
      <c r="T1044" s="15"/>
      <c r="U1044" s="13">
        <v>36</v>
      </c>
      <c r="V1044" s="13">
        <v>9.6999999999999993</v>
      </c>
      <c r="W1044" s="12"/>
      <c r="X1044" s="15"/>
      <c r="Y1044" s="13">
        <v>73.3</v>
      </c>
      <c r="Z1044" s="7">
        <v>1.23</v>
      </c>
      <c r="AB1044" s="16"/>
      <c r="AD1044" s="16"/>
      <c r="AE1044" s="1">
        <v>1</v>
      </c>
    </row>
    <row r="1045" spans="1:31" x14ac:dyDescent="0.2">
      <c r="A1045" s="1">
        <v>1044</v>
      </c>
      <c r="B1045" s="1">
        <v>2017</v>
      </c>
      <c r="C1045" s="1" t="s">
        <v>31</v>
      </c>
      <c r="D1045" s="8" t="s">
        <v>291</v>
      </c>
      <c r="E1045" s="8" t="s">
        <v>625</v>
      </c>
      <c r="F1045" s="1" t="s">
        <v>32</v>
      </c>
      <c r="G1045" s="8">
        <v>118</v>
      </c>
      <c r="I1045" s="12">
        <v>8.81337613</v>
      </c>
      <c r="J1045" s="3">
        <v>25.1810747</v>
      </c>
      <c r="L1045" s="5">
        <v>3461.75</v>
      </c>
      <c r="N1045" s="5">
        <v>30490.985499999999</v>
      </c>
      <c r="O1045" s="6">
        <v>30.985237000000001</v>
      </c>
      <c r="P1045" s="6">
        <v>7.3949999999999996</v>
      </c>
      <c r="Q1045" s="6">
        <v>41.725000000000001</v>
      </c>
      <c r="R1045" s="6">
        <v>55.3</v>
      </c>
      <c r="S1045" s="3"/>
      <c r="T1045" s="6">
        <v>25.074999999999999</v>
      </c>
      <c r="U1045" s="6">
        <v>32.137500000000003</v>
      </c>
      <c r="V1045" s="6">
        <v>3.7</v>
      </c>
      <c r="W1045" s="3">
        <v>0.76724080000000006</v>
      </c>
      <c r="X1045" s="6"/>
      <c r="Y1045" s="6">
        <v>71.094999999999999</v>
      </c>
      <c r="Z1045" s="3">
        <v>2.03272472</v>
      </c>
      <c r="AB1045" s="16"/>
      <c r="AD1045" s="16"/>
      <c r="AE1045" s="1">
        <v>1</v>
      </c>
    </row>
    <row r="1046" spans="1:31" x14ac:dyDescent="0.2">
      <c r="A1046" s="1">
        <v>1045</v>
      </c>
      <c r="B1046" s="1">
        <v>2015</v>
      </c>
      <c r="C1046" s="8" t="s">
        <v>31</v>
      </c>
      <c r="D1046" s="1" t="s">
        <v>916</v>
      </c>
      <c r="E1046" s="8" t="s">
        <v>503</v>
      </c>
      <c r="F1046" s="1" t="s">
        <v>83</v>
      </c>
      <c r="H1046" s="1" t="s">
        <v>34</v>
      </c>
      <c r="I1046" s="12">
        <v>7.52</v>
      </c>
      <c r="J1046" s="7">
        <v>21.5</v>
      </c>
      <c r="L1046" s="14">
        <v>3462</v>
      </c>
      <c r="M1046" s="1" t="s">
        <v>34</v>
      </c>
      <c r="N1046" s="14">
        <v>26108</v>
      </c>
      <c r="O1046" s="13">
        <v>32.5</v>
      </c>
      <c r="P1046" s="13">
        <v>7.2</v>
      </c>
      <c r="Q1046" s="13">
        <v>39.1</v>
      </c>
      <c r="R1046" s="13">
        <v>51.3</v>
      </c>
      <c r="S1046" s="8"/>
      <c r="T1046" s="13">
        <v>24.3</v>
      </c>
      <c r="U1046" s="13">
        <v>35.299999999999997</v>
      </c>
      <c r="V1046" s="13">
        <v>4.2</v>
      </c>
      <c r="W1046" s="7">
        <v>0.75</v>
      </c>
      <c r="X1046" s="13"/>
      <c r="Y1046" s="13">
        <v>71.8</v>
      </c>
      <c r="Z1046" s="7">
        <v>1.5</v>
      </c>
      <c r="AA1046" s="18">
        <v>1</v>
      </c>
      <c r="AB1046" s="16">
        <f>AA1046*10</f>
        <v>10</v>
      </c>
      <c r="AC1046" s="15" t="s">
        <v>89</v>
      </c>
      <c r="AD1046" s="16"/>
      <c r="AE1046" s="1">
        <v>1</v>
      </c>
    </row>
    <row r="1047" spans="1:31" x14ac:dyDescent="0.2">
      <c r="A1047" s="1">
        <v>1046</v>
      </c>
      <c r="B1047" s="1">
        <v>2021</v>
      </c>
      <c r="C1047" s="1" t="s">
        <v>31</v>
      </c>
      <c r="D1047" s="28" t="s">
        <v>914</v>
      </c>
      <c r="E1047" s="1" t="s">
        <v>482</v>
      </c>
      <c r="F1047" s="1" t="s">
        <v>32</v>
      </c>
      <c r="G1047" s="1">
        <v>118</v>
      </c>
      <c r="H1047" s="1" t="s">
        <v>89</v>
      </c>
      <c r="I1047" s="12">
        <v>8.3083212993124995</v>
      </c>
      <c r="J1047" s="12">
        <v>23.738060855000001</v>
      </c>
      <c r="K1047" s="1" t="s">
        <v>89</v>
      </c>
      <c r="L1047" s="16">
        <v>3462.3048696840001</v>
      </c>
      <c r="M1047" s="16" t="s">
        <v>89</v>
      </c>
      <c r="N1047" s="16">
        <v>28768.679944373001</v>
      </c>
      <c r="O1047" s="15">
        <v>38.235736500000002</v>
      </c>
      <c r="P1047" s="15">
        <v>7.7706903570000003</v>
      </c>
      <c r="Q1047" s="15">
        <v>37.251565431000003</v>
      </c>
      <c r="R1047" s="15">
        <v>62.104465236000003</v>
      </c>
      <c r="T1047" s="15">
        <v>21.118816922000001</v>
      </c>
      <c r="U1047" s="15">
        <v>42.357597249000001</v>
      </c>
      <c r="V1047" s="15">
        <v>6.0005871580000001</v>
      </c>
      <c r="W1047" s="12">
        <v>0.72024813038999991</v>
      </c>
      <c r="X1047" s="15"/>
      <c r="Y1047" s="15">
        <v>74.011876243000003</v>
      </c>
      <c r="Z1047" s="12"/>
      <c r="AA1047" s="15">
        <v>1.2721874360000001</v>
      </c>
      <c r="AB1047" s="16">
        <f>AA1047*33.334</f>
        <v>42.407095991624004</v>
      </c>
      <c r="AD1047" s="16"/>
      <c r="AE1047" s="1">
        <v>1</v>
      </c>
    </row>
    <row r="1048" spans="1:31" x14ac:dyDescent="0.2">
      <c r="A1048" s="1">
        <v>1047</v>
      </c>
      <c r="B1048" s="1">
        <v>2021</v>
      </c>
      <c r="C1048" s="1" t="s">
        <v>31</v>
      </c>
      <c r="D1048" s="1" t="s">
        <v>815</v>
      </c>
      <c r="E1048" s="1" t="s">
        <v>826</v>
      </c>
      <c r="F1048" s="1" t="s">
        <v>32</v>
      </c>
      <c r="G1048" s="1">
        <v>118</v>
      </c>
      <c r="H1048" s="1" t="s">
        <v>89</v>
      </c>
      <c r="I1048" s="12">
        <v>7.5127238182709997</v>
      </c>
      <c r="J1048" s="12">
        <v>21.464925194999999</v>
      </c>
      <c r="K1048" s="1" t="s">
        <v>89</v>
      </c>
      <c r="L1048" s="16">
        <v>3463.231738685</v>
      </c>
      <c r="M1048" s="16" t="s">
        <v>89</v>
      </c>
      <c r="N1048" s="16">
        <v>26288.859790409999</v>
      </c>
      <c r="O1048" s="15">
        <v>41.169350899999998</v>
      </c>
      <c r="P1048" s="15">
        <v>7.5230165199999997</v>
      </c>
      <c r="Q1048" s="15">
        <v>36.542456274000003</v>
      </c>
      <c r="R1048" s="15">
        <v>60.803880366000001</v>
      </c>
      <c r="T1048" s="15">
        <v>20.687561544000001</v>
      </c>
      <c r="U1048" s="15">
        <v>43.877392315000002</v>
      </c>
      <c r="V1048" s="15">
        <v>6.1830608280000003</v>
      </c>
      <c r="W1048" s="12">
        <v>0.72165076103999992</v>
      </c>
      <c r="X1048" s="15"/>
      <c r="Y1048" s="15">
        <v>73.863589086999994</v>
      </c>
      <c r="Z1048" s="12"/>
      <c r="AA1048" s="15">
        <v>1.791797114</v>
      </c>
      <c r="AB1048" s="16">
        <f>AA1048*33.334</f>
        <v>59.727764998076005</v>
      </c>
      <c r="AD1048" s="16"/>
      <c r="AE1048" s="1">
        <v>1</v>
      </c>
    </row>
    <row r="1049" spans="1:31" x14ac:dyDescent="0.2">
      <c r="A1049" s="1">
        <v>1048</v>
      </c>
      <c r="B1049" s="1">
        <v>2009</v>
      </c>
      <c r="C1049" s="1" t="s">
        <v>31</v>
      </c>
      <c r="D1049" s="8" t="s">
        <v>71</v>
      </c>
      <c r="E1049" s="8" t="s">
        <v>132</v>
      </c>
      <c r="F1049" s="1" t="s">
        <v>83</v>
      </c>
      <c r="I1049" s="12">
        <v>6.6</v>
      </c>
      <c r="J1049" s="7">
        <v>18.899999999999999</v>
      </c>
      <c r="K1049" s="1" t="s">
        <v>34</v>
      </c>
      <c r="L1049" s="14">
        <v>3465</v>
      </c>
      <c r="M1049" s="14"/>
      <c r="N1049" s="14">
        <v>22911</v>
      </c>
      <c r="O1049" s="13">
        <v>29.8</v>
      </c>
      <c r="P1049" s="13">
        <v>9.42</v>
      </c>
      <c r="Q1049" s="13">
        <v>39.700000000000003</v>
      </c>
      <c r="R1049" s="13">
        <v>51.3</v>
      </c>
      <c r="S1049" s="8"/>
      <c r="T1049" s="13">
        <v>24.7</v>
      </c>
      <c r="U1049" s="13">
        <v>36.5</v>
      </c>
      <c r="V1049" s="15"/>
      <c r="W1049" s="7" t="s">
        <v>89</v>
      </c>
      <c r="X1049" s="13"/>
      <c r="Y1049" s="13">
        <v>73.5</v>
      </c>
      <c r="Z1049" s="7">
        <v>1.34</v>
      </c>
      <c r="AB1049" s="16"/>
      <c r="AD1049" s="16"/>
      <c r="AE1049" s="1">
        <v>1</v>
      </c>
    </row>
    <row r="1050" spans="1:31" x14ac:dyDescent="0.2">
      <c r="A1050" s="1">
        <v>1049</v>
      </c>
      <c r="B1050" s="1">
        <v>2015</v>
      </c>
      <c r="C1050" s="8" t="s">
        <v>31</v>
      </c>
      <c r="D1050" s="8" t="s">
        <v>291</v>
      </c>
      <c r="E1050" s="8" t="s">
        <v>437</v>
      </c>
      <c r="F1050" s="1" t="s">
        <v>32</v>
      </c>
      <c r="G1050" s="8">
        <v>120</v>
      </c>
      <c r="I1050" s="12">
        <v>8.84</v>
      </c>
      <c r="J1050" s="7">
        <v>25.25714285714286</v>
      </c>
      <c r="L1050" s="14">
        <v>3465</v>
      </c>
      <c r="N1050" s="14">
        <v>30640</v>
      </c>
      <c r="O1050" s="13">
        <v>31.3</v>
      </c>
      <c r="P1050" s="13">
        <v>7.1</v>
      </c>
      <c r="Q1050" s="13">
        <v>38.799999999999997</v>
      </c>
      <c r="R1050" s="13">
        <v>50.1</v>
      </c>
      <c r="S1050" s="8"/>
      <c r="T1050" s="13">
        <v>26.2</v>
      </c>
      <c r="U1050" s="13">
        <v>33.299999999999997</v>
      </c>
      <c r="V1050" s="13">
        <v>3.7</v>
      </c>
      <c r="W1050" s="7">
        <v>0.74</v>
      </c>
      <c r="X1050" s="13"/>
      <c r="Y1050" s="13">
        <v>72.8</v>
      </c>
      <c r="Z1050" s="7">
        <v>1.72</v>
      </c>
      <c r="AA1050" s="1" t="s">
        <v>89</v>
      </c>
      <c r="AB1050" s="16" t="s">
        <v>89</v>
      </c>
      <c r="AC1050" s="1" t="s">
        <v>89</v>
      </c>
      <c r="AD1050" s="16" t="s">
        <v>89</v>
      </c>
      <c r="AE1050" s="1">
        <v>1</v>
      </c>
    </row>
    <row r="1051" spans="1:31" x14ac:dyDescent="0.2">
      <c r="A1051" s="1">
        <v>1050</v>
      </c>
      <c r="B1051" s="1">
        <v>2021</v>
      </c>
      <c r="C1051" s="1" t="s">
        <v>31</v>
      </c>
      <c r="D1051" s="1" t="s">
        <v>805</v>
      </c>
      <c r="E1051" s="1" t="s">
        <v>716</v>
      </c>
      <c r="F1051" s="1" t="s">
        <v>32</v>
      </c>
      <c r="G1051" s="1">
        <v>118</v>
      </c>
      <c r="H1051" s="1" t="s">
        <v>89</v>
      </c>
      <c r="I1051" s="12">
        <v>8.5205524004100006</v>
      </c>
      <c r="J1051" s="12">
        <v>24.344435430000001</v>
      </c>
      <c r="K1051" s="1" t="s">
        <v>89</v>
      </c>
      <c r="L1051" s="16">
        <v>3465.3048696840001</v>
      </c>
      <c r="M1051" s="16" t="s">
        <v>89</v>
      </c>
      <c r="N1051" s="16">
        <v>29634.447756885998</v>
      </c>
      <c r="O1051" s="15">
        <v>38.888173899999998</v>
      </c>
      <c r="P1051" s="15">
        <v>7.6456903570000003</v>
      </c>
      <c r="Q1051" s="15">
        <v>35.641565430999997</v>
      </c>
      <c r="R1051" s="15">
        <v>59.854465236000003</v>
      </c>
      <c r="T1051" s="15">
        <v>19.798816922</v>
      </c>
      <c r="U1051" s="15">
        <v>44.767597248999998</v>
      </c>
      <c r="V1051" s="15">
        <v>5.9555871580000002</v>
      </c>
      <c r="W1051" s="12">
        <v>0.72287313039000001</v>
      </c>
      <c r="X1051" s="15"/>
      <c r="Y1051" s="15">
        <v>73.756876242999994</v>
      </c>
      <c r="Z1051" s="12"/>
      <c r="AA1051" s="15">
        <v>0.397187436</v>
      </c>
      <c r="AB1051" s="16">
        <f>AA1051*33.334</f>
        <v>13.239845991624001</v>
      </c>
      <c r="AD1051" s="16"/>
      <c r="AE1051" s="1">
        <v>1</v>
      </c>
    </row>
    <row r="1052" spans="1:31" x14ac:dyDescent="0.2">
      <c r="A1052" s="1">
        <v>1051</v>
      </c>
      <c r="B1052" s="1">
        <v>2017</v>
      </c>
      <c r="C1052" s="1" t="s">
        <v>88</v>
      </c>
      <c r="D1052" s="1" t="s">
        <v>187</v>
      </c>
      <c r="E1052" s="1" t="s">
        <v>630</v>
      </c>
      <c r="F1052" s="1" t="s">
        <v>32</v>
      </c>
      <c r="I1052" s="12">
        <v>5.4955122699999999</v>
      </c>
      <c r="J1052" s="3">
        <v>15.7014636</v>
      </c>
      <c r="K1052" s="1" t="s">
        <v>34</v>
      </c>
      <c r="L1052" s="5">
        <v>3467</v>
      </c>
      <c r="M1052" s="1" t="s">
        <v>34</v>
      </c>
      <c r="N1052" s="5">
        <v>19058</v>
      </c>
      <c r="O1052" s="6">
        <v>31.296507399999999</v>
      </c>
      <c r="P1052" s="6">
        <v>6.3</v>
      </c>
      <c r="Q1052" s="6">
        <v>48.2</v>
      </c>
      <c r="R1052" s="15">
        <v>53.195</v>
      </c>
      <c r="S1052" s="15">
        <v>18.100000000000001</v>
      </c>
      <c r="U1052" s="6">
        <v>23.8</v>
      </c>
      <c r="V1052" s="6">
        <v>9.6999999999999993</v>
      </c>
      <c r="W1052" s="3">
        <v>0.68099999999999994</v>
      </c>
      <c r="X1052" s="6"/>
      <c r="Y1052" s="15">
        <v>66.3</v>
      </c>
      <c r="Z1052" s="3">
        <v>1.40536054</v>
      </c>
      <c r="AB1052" s="16"/>
      <c r="AD1052" s="16"/>
      <c r="AE1052" s="1">
        <v>1</v>
      </c>
    </row>
    <row r="1053" spans="1:31" x14ac:dyDescent="0.2">
      <c r="A1053" s="1">
        <v>1052</v>
      </c>
      <c r="B1053" s="1">
        <v>2017</v>
      </c>
      <c r="C1053" s="1" t="s">
        <v>31</v>
      </c>
      <c r="D1053" s="1" t="s">
        <v>916</v>
      </c>
      <c r="E1053" s="8" t="s">
        <v>603</v>
      </c>
      <c r="F1053" s="1" t="s">
        <v>32</v>
      </c>
      <c r="G1053" s="1">
        <v>118</v>
      </c>
      <c r="I1053" s="12">
        <v>7.7601017499999996</v>
      </c>
      <c r="J1053" s="3">
        <v>22.171719299999999</v>
      </c>
      <c r="L1053" s="5">
        <v>3467.75</v>
      </c>
      <c r="N1053" s="5">
        <v>26948.984199999999</v>
      </c>
      <c r="O1053" s="6">
        <v>29.779408199999999</v>
      </c>
      <c r="P1053" s="6">
        <v>7.6449999999999996</v>
      </c>
      <c r="Q1053" s="6">
        <v>41.31</v>
      </c>
      <c r="R1053" s="6">
        <v>54.984999999999999</v>
      </c>
      <c r="S1053" s="3"/>
      <c r="T1053" s="6">
        <v>24.677499999999998</v>
      </c>
      <c r="U1053" s="6">
        <v>33.677500000000002</v>
      </c>
      <c r="V1053" s="6">
        <v>4.0999999999999996</v>
      </c>
      <c r="W1053" s="3">
        <v>0.76434440000000015</v>
      </c>
      <c r="X1053" s="6"/>
      <c r="Y1053" s="6">
        <v>70.862499999999997</v>
      </c>
      <c r="Z1053" s="3">
        <v>1.75547947</v>
      </c>
      <c r="AB1053" s="16"/>
      <c r="AD1053" s="16"/>
      <c r="AE1053" s="1">
        <v>1</v>
      </c>
    </row>
    <row r="1054" spans="1:31" x14ac:dyDescent="0.2">
      <c r="A1054" s="1">
        <v>1053</v>
      </c>
      <c r="B1054" s="1">
        <v>2008</v>
      </c>
      <c r="C1054" s="1" t="s">
        <v>31</v>
      </c>
      <c r="D1054" s="8" t="s">
        <v>35</v>
      </c>
      <c r="E1054" s="8">
        <v>9852</v>
      </c>
      <c r="F1054" s="8" t="s">
        <v>32</v>
      </c>
      <c r="G1054" s="8"/>
      <c r="H1054" s="8"/>
      <c r="I1054" s="12">
        <v>7.63</v>
      </c>
      <c r="J1054" s="7">
        <v>21.8</v>
      </c>
      <c r="K1054" s="13"/>
      <c r="L1054" s="14">
        <v>3468</v>
      </c>
      <c r="M1054" s="14"/>
      <c r="N1054" s="14">
        <v>26474</v>
      </c>
      <c r="O1054" s="13">
        <v>29.7</v>
      </c>
      <c r="P1054" s="13">
        <v>9.9</v>
      </c>
      <c r="Q1054" s="13">
        <v>41</v>
      </c>
      <c r="R1054" s="13">
        <v>62.2</v>
      </c>
      <c r="S1054" s="13"/>
      <c r="T1054" s="13"/>
      <c r="U1054" s="13">
        <v>31.9</v>
      </c>
      <c r="V1054" s="13"/>
      <c r="W1054" s="13"/>
      <c r="X1054" s="15"/>
      <c r="Y1054" s="13">
        <v>73.7</v>
      </c>
      <c r="Z1054" s="7">
        <v>1.95</v>
      </c>
      <c r="AB1054" s="16"/>
      <c r="AD1054" s="16"/>
      <c r="AE1054" s="1">
        <v>1</v>
      </c>
    </row>
    <row r="1055" spans="1:31" x14ac:dyDescent="0.2">
      <c r="A1055" s="1">
        <v>1054</v>
      </c>
      <c r="B1055" s="1">
        <v>2015</v>
      </c>
      <c r="C1055" s="8" t="s">
        <v>31</v>
      </c>
      <c r="D1055" s="1" t="s">
        <v>916</v>
      </c>
      <c r="E1055" s="8" t="s">
        <v>414</v>
      </c>
      <c r="F1055" s="1" t="s">
        <v>32</v>
      </c>
      <c r="G1055" s="8">
        <v>124</v>
      </c>
      <c r="I1055" s="12">
        <v>8.5399999999999991</v>
      </c>
      <c r="J1055" s="7">
        <v>24.4</v>
      </c>
      <c r="L1055" s="14">
        <v>3468</v>
      </c>
      <c r="N1055" s="14">
        <v>29594</v>
      </c>
      <c r="O1055" s="13">
        <v>31</v>
      </c>
      <c r="P1055" s="13">
        <v>7.7</v>
      </c>
      <c r="Q1055" s="13">
        <v>43</v>
      </c>
      <c r="R1055" s="13">
        <v>53.7</v>
      </c>
      <c r="S1055" s="8"/>
      <c r="T1055" s="13">
        <v>27.2</v>
      </c>
      <c r="U1055" s="13">
        <v>29.5</v>
      </c>
      <c r="V1055" s="13">
        <v>3.9</v>
      </c>
      <c r="W1055" s="7">
        <v>0.73</v>
      </c>
      <c r="X1055" s="13"/>
      <c r="Y1055" s="13">
        <v>73.2</v>
      </c>
      <c r="Z1055" s="7">
        <v>1.98</v>
      </c>
      <c r="AA1055" s="1" t="s">
        <v>89</v>
      </c>
      <c r="AB1055" s="16" t="s">
        <v>89</v>
      </c>
      <c r="AC1055" s="1" t="s">
        <v>89</v>
      </c>
      <c r="AD1055" s="16" t="s">
        <v>89</v>
      </c>
      <c r="AE1055" s="1">
        <v>1</v>
      </c>
    </row>
    <row r="1056" spans="1:31" x14ac:dyDescent="0.2">
      <c r="A1056" s="1">
        <v>1055</v>
      </c>
      <c r="B1056" s="1">
        <v>2012</v>
      </c>
      <c r="C1056" s="1" t="s">
        <v>31</v>
      </c>
      <c r="D1056" s="1" t="s">
        <v>916</v>
      </c>
      <c r="E1056" s="1" t="s">
        <v>280</v>
      </c>
      <c r="F1056" s="1" t="s">
        <v>32</v>
      </c>
      <c r="I1056" s="12">
        <v>8.9700000000000006</v>
      </c>
      <c r="J1056" s="12">
        <v>25.6</v>
      </c>
      <c r="L1056" s="16">
        <v>3468</v>
      </c>
      <c r="N1056" s="16">
        <v>31138</v>
      </c>
      <c r="O1056" s="15">
        <v>30.8</v>
      </c>
      <c r="P1056" s="15">
        <v>7</v>
      </c>
      <c r="Q1056" s="15">
        <v>44.9</v>
      </c>
      <c r="R1056" s="15">
        <v>62.9</v>
      </c>
      <c r="T1056" s="15"/>
      <c r="U1056" s="15">
        <v>31.7</v>
      </c>
      <c r="V1056" s="15">
        <v>7.1</v>
      </c>
      <c r="W1056" s="12">
        <v>0.73</v>
      </c>
      <c r="X1056" s="15"/>
      <c r="Y1056" s="15"/>
      <c r="Z1056" s="12">
        <v>2.52</v>
      </c>
      <c r="AB1056" s="16"/>
      <c r="AD1056" s="16"/>
      <c r="AE1056" s="1">
        <v>1</v>
      </c>
    </row>
    <row r="1057" spans="1:31" x14ac:dyDescent="0.2">
      <c r="A1057" s="1">
        <v>1056</v>
      </c>
      <c r="B1057" s="1">
        <v>2013</v>
      </c>
      <c r="C1057" s="1" t="s">
        <v>31</v>
      </c>
      <c r="D1057" s="8" t="s">
        <v>33</v>
      </c>
      <c r="E1057" s="8" t="s">
        <v>104</v>
      </c>
      <c r="F1057" s="1" t="s">
        <v>32</v>
      </c>
      <c r="G1057" s="8">
        <v>120</v>
      </c>
      <c r="H1057" s="8"/>
      <c r="I1057" s="12">
        <v>9.33</v>
      </c>
      <c r="J1057" s="7">
        <v>26.657142857142901</v>
      </c>
      <c r="K1057" s="13" t="s">
        <v>34</v>
      </c>
      <c r="L1057" s="14">
        <v>3468</v>
      </c>
      <c r="M1057" s="14"/>
      <c r="N1057" s="14">
        <v>32324</v>
      </c>
      <c r="O1057" s="13">
        <v>31.8</v>
      </c>
      <c r="P1057" s="13">
        <v>7.4</v>
      </c>
      <c r="Q1057" s="13">
        <v>34.799999999999997</v>
      </c>
      <c r="R1057" s="13">
        <v>48.1</v>
      </c>
      <c r="S1057" s="13" t="s">
        <v>89</v>
      </c>
      <c r="T1057" s="13"/>
      <c r="U1057" s="13">
        <v>39.299999999999997</v>
      </c>
      <c r="V1057" s="13">
        <v>3.5</v>
      </c>
      <c r="W1057" s="7">
        <v>0.75</v>
      </c>
      <c r="X1057" s="15" t="s">
        <v>89</v>
      </c>
      <c r="Y1057" s="15" t="s">
        <v>89</v>
      </c>
      <c r="Z1057" s="7">
        <v>1.55</v>
      </c>
      <c r="AB1057" s="16"/>
      <c r="AD1057" s="16"/>
      <c r="AE1057" s="1">
        <v>1</v>
      </c>
    </row>
    <row r="1058" spans="1:31" x14ac:dyDescent="0.2">
      <c r="A1058" s="1">
        <v>1057</v>
      </c>
      <c r="B1058" s="1">
        <v>2010</v>
      </c>
      <c r="C1058" s="1" t="s">
        <v>31</v>
      </c>
      <c r="D1058" s="8" t="s">
        <v>874</v>
      </c>
      <c r="E1058" s="8" t="s">
        <v>163</v>
      </c>
      <c r="F1058" s="1" t="s">
        <v>32</v>
      </c>
      <c r="I1058" s="12">
        <v>10.52</v>
      </c>
      <c r="J1058" s="7">
        <v>24.9</v>
      </c>
      <c r="L1058" s="14">
        <v>3468</v>
      </c>
      <c r="N1058" s="14">
        <v>36444</v>
      </c>
      <c r="O1058" s="13">
        <v>33.200000000000003</v>
      </c>
      <c r="P1058" s="13">
        <v>9.8000000000000007</v>
      </c>
      <c r="Q1058" s="13">
        <v>42.5</v>
      </c>
      <c r="R1058" s="13">
        <v>57.7</v>
      </c>
      <c r="S1058" s="13"/>
      <c r="T1058" s="15"/>
      <c r="U1058" s="13">
        <v>35.5</v>
      </c>
      <c r="V1058" s="13">
        <v>6.7</v>
      </c>
      <c r="W1058" s="12"/>
      <c r="X1058" s="15"/>
      <c r="Y1058" s="13">
        <v>71.599999999999994</v>
      </c>
      <c r="Z1058" s="7">
        <v>2.58</v>
      </c>
      <c r="AB1058" s="16"/>
      <c r="AD1058" s="16"/>
      <c r="AE1058" s="1">
        <v>1</v>
      </c>
    </row>
    <row r="1059" spans="1:31" x14ac:dyDescent="0.2">
      <c r="A1059" s="1">
        <v>1058</v>
      </c>
      <c r="B1059" s="1">
        <v>2021</v>
      </c>
      <c r="C1059" s="1" t="s">
        <v>31</v>
      </c>
      <c r="D1059" s="1" t="s">
        <v>37</v>
      </c>
      <c r="E1059" s="1" t="s">
        <v>724</v>
      </c>
      <c r="F1059" s="1" t="s">
        <v>32</v>
      </c>
      <c r="G1059" s="1">
        <v>118</v>
      </c>
      <c r="H1059" s="1" t="s">
        <v>89</v>
      </c>
      <c r="I1059" s="12">
        <v>8.0417507624874993</v>
      </c>
      <c r="J1059" s="12">
        <v>22.976430749999999</v>
      </c>
      <c r="K1059" s="1" t="s">
        <v>89</v>
      </c>
      <c r="L1059" s="16">
        <v>3468.6462619980002</v>
      </c>
      <c r="M1059" s="16" t="s">
        <v>89</v>
      </c>
      <c r="N1059" s="16">
        <v>27829.022194020999</v>
      </c>
      <c r="O1059" s="15">
        <v>39.012151699999997</v>
      </c>
      <c r="P1059" s="15">
        <v>7.6203476730000004</v>
      </c>
      <c r="Q1059" s="15">
        <v>36.475718313000002</v>
      </c>
      <c r="R1059" s="15">
        <v>60.523669738000002</v>
      </c>
      <c r="T1059" s="15">
        <v>20.520010756000001</v>
      </c>
      <c r="U1059" s="15">
        <v>42.84290987</v>
      </c>
      <c r="V1059" s="15">
        <v>6.2675526599999998</v>
      </c>
      <c r="W1059" s="12">
        <v>0.72279473868999999</v>
      </c>
      <c r="X1059" s="15"/>
      <c r="Y1059" s="15">
        <v>73.906574312999993</v>
      </c>
      <c r="Z1059" s="12"/>
      <c r="AA1059" s="15">
        <v>0.71078064399999996</v>
      </c>
      <c r="AB1059" s="16">
        <f>AA1059*33.334</f>
        <v>23.693161987096001</v>
      </c>
      <c r="AD1059" s="16"/>
      <c r="AE1059" s="1">
        <v>1</v>
      </c>
    </row>
    <row r="1060" spans="1:31" x14ac:dyDescent="0.2">
      <c r="A1060" s="1">
        <v>1059</v>
      </c>
      <c r="B1060" s="1">
        <v>2010</v>
      </c>
      <c r="C1060" s="1" t="s">
        <v>31</v>
      </c>
      <c r="D1060" s="8" t="s">
        <v>874</v>
      </c>
      <c r="E1060" s="8" t="s">
        <v>163</v>
      </c>
      <c r="F1060" s="1" t="s">
        <v>83</v>
      </c>
      <c r="I1060" s="12">
        <v>7.15</v>
      </c>
      <c r="J1060" s="7">
        <v>20.428571428571399</v>
      </c>
      <c r="L1060" s="14">
        <v>3470</v>
      </c>
      <c r="N1060" s="14">
        <v>24821</v>
      </c>
      <c r="O1060" s="13">
        <v>30.5</v>
      </c>
      <c r="P1060" s="13">
        <v>8.6</v>
      </c>
      <c r="Q1060" s="13">
        <v>42.6</v>
      </c>
      <c r="R1060" s="13">
        <v>55.8</v>
      </c>
      <c r="S1060" s="13"/>
      <c r="T1060" s="15"/>
      <c r="U1060" s="13">
        <v>33.799999999999997</v>
      </c>
      <c r="V1060" s="13">
        <v>5.8</v>
      </c>
      <c r="W1060" s="12"/>
      <c r="X1060" s="15"/>
      <c r="Y1060" s="13">
        <v>71.099999999999994</v>
      </c>
      <c r="Z1060" s="7">
        <v>1.7</v>
      </c>
      <c r="AB1060" s="16"/>
      <c r="AD1060" s="16"/>
      <c r="AE1060" s="1">
        <v>1</v>
      </c>
    </row>
    <row r="1061" spans="1:31" x14ac:dyDescent="0.2">
      <c r="A1061" s="1">
        <v>1060</v>
      </c>
      <c r="B1061" s="1">
        <v>2017</v>
      </c>
      <c r="C1061" s="1" t="s">
        <v>31</v>
      </c>
      <c r="D1061" s="1" t="s">
        <v>805</v>
      </c>
      <c r="E1061" s="8" t="s">
        <v>612</v>
      </c>
      <c r="F1061" s="1" t="s">
        <v>32</v>
      </c>
      <c r="G1061" s="1">
        <v>120</v>
      </c>
      <c r="I1061" s="12">
        <v>8.6347845000000003</v>
      </c>
      <c r="J1061" s="3">
        <v>24.670812900000001</v>
      </c>
      <c r="L1061" s="5">
        <v>3470</v>
      </c>
      <c r="N1061" s="5">
        <v>29903.3007</v>
      </c>
      <c r="O1061" s="6">
        <v>33.799999999999997</v>
      </c>
      <c r="P1061" s="6">
        <v>7.1974999999999998</v>
      </c>
      <c r="Q1061" s="6">
        <v>39.08</v>
      </c>
      <c r="R1061" s="6">
        <v>53.037500000000001</v>
      </c>
      <c r="S1061" s="3"/>
      <c r="T1061" s="6">
        <v>22.982500000000002</v>
      </c>
      <c r="U1061" s="6">
        <v>37.244999999999997</v>
      </c>
      <c r="V1061" s="6">
        <v>3.4049999999999998</v>
      </c>
      <c r="W1061" s="3">
        <v>0.78403434999999999</v>
      </c>
      <c r="X1061" s="6"/>
      <c r="Y1061" s="6">
        <v>72.45</v>
      </c>
      <c r="Z1061" s="3">
        <v>1.7974935400000001</v>
      </c>
      <c r="AB1061" s="16"/>
      <c r="AD1061" s="16"/>
      <c r="AE1061" s="1">
        <v>1</v>
      </c>
    </row>
    <row r="1062" spans="1:31" x14ac:dyDescent="0.2">
      <c r="A1062" s="1">
        <v>1061</v>
      </c>
      <c r="B1062" s="1">
        <v>2010</v>
      </c>
      <c r="C1062" s="1" t="s">
        <v>31</v>
      </c>
      <c r="D1062" s="8" t="s">
        <v>71</v>
      </c>
      <c r="E1062" s="8" t="s">
        <v>181</v>
      </c>
      <c r="F1062" s="1" t="s">
        <v>32</v>
      </c>
      <c r="I1062" s="12">
        <v>9.65</v>
      </c>
      <c r="J1062" s="7">
        <v>27.571428571428601</v>
      </c>
      <c r="L1062" s="14">
        <v>3470</v>
      </c>
      <c r="N1062" s="14">
        <v>33480</v>
      </c>
      <c r="O1062" s="13">
        <v>31.8</v>
      </c>
      <c r="P1062" s="13">
        <v>9.6999999999999993</v>
      </c>
      <c r="Q1062" s="13">
        <v>44.4</v>
      </c>
      <c r="R1062" s="13">
        <v>58.4</v>
      </c>
      <c r="S1062" s="13"/>
      <c r="T1062" s="15"/>
      <c r="U1062" s="13">
        <v>33.200000000000003</v>
      </c>
      <c r="V1062" s="13">
        <v>7</v>
      </c>
      <c r="W1062" s="12"/>
      <c r="X1062" s="15"/>
      <c r="Y1062" s="13">
        <v>70.8</v>
      </c>
      <c r="Z1062" s="7">
        <v>2.5</v>
      </c>
      <c r="AB1062" s="16"/>
      <c r="AD1062" s="16"/>
      <c r="AE1062" s="1">
        <v>1</v>
      </c>
    </row>
    <row r="1063" spans="1:31" x14ac:dyDescent="0.2">
      <c r="A1063" s="1">
        <v>1062</v>
      </c>
      <c r="B1063" s="1">
        <v>2019</v>
      </c>
      <c r="C1063" s="1" t="s">
        <v>31</v>
      </c>
      <c r="D1063" s="1" t="s">
        <v>700</v>
      </c>
      <c r="E1063" s="1" t="s">
        <v>704</v>
      </c>
      <c r="F1063" s="1" t="s">
        <v>32</v>
      </c>
      <c r="G1063" s="1">
        <v>116</v>
      </c>
      <c r="H1063" s="1" t="s">
        <v>34</v>
      </c>
      <c r="I1063" s="12">
        <v>10.1</v>
      </c>
      <c r="J1063" s="7">
        <v>28.8</v>
      </c>
      <c r="L1063" s="5">
        <v>3470.5</v>
      </c>
      <c r="M1063" s="1" t="s">
        <v>34</v>
      </c>
      <c r="N1063" s="5">
        <v>35537</v>
      </c>
      <c r="O1063" s="6">
        <v>28.995000000000001</v>
      </c>
      <c r="P1063" s="6">
        <v>9.5</v>
      </c>
      <c r="Q1063" s="6">
        <v>41.63</v>
      </c>
      <c r="R1063" s="6">
        <v>57.452500000000001</v>
      </c>
      <c r="S1063" s="3"/>
      <c r="T1063" s="6">
        <v>23.5075</v>
      </c>
      <c r="U1063" s="6">
        <v>31.5275</v>
      </c>
      <c r="V1063" s="6">
        <v>8.4949999999999992</v>
      </c>
      <c r="W1063" s="3">
        <v>0.72665000000000002</v>
      </c>
      <c r="X1063" s="6"/>
      <c r="Y1063" s="6">
        <v>70.147499999999994</v>
      </c>
      <c r="Z1063" s="3">
        <v>2.2999999999999998</v>
      </c>
      <c r="AB1063" s="16"/>
      <c r="AD1063" s="16"/>
      <c r="AE1063" s="1">
        <v>1</v>
      </c>
    </row>
    <row r="1064" spans="1:31" x14ac:dyDescent="0.2">
      <c r="A1064" s="1">
        <v>1063</v>
      </c>
      <c r="B1064" s="1">
        <v>2013</v>
      </c>
      <c r="C1064" s="1" t="s">
        <v>31</v>
      </c>
      <c r="D1064" s="8" t="s">
        <v>37</v>
      </c>
      <c r="E1064" s="8" t="s">
        <v>372</v>
      </c>
      <c r="F1064" s="1" t="s">
        <v>32</v>
      </c>
      <c r="G1064" s="8">
        <v>113</v>
      </c>
      <c r="H1064" s="8"/>
      <c r="I1064" s="12">
        <v>8.1999999999999993</v>
      </c>
      <c r="J1064" s="7">
        <v>23.428571428571399</v>
      </c>
      <c r="K1064" s="13" t="s">
        <v>34</v>
      </c>
      <c r="L1064" s="14">
        <v>3471</v>
      </c>
      <c r="M1064" s="14"/>
      <c r="N1064" s="14">
        <v>28461</v>
      </c>
      <c r="O1064" s="13">
        <v>29.2</v>
      </c>
      <c r="P1064" s="13">
        <v>8</v>
      </c>
      <c r="Q1064" s="13">
        <v>42.3</v>
      </c>
      <c r="R1064" s="13">
        <v>60.8</v>
      </c>
      <c r="S1064" s="13"/>
      <c r="T1064" s="13"/>
      <c r="U1064" s="13">
        <v>27</v>
      </c>
      <c r="V1064" s="13">
        <v>7.7</v>
      </c>
      <c r="W1064" s="7">
        <v>0.73</v>
      </c>
      <c r="X1064" s="15"/>
      <c r="Y1064" s="15"/>
      <c r="Z1064" s="7">
        <v>2.11</v>
      </c>
      <c r="AB1064" s="16"/>
      <c r="AD1064" s="16"/>
      <c r="AE1064" s="1">
        <v>1</v>
      </c>
    </row>
    <row r="1065" spans="1:31" x14ac:dyDescent="0.2">
      <c r="A1065" s="1">
        <v>1064</v>
      </c>
      <c r="B1065" s="1">
        <v>2014</v>
      </c>
      <c r="C1065" s="1" t="s">
        <v>88</v>
      </c>
      <c r="D1065" s="1" t="s">
        <v>916</v>
      </c>
      <c r="E1065" s="8" t="s">
        <v>235</v>
      </c>
      <c r="F1065" s="8" t="s">
        <v>83</v>
      </c>
      <c r="G1065" s="8"/>
      <c r="H1065" s="8"/>
      <c r="I1065" s="12">
        <v>8.4700000000000006</v>
      </c>
      <c r="J1065" s="7">
        <v>24.2</v>
      </c>
      <c r="K1065" s="13" t="s">
        <v>34</v>
      </c>
      <c r="L1065" s="14">
        <v>3471</v>
      </c>
      <c r="M1065" s="14"/>
      <c r="N1065" s="14">
        <v>29402</v>
      </c>
      <c r="O1065" s="13">
        <v>30.1</v>
      </c>
      <c r="P1065" s="13">
        <v>9</v>
      </c>
      <c r="Q1065" s="13">
        <v>44.8</v>
      </c>
      <c r="R1065" s="13">
        <v>57.3</v>
      </c>
      <c r="S1065" s="13"/>
      <c r="T1065" s="13"/>
      <c r="U1065" s="13">
        <v>25.6</v>
      </c>
      <c r="V1065" s="13">
        <v>2.6</v>
      </c>
      <c r="W1065" s="7">
        <v>0.66</v>
      </c>
      <c r="X1065" s="15"/>
      <c r="Y1065" s="13">
        <v>64.400000000000006</v>
      </c>
      <c r="Z1065" s="7">
        <v>2.17</v>
      </c>
      <c r="AA1065" s="13">
        <v>4.9000000000000004</v>
      </c>
      <c r="AB1065" s="16">
        <f>AA1065*10</f>
        <v>49</v>
      </c>
      <c r="AC1065" s="8">
        <v>6.8</v>
      </c>
      <c r="AD1065" s="16">
        <f>AC1065*10</f>
        <v>68</v>
      </c>
      <c r="AE1065" s="1">
        <v>1</v>
      </c>
    </row>
    <row r="1066" spans="1:31" x14ac:dyDescent="0.2">
      <c r="A1066" s="1">
        <v>1065</v>
      </c>
      <c r="B1066" s="1">
        <v>2016</v>
      </c>
      <c r="C1066" s="1" t="s">
        <v>31</v>
      </c>
      <c r="D1066" s="8" t="s">
        <v>874</v>
      </c>
      <c r="E1066" s="8" t="s">
        <v>542</v>
      </c>
      <c r="F1066" s="1" t="s">
        <v>32</v>
      </c>
      <c r="G1066" s="8">
        <v>112</v>
      </c>
      <c r="I1066" s="12">
        <v>8.35</v>
      </c>
      <c r="J1066" s="7">
        <v>23.9</v>
      </c>
      <c r="K1066" s="1" t="s">
        <v>34</v>
      </c>
      <c r="L1066" s="14">
        <v>3472</v>
      </c>
      <c r="N1066" s="14">
        <v>28844</v>
      </c>
      <c r="O1066" s="13">
        <v>30.2</v>
      </c>
      <c r="P1066" s="13">
        <v>8.4</v>
      </c>
      <c r="Q1066" s="13">
        <v>41.7</v>
      </c>
      <c r="R1066" s="13">
        <v>55.5</v>
      </c>
      <c r="S1066" s="13"/>
      <c r="T1066" s="13">
        <v>24.3</v>
      </c>
      <c r="U1066" s="13">
        <v>33</v>
      </c>
      <c r="V1066" s="13">
        <v>3.9</v>
      </c>
      <c r="W1066" s="7">
        <v>0.73</v>
      </c>
      <c r="X1066" s="13"/>
      <c r="Y1066" s="13">
        <v>71</v>
      </c>
      <c r="Z1066" s="7">
        <v>1.94</v>
      </c>
      <c r="AA1066" s="15" t="s">
        <v>89</v>
      </c>
      <c r="AB1066" s="16"/>
      <c r="AD1066" s="16"/>
      <c r="AE1066" s="1">
        <v>1</v>
      </c>
    </row>
    <row r="1067" spans="1:31" x14ac:dyDescent="0.2">
      <c r="A1067" s="1">
        <v>1066</v>
      </c>
      <c r="B1067" s="1">
        <v>2014</v>
      </c>
      <c r="C1067" s="1" t="s">
        <v>31</v>
      </c>
      <c r="D1067" s="1" t="s">
        <v>805</v>
      </c>
      <c r="E1067" s="1" t="s">
        <v>420</v>
      </c>
      <c r="F1067" s="1" t="s">
        <v>32</v>
      </c>
      <c r="G1067" s="1">
        <v>116</v>
      </c>
      <c r="I1067" s="12">
        <v>8.59</v>
      </c>
      <c r="J1067" s="12">
        <v>24.5</v>
      </c>
      <c r="L1067" s="16">
        <v>3473</v>
      </c>
      <c r="N1067" s="16">
        <v>29738</v>
      </c>
      <c r="O1067" s="15">
        <v>32.5</v>
      </c>
      <c r="P1067" s="15">
        <v>7.9</v>
      </c>
      <c r="Q1067" s="15">
        <v>41</v>
      </c>
      <c r="R1067" s="15">
        <v>57.9</v>
      </c>
      <c r="T1067" s="15"/>
      <c r="U1067" s="15">
        <v>32.700000000000003</v>
      </c>
      <c r="V1067" s="15">
        <v>5.3</v>
      </c>
      <c r="W1067" s="12">
        <v>0.73</v>
      </c>
      <c r="X1067" s="15"/>
      <c r="Y1067" s="15">
        <v>70.099999999999994</v>
      </c>
      <c r="Z1067" s="12">
        <v>2.06</v>
      </c>
      <c r="AB1067" s="16"/>
      <c r="AD1067" s="16"/>
      <c r="AE1067" s="1">
        <v>1</v>
      </c>
    </row>
    <row r="1068" spans="1:31" x14ac:dyDescent="0.2">
      <c r="A1068" s="1">
        <v>1067</v>
      </c>
      <c r="B1068" s="1">
        <v>2008</v>
      </c>
      <c r="C1068" s="1" t="s">
        <v>31</v>
      </c>
      <c r="D1068" s="1" t="s">
        <v>805</v>
      </c>
      <c r="E1068" s="8" t="s">
        <v>50</v>
      </c>
      <c r="F1068" s="8" t="s">
        <v>32</v>
      </c>
      <c r="G1068" s="8"/>
      <c r="H1068" s="8"/>
      <c r="I1068" s="12">
        <v>9.82</v>
      </c>
      <c r="J1068" s="7">
        <v>30.6</v>
      </c>
      <c r="K1068" s="13"/>
      <c r="L1068" s="14">
        <v>3473</v>
      </c>
      <c r="M1068" s="14"/>
      <c r="N1068" s="14">
        <v>34176</v>
      </c>
      <c r="O1068" s="13">
        <v>37.200000000000003</v>
      </c>
      <c r="P1068" s="13">
        <v>8.9</v>
      </c>
      <c r="Q1068" s="13">
        <v>35.6</v>
      </c>
      <c r="R1068" s="13">
        <v>67.5</v>
      </c>
      <c r="S1068" s="13"/>
      <c r="T1068" s="13"/>
      <c r="U1068" s="13">
        <v>38.5</v>
      </c>
      <c r="V1068" s="13"/>
      <c r="W1068" s="13"/>
      <c r="X1068" s="15"/>
      <c r="Y1068" s="13">
        <v>74.2</v>
      </c>
      <c r="Z1068" s="7">
        <v>2.34</v>
      </c>
      <c r="AB1068" s="16"/>
      <c r="AD1068" s="16"/>
      <c r="AE1068" s="1">
        <v>1</v>
      </c>
    </row>
    <row r="1069" spans="1:31" x14ac:dyDescent="0.2">
      <c r="A1069" s="1">
        <v>1068</v>
      </c>
      <c r="B1069" s="1">
        <v>2016</v>
      </c>
      <c r="C1069" s="1" t="s">
        <v>31</v>
      </c>
      <c r="D1069" s="8" t="s">
        <v>71</v>
      </c>
      <c r="E1069" s="8" t="s">
        <v>560</v>
      </c>
      <c r="F1069" s="1" t="s">
        <v>32</v>
      </c>
      <c r="G1069" s="8">
        <v>117</v>
      </c>
      <c r="H1069" s="1" t="s">
        <v>34</v>
      </c>
      <c r="I1069" s="12">
        <v>9.82</v>
      </c>
      <c r="J1069" s="7">
        <v>28.1</v>
      </c>
      <c r="K1069" s="1" t="s">
        <v>34</v>
      </c>
      <c r="L1069" s="14">
        <v>3473</v>
      </c>
      <c r="M1069" s="1" t="s">
        <v>34</v>
      </c>
      <c r="N1069" s="14">
        <v>34265</v>
      </c>
      <c r="O1069" s="13">
        <v>32.200000000000003</v>
      </c>
      <c r="P1069" s="13">
        <v>8.1999999999999993</v>
      </c>
      <c r="Q1069" s="13">
        <v>40.799999999999997</v>
      </c>
      <c r="R1069" s="13">
        <v>54.3</v>
      </c>
      <c r="S1069" s="13"/>
      <c r="T1069" s="13">
        <v>23.9</v>
      </c>
      <c r="U1069" s="13">
        <v>33.5</v>
      </c>
      <c r="V1069" s="13">
        <v>3.4</v>
      </c>
      <c r="W1069" s="7">
        <v>0.74</v>
      </c>
      <c r="X1069" s="13"/>
      <c r="Y1069" s="13">
        <v>72</v>
      </c>
      <c r="Z1069" s="7">
        <v>2.16</v>
      </c>
      <c r="AA1069" s="15" t="s">
        <v>89</v>
      </c>
      <c r="AB1069" s="16"/>
      <c r="AD1069" s="16"/>
      <c r="AE1069" s="1">
        <v>1</v>
      </c>
    </row>
    <row r="1070" spans="1:31" x14ac:dyDescent="0.2">
      <c r="A1070" s="1">
        <v>1069</v>
      </c>
      <c r="B1070" s="1">
        <v>2009</v>
      </c>
      <c r="C1070" s="1" t="s">
        <v>31</v>
      </c>
      <c r="D1070" s="8" t="s">
        <v>33</v>
      </c>
      <c r="E1070" s="8">
        <v>8920</v>
      </c>
      <c r="F1070" s="1" t="s">
        <v>32</v>
      </c>
      <c r="I1070" s="12">
        <v>5.24</v>
      </c>
      <c r="J1070" s="7">
        <v>14.9714285714286</v>
      </c>
      <c r="L1070" s="14">
        <v>3474</v>
      </c>
      <c r="N1070" s="14">
        <v>18216</v>
      </c>
      <c r="O1070" s="13">
        <v>29</v>
      </c>
      <c r="P1070" s="13">
        <v>8.4</v>
      </c>
      <c r="Q1070" s="13">
        <v>44</v>
      </c>
      <c r="R1070" s="13">
        <v>57.5</v>
      </c>
      <c r="S1070" s="13"/>
      <c r="T1070" s="15" t="s">
        <v>89</v>
      </c>
      <c r="U1070" s="13">
        <v>33.200000000000003</v>
      </c>
      <c r="V1070" s="13">
        <v>7.5</v>
      </c>
      <c r="W1070" s="12" t="s">
        <v>89</v>
      </c>
      <c r="X1070" s="15"/>
      <c r="Y1070" s="13">
        <v>73.8</v>
      </c>
      <c r="Z1070" s="7">
        <v>1.33</v>
      </c>
      <c r="AB1070" s="16"/>
      <c r="AD1070" s="16"/>
      <c r="AE1070" s="1">
        <v>1</v>
      </c>
    </row>
    <row r="1071" spans="1:31" x14ac:dyDescent="0.2">
      <c r="A1071" s="1">
        <v>1070</v>
      </c>
      <c r="B1071" s="1">
        <v>2016</v>
      </c>
      <c r="C1071" s="1" t="s">
        <v>31</v>
      </c>
      <c r="D1071" s="19" t="s">
        <v>985</v>
      </c>
      <c r="E1071" s="8" t="s">
        <v>527</v>
      </c>
      <c r="F1071" s="1" t="s">
        <v>32</v>
      </c>
      <c r="G1071" s="8">
        <v>113</v>
      </c>
      <c r="I1071" s="12">
        <v>7.62</v>
      </c>
      <c r="J1071" s="7">
        <v>21.771428571428601</v>
      </c>
      <c r="K1071" s="1" t="s">
        <v>34</v>
      </c>
      <c r="L1071" s="14">
        <v>3474</v>
      </c>
      <c r="N1071" s="14">
        <v>26564</v>
      </c>
      <c r="O1071" s="13">
        <v>30.7</v>
      </c>
      <c r="P1071" s="13">
        <v>8.1</v>
      </c>
      <c r="Q1071" s="13">
        <v>40.700000000000003</v>
      </c>
      <c r="R1071" s="13">
        <v>55</v>
      </c>
      <c r="S1071" s="13"/>
      <c r="T1071" s="13">
        <v>23.6</v>
      </c>
      <c r="U1071" s="13">
        <v>34.9</v>
      </c>
      <c r="V1071" s="13">
        <v>3.6</v>
      </c>
      <c r="W1071" s="7">
        <v>0.74</v>
      </c>
      <c r="X1071" s="13"/>
      <c r="Y1071" s="13">
        <v>71.599999999999994</v>
      </c>
      <c r="Z1071" s="7">
        <v>1.7</v>
      </c>
      <c r="AA1071" s="15" t="s">
        <v>89</v>
      </c>
      <c r="AB1071" s="16"/>
      <c r="AD1071" s="16"/>
      <c r="AE1071" s="1">
        <v>1</v>
      </c>
    </row>
    <row r="1072" spans="1:31" x14ac:dyDescent="0.2">
      <c r="A1072" s="1">
        <v>1071</v>
      </c>
      <c r="B1072" s="1">
        <v>2021</v>
      </c>
      <c r="C1072" s="1" t="s">
        <v>31</v>
      </c>
      <c r="D1072" s="1" t="s">
        <v>37</v>
      </c>
      <c r="E1072" s="1" t="s">
        <v>725</v>
      </c>
      <c r="F1072" s="1" t="s">
        <v>32</v>
      </c>
      <c r="G1072" s="1">
        <v>119</v>
      </c>
      <c r="H1072" s="1" t="s">
        <v>34</v>
      </c>
      <c r="I1072" s="12">
        <v>10.997649831612</v>
      </c>
      <c r="J1072" s="12">
        <v>31.421856662</v>
      </c>
      <c r="K1072" s="1" t="s">
        <v>89</v>
      </c>
      <c r="L1072" s="16">
        <v>3475.8413923140001</v>
      </c>
      <c r="M1072" s="16" t="s">
        <v>34</v>
      </c>
      <c r="N1072" s="16">
        <v>38338.805689305002</v>
      </c>
      <c r="O1072" s="15">
        <v>40.209698400000001</v>
      </c>
      <c r="P1072" s="15">
        <v>7.5571573159999996</v>
      </c>
      <c r="Q1072" s="15">
        <v>37.346652882000001</v>
      </c>
      <c r="R1072" s="15">
        <v>62.274204503</v>
      </c>
      <c r="T1072" s="15">
        <v>20.843693834</v>
      </c>
      <c r="U1072" s="15">
        <v>42.715312619999999</v>
      </c>
      <c r="V1072" s="15">
        <v>5.666965502</v>
      </c>
      <c r="W1072" s="12">
        <v>0.72214660829999999</v>
      </c>
      <c r="X1072" s="15"/>
      <c r="Y1072" s="15">
        <v>74.189698070000006</v>
      </c>
      <c r="Z1072" s="12"/>
      <c r="AA1072" s="15">
        <v>1.1885932079999999</v>
      </c>
      <c r="AB1072" s="16">
        <f>AA1072*33.334</f>
        <v>39.620565995471999</v>
      </c>
      <c r="AD1072" s="16"/>
      <c r="AE1072" s="1">
        <v>1</v>
      </c>
    </row>
    <row r="1073" spans="1:31" x14ac:dyDescent="0.2">
      <c r="A1073" s="1">
        <v>1072</v>
      </c>
      <c r="B1073" s="1">
        <v>2008</v>
      </c>
      <c r="C1073" s="1" t="s">
        <v>31</v>
      </c>
      <c r="D1073" s="1" t="s">
        <v>805</v>
      </c>
      <c r="E1073" s="8" t="s">
        <v>51</v>
      </c>
      <c r="F1073" s="8" t="s">
        <v>32</v>
      </c>
      <c r="G1073" s="8"/>
      <c r="H1073" s="8"/>
      <c r="I1073" s="12">
        <v>9.09</v>
      </c>
      <c r="J1073" s="7">
        <v>25.971428571428572</v>
      </c>
      <c r="K1073" s="13"/>
      <c r="L1073" s="14">
        <v>3476</v>
      </c>
      <c r="M1073" s="14"/>
      <c r="N1073" s="14">
        <v>31632</v>
      </c>
      <c r="O1073" s="13">
        <v>34.6</v>
      </c>
      <c r="P1073" s="13">
        <v>9.1999999999999993</v>
      </c>
      <c r="Q1073" s="13">
        <v>40.9</v>
      </c>
      <c r="R1073" s="13">
        <v>67.3</v>
      </c>
      <c r="S1073" s="13"/>
      <c r="T1073" s="13"/>
      <c r="U1073" s="13">
        <v>33.4</v>
      </c>
      <c r="V1073" s="13"/>
      <c r="W1073" s="13"/>
      <c r="X1073" s="15"/>
      <c r="Y1073" s="13">
        <v>74.5</v>
      </c>
      <c r="Z1073" s="7">
        <v>2.5</v>
      </c>
      <c r="AB1073" s="16"/>
      <c r="AD1073" s="16"/>
      <c r="AE1073" s="1">
        <v>1</v>
      </c>
    </row>
    <row r="1074" spans="1:31" x14ac:dyDescent="0.2">
      <c r="A1074" s="1">
        <v>1073</v>
      </c>
      <c r="B1074" s="1">
        <v>2015</v>
      </c>
      <c r="C1074" s="8" t="s">
        <v>31</v>
      </c>
      <c r="D1074" s="8" t="s">
        <v>37</v>
      </c>
      <c r="E1074" s="8" t="s">
        <v>449</v>
      </c>
      <c r="F1074" s="1" t="s">
        <v>32</v>
      </c>
      <c r="G1074" s="8">
        <v>117</v>
      </c>
      <c r="I1074" s="12">
        <v>9.69</v>
      </c>
      <c r="J1074" s="7">
        <v>27.685714285714287</v>
      </c>
      <c r="L1074" s="14">
        <v>3477</v>
      </c>
      <c r="N1074" s="14">
        <v>33744</v>
      </c>
      <c r="O1074" s="13">
        <v>34.4</v>
      </c>
      <c r="P1074" s="13">
        <v>7.4</v>
      </c>
      <c r="Q1074" s="13">
        <v>38.4</v>
      </c>
      <c r="R1074" s="13">
        <v>51.7</v>
      </c>
      <c r="S1074" s="8"/>
      <c r="T1074" s="13">
        <v>26.1</v>
      </c>
      <c r="U1074" s="13">
        <v>33.9</v>
      </c>
      <c r="V1074" s="13">
        <v>4.0999999999999996</v>
      </c>
      <c r="W1074" s="7">
        <v>0.75</v>
      </c>
      <c r="X1074" s="13"/>
      <c r="Y1074" s="13">
        <v>73.099999999999994</v>
      </c>
      <c r="Z1074" s="7">
        <v>1.91</v>
      </c>
      <c r="AA1074" s="1" t="s">
        <v>89</v>
      </c>
      <c r="AB1074" s="16" t="s">
        <v>89</v>
      </c>
      <c r="AC1074" s="1" t="s">
        <v>89</v>
      </c>
      <c r="AD1074" s="16" t="s">
        <v>89</v>
      </c>
      <c r="AE1074" s="1">
        <v>1</v>
      </c>
    </row>
    <row r="1075" spans="1:31" x14ac:dyDescent="0.2">
      <c r="A1075" s="1">
        <v>1074</v>
      </c>
      <c r="B1075" s="1">
        <v>2009</v>
      </c>
      <c r="C1075" s="1" t="s">
        <v>31</v>
      </c>
      <c r="D1075" s="8" t="s">
        <v>35</v>
      </c>
      <c r="E1075" s="8" t="s">
        <v>141</v>
      </c>
      <c r="F1075" s="1" t="s">
        <v>83</v>
      </c>
      <c r="I1075" s="12">
        <v>7.67</v>
      </c>
      <c r="J1075" s="7">
        <v>21.9</v>
      </c>
      <c r="K1075" s="1" t="s">
        <v>34</v>
      </c>
      <c r="L1075" s="14">
        <v>3478</v>
      </c>
      <c r="M1075" s="14"/>
      <c r="N1075" s="14">
        <v>26700</v>
      </c>
      <c r="O1075" s="13">
        <v>30.8</v>
      </c>
      <c r="P1075" s="13">
        <v>9.85</v>
      </c>
      <c r="Q1075" s="13">
        <v>39.9</v>
      </c>
      <c r="R1075" s="13">
        <v>51.9</v>
      </c>
      <c r="S1075" s="8"/>
      <c r="T1075" s="13">
        <v>24.8</v>
      </c>
      <c r="U1075" s="13">
        <v>35</v>
      </c>
      <c r="V1075" s="15"/>
      <c r="W1075" s="7" t="s">
        <v>89</v>
      </c>
      <c r="X1075" s="13"/>
      <c r="Y1075" s="13">
        <v>73.7</v>
      </c>
      <c r="Z1075" s="7">
        <v>1.59</v>
      </c>
      <c r="AB1075" s="16"/>
      <c r="AD1075" s="16"/>
      <c r="AE1075" s="1">
        <v>1</v>
      </c>
    </row>
    <row r="1076" spans="1:31" x14ac:dyDescent="0.2">
      <c r="A1076" s="1">
        <v>1075</v>
      </c>
      <c r="B1076" s="1">
        <v>2013</v>
      </c>
      <c r="C1076" s="1" t="s">
        <v>31</v>
      </c>
      <c r="D1076" s="8" t="s">
        <v>108</v>
      </c>
      <c r="E1076" s="8" t="s">
        <v>368</v>
      </c>
      <c r="F1076" s="1" t="s">
        <v>32</v>
      </c>
      <c r="G1076" s="8">
        <v>111</v>
      </c>
      <c r="H1076" s="8"/>
      <c r="I1076" s="12">
        <v>9.26</v>
      </c>
      <c r="J1076" s="7">
        <v>26.457142857142902</v>
      </c>
      <c r="K1076" s="13" t="s">
        <v>34</v>
      </c>
      <c r="L1076" s="14">
        <v>3478</v>
      </c>
      <c r="M1076" s="8"/>
      <c r="N1076" s="14">
        <v>32238</v>
      </c>
      <c r="O1076" s="13">
        <v>33.799999999999997</v>
      </c>
      <c r="P1076" s="13">
        <v>7.9</v>
      </c>
      <c r="Q1076" s="13">
        <v>39.299999999999997</v>
      </c>
      <c r="R1076" s="13">
        <v>57.1</v>
      </c>
      <c r="S1076" s="13"/>
      <c r="T1076" s="13"/>
      <c r="U1076" s="13">
        <v>36.200000000000003</v>
      </c>
      <c r="V1076" s="13">
        <v>4.0999999999999996</v>
      </c>
      <c r="W1076" s="7">
        <v>0.74</v>
      </c>
      <c r="X1076" s="15"/>
      <c r="Y1076" s="15"/>
      <c r="Z1076" s="7">
        <v>2.08</v>
      </c>
      <c r="AB1076" s="16"/>
      <c r="AD1076" s="16"/>
      <c r="AE1076" s="1">
        <v>1</v>
      </c>
    </row>
    <row r="1077" spans="1:31" x14ac:dyDescent="0.2">
      <c r="A1077" s="1">
        <v>1076</v>
      </c>
      <c r="B1077" s="1">
        <v>2012</v>
      </c>
      <c r="C1077" s="1" t="s">
        <v>88</v>
      </c>
      <c r="D1077" s="8" t="s">
        <v>1023</v>
      </c>
      <c r="E1077" s="8">
        <v>7101</v>
      </c>
      <c r="F1077" s="1" t="s">
        <v>32</v>
      </c>
      <c r="I1077" s="12">
        <v>5.97</v>
      </c>
      <c r="J1077" s="7">
        <v>17.0571428571429</v>
      </c>
      <c r="K1077" s="13" t="s">
        <v>34</v>
      </c>
      <c r="L1077" s="14">
        <v>3480</v>
      </c>
      <c r="M1077" s="14"/>
      <c r="N1077" s="14">
        <v>20784</v>
      </c>
      <c r="O1077" s="13">
        <v>33.6</v>
      </c>
      <c r="P1077" s="13">
        <v>9.3000000000000007</v>
      </c>
      <c r="Q1077" s="13">
        <v>48.1</v>
      </c>
      <c r="R1077" s="13">
        <v>66.5</v>
      </c>
      <c r="S1077" s="13"/>
      <c r="T1077" s="13"/>
      <c r="U1077" s="13">
        <v>25.5</v>
      </c>
      <c r="V1077" s="13">
        <v>3.3</v>
      </c>
      <c r="W1077" s="7">
        <v>0.69</v>
      </c>
      <c r="X1077" s="15"/>
      <c r="Y1077" s="15"/>
      <c r="Z1077" s="7">
        <v>1.91</v>
      </c>
      <c r="AA1077" s="7">
        <v>1</v>
      </c>
      <c r="AB1077" s="16">
        <f>AA1077*10</f>
        <v>10</v>
      </c>
      <c r="AC1077" s="7">
        <v>0</v>
      </c>
      <c r="AD1077" s="16">
        <f>AC1077*10</f>
        <v>0</v>
      </c>
      <c r="AE1077" s="1">
        <v>1</v>
      </c>
    </row>
    <row r="1078" spans="1:31" x14ac:dyDescent="0.2">
      <c r="A1078" s="1">
        <v>1077</v>
      </c>
      <c r="B1078" s="1">
        <v>2017</v>
      </c>
      <c r="C1078" s="1" t="s">
        <v>31</v>
      </c>
      <c r="D1078" s="1" t="s">
        <v>916</v>
      </c>
      <c r="E1078" s="8" t="s">
        <v>604</v>
      </c>
      <c r="F1078" s="1" t="s">
        <v>32</v>
      </c>
      <c r="G1078" s="1">
        <v>124</v>
      </c>
      <c r="I1078" s="12">
        <v>8.4477608899999996</v>
      </c>
      <c r="J1078" s="3">
        <v>24.1364597</v>
      </c>
      <c r="L1078" s="5">
        <v>3480.75</v>
      </c>
      <c r="N1078" s="5">
        <v>29413.1443</v>
      </c>
      <c r="O1078" s="6">
        <v>30.220227699999999</v>
      </c>
      <c r="P1078" s="6">
        <v>7.2625000000000002</v>
      </c>
      <c r="Q1078" s="6">
        <v>40.865000000000002</v>
      </c>
      <c r="R1078" s="6">
        <v>52.975000000000001</v>
      </c>
      <c r="S1078" s="3"/>
      <c r="T1078" s="6">
        <v>25.002500000000001</v>
      </c>
      <c r="U1078" s="6">
        <v>34.002499999999998</v>
      </c>
      <c r="V1078" s="6">
        <v>3.2025000000000001</v>
      </c>
      <c r="W1078" s="3">
        <v>0.77476029999999996</v>
      </c>
      <c r="X1078" s="6"/>
      <c r="Y1078" s="6">
        <v>71.7</v>
      </c>
      <c r="Z1078" s="3">
        <v>1.83056851</v>
      </c>
      <c r="AB1078" s="16"/>
      <c r="AD1078" s="16"/>
      <c r="AE1078" s="1">
        <v>1</v>
      </c>
    </row>
    <row r="1079" spans="1:31" x14ac:dyDescent="0.2">
      <c r="A1079" s="1">
        <v>1078</v>
      </c>
      <c r="B1079" s="1">
        <v>2015</v>
      </c>
      <c r="C1079" s="8" t="s">
        <v>31</v>
      </c>
      <c r="D1079" s="1" t="s">
        <v>916</v>
      </c>
      <c r="E1079" s="8" t="s">
        <v>405</v>
      </c>
      <c r="F1079" s="1" t="s">
        <v>32</v>
      </c>
      <c r="G1079" s="8">
        <v>115</v>
      </c>
      <c r="I1079" s="12">
        <v>9.02</v>
      </c>
      <c r="J1079" s="7">
        <v>25.771428571428572</v>
      </c>
      <c r="L1079" s="14">
        <v>3481</v>
      </c>
      <c r="N1079" s="14">
        <v>31438</v>
      </c>
      <c r="O1079" s="13">
        <v>32.5</v>
      </c>
      <c r="P1079" s="13">
        <v>7.1</v>
      </c>
      <c r="Q1079" s="13">
        <v>38.4</v>
      </c>
      <c r="R1079" s="13">
        <v>49.6</v>
      </c>
      <c r="S1079" s="8"/>
      <c r="T1079" s="13">
        <v>26.1</v>
      </c>
      <c r="U1079" s="13">
        <v>34.4</v>
      </c>
      <c r="V1079" s="13">
        <v>4</v>
      </c>
      <c r="W1079" s="7">
        <v>0.74</v>
      </c>
      <c r="X1079" s="13"/>
      <c r="Y1079" s="13">
        <v>72.900000000000006</v>
      </c>
      <c r="Z1079" s="7">
        <v>1.72</v>
      </c>
      <c r="AA1079" s="1" t="s">
        <v>89</v>
      </c>
      <c r="AB1079" s="16" t="s">
        <v>89</v>
      </c>
      <c r="AC1079" s="1" t="s">
        <v>89</v>
      </c>
      <c r="AD1079" s="16" t="s">
        <v>89</v>
      </c>
      <c r="AE1079" s="1">
        <v>1</v>
      </c>
    </row>
    <row r="1080" spans="1:31" x14ac:dyDescent="0.2">
      <c r="A1080" s="1">
        <v>1079</v>
      </c>
      <c r="B1080" s="1">
        <v>2015</v>
      </c>
      <c r="C1080" s="8" t="s">
        <v>31</v>
      </c>
      <c r="D1080" s="8" t="s">
        <v>37</v>
      </c>
      <c r="E1080" s="8" t="s">
        <v>493</v>
      </c>
      <c r="F1080" s="1" t="s">
        <v>32</v>
      </c>
      <c r="G1080" s="8">
        <v>119</v>
      </c>
      <c r="I1080" s="12">
        <v>9.8699999999999992</v>
      </c>
      <c r="J1080" s="7">
        <v>28.2</v>
      </c>
      <c r="L1080" s="14">
        <v>3482</v>
      </c>
      <c r="M1080" s="1" t="s">
        <v>34</v>
      </c>
      <c r="N1080" s="14">
        <v>34314</v>
      </c>
      <c r="O1080" s="13">
        <v>35.1</v>
      </c>
      <c r="P1080" s="13">
        <v>7.4</v>
      </c>
      <c r="Q1080" s="13">
        <v>37.5</v>
      </c>
      <c r="R1080" s="13">
        <v>50.9</v>
      </c>
      <c r="S1080" s="8"/>
      <c r="T1080" s="13">
        <v>25.5</v>
      </c>
      <c r="U1080" s="13">
        <v>35.700000000000003</v>
      </c>
      <c r="V1080" s="13">
        <v>3.5</v>
      </c>
      <c r="W1080" s="7">
        <v>0.76</v>
      </c>
      <c r="X1080" s="13"/>
      <c r="Y1080" s="13">
        <v>73.099999999999994</v>
      </c>
      <c r="Z1080" s="7">
        <v>1.88</v>
      </c>
      <c r="AA1080" s="1" t="s">
        <v>89</v>
      </c>
      <c r="AB1080" s="16" t="s">
        <v>89</v>
      </c>
      <c r="AC1080" s="1" t="s">
        <v>89</v>
      </c>
      <c r="AD1080" s="16" t="s">
        <v>89</v>
      </c>
      <c r="AE1080" s="1">
        <v>1</v>
      </c>
    </row>
    <row r="1081" spans="1:31" x14ac:dyDescent="0.2">
      <c r="A1081" s="1">
        <v>1080</v>
      </c>
      <c r="B1081" s="1">
        <v>2010</v>
      </c>
      <c r="C1081" s="1" t="s">
        <v>31</v>
      </c>
      <c r="D1081" s="1" t="s">
        <v>916</v>
      </c>
      <c r="E1081" s="8" t="s">
        <v>112</v>
      </c>
      <c r="F1081" s="1" t="s">
        <v>32</v>
      </c>
      <c r="I1081" s="12">
        <v>8.8000000000000007</v>
      </c>
      <c r="J1081" s="7">
        <v>25.1428571428571</v>
      </c>
      <c r="L1081" s="14">
        <v>3483</v>
      </c>
      <c r="N1081" s="14">
        <v>30646</v>
      </c>
      <c r="O1081" s="13">
        <v>31.3</v>
      </c>
      <c r="P1081" s="13">
        <v>9.8000000000000007</v>
      </c>
      <c r="Q1081" s="13">
        <v>40.799999999999997</v>
      </c>
      <c r="R1081" s="13">
        <v>56.3</v>
      </c>
      <c r="S1081" s="13"/>
      <c r="T1081" s="15"/>
      <c r="U1081" s="13">
        <v>36.799999999999997</v>
      </c>
      <c r="V1081" s="13">
        <v>5.8</v>
      </c>
      <c r="W1081" s="12"/>
      <c r="X1081" s="15"/>
      <c r="Y1081" s="13">
        <v>71.7</v>
      </c>
      <c r="Z1081" s="7">
        <v>2.02</v>
      </c>
      <c r="AB1081" s="16"/>
      <c r="AD1081" s="16"/>
      <c r="AE1081" s="1">
        <v>1</v>
      </c>
    </row>
    <row r="1082" spans="1:31" x14ac:dyDescent="0.2">
      <c r="A1082" s="1">
        <v>1081</v>
      </c>
      <c r="B1082" s="1">
        <v>2021</v>
      </c>
      <c r="C1082" s="1" t="s">
        <v>31</v>
      </c>
      <c r="D1082" s="1" t="s">
        <v>402</v>
      </c>
      <c r="E1082" s="1" t="s">
        <v>658</v>
      </c>
      <c r="F1082" s="1" t="s">
        <v>32</v>
      </c>
      <c r="G1082" s="1">
        <v>117</v>
      </c>
      <c r="H1082" s="1" t="s">
        <v>89</v>
      </c>
      <c r="I1082" s="12">
        <v>6.3355690233155002</v>
      </c>
      <c r="J1082" s="12">
        <v>18.101625780999999</v>
      </c>
      <c r="K1082" s="1" t="s">
        <v>89</v>
      </c>
      <c r="L1082" s="16">
        <v>3483.46347737</v>
      </c>
      <c r="M1082" s="16" t="s">
        <v>89</v>
      </c>
      <c r="N1082" s="16">
        <v>22123.33623334</v>
      </c>
      <c r="O1082" s="15">
        <v>44.519660799999997</v>
      </c>
      <c r="P1082" s="15">
        <v>7.5423885420000003</v>
      </c>
      <c r="Q1082" s="15">
        <v>34.183932128999999</v>
      </c>
      <c r="R1082" s="15">
        <v>59.254427399000001</v>
      </c>
      <c r="T1082" s="15">
        <v>19.511789753999999</v>
      </c>
      <c r="U1082" s="15">
        <v>46.978788547999997</v>
      </c>
      <c r="V1082" s="15">
        <v>5.8792925140000003</v>
      </c>
      <c r="W1082" s="12">
        <v>0.72631818874999998</v>
      </c>
      <c r="X1082" s="15"/>
      <c r="Y1082" s="15">
        <v>73.942178174000006</v>
      </c>
      <c r="Z1082" s="12"/>
      <c r="AA1082" s="15">
        <v>2.1669275620000001</v>
      </c>
      <c r="AB1082" s="16">
        <f>AA1082*33.334</f>
        <v>72.232363351708017</v>
      </c>
      <c r="AD1082" s="16"/>
      <c r="AE1082" s="1">
        <v>1</v>
      </c>
    </row>
    <row r="1083" spans="1:31" x14ac:dyDescent="0.2">
      <c r="A1083" s="1">
        <v>1082</v>
      </c>
      <c r="B1083" s="1">
        <v>2009</v>
      </c>
      <c r="C1083" s="1" t="s">
        <v>31</v>
      </c>
      <c r="D1083" s="8" t="s">
        <v>874</v>
      </c>
      <c r="E1083" s="8">
        <v>9009</v>
      </c>
      <c r="F1083" s="1" t="s">
        <v>83</v>
      </c>
      <c r="I1083" s="12">
        <v>7.47</v>
      </c>
      <c r="J1083" s="7">
        <v>21.3</v>
      </c>
      <c r="K1083" s="1" t="s">
        <v>34</v>
      </c>
      <c r="L1083" s="14">
        <v>3484</v>
      </c>
      <c r="M1083" s="14"/>
      <c r="N1083" s="14">
        <v>26046</v>
      </c>
      <c r="O1083" s="13">
        <v>30.7</v>
      </c>
      <c r="P1083" s="13">
        <v>9.57</v>
      </c>
      <c r="Q1083" s="13">
        <v>39.700000000000003</v>
      </c>
      <c r="R1083" s="13">
        <v>51.8</v>
      </c>
      <c r="S1083" s="8"/>
      <c r="T1083" s="13">
        <v>24.4</v>
      </c>
      <c r="U1083" s="13">
        <v>36.5</v>
      </c>
      <c r="V1083" s="15"/>
      <c r="W1083" s="7" t="s">
        <v>89</v>
      </c>
      <c r="X1083" s="13"/>
      <c r="Y1083" s="13">
        <v>73.8</v>
      </c>
      <c r="Z1083" s="7">
        <v>1.53</v>
      </c>
      <c r="AB1083" s="16"/>
      <c r="AD1083" s="16"/>
      <c r="AE1083" s="1">
        <v>1</v>
      </c>
    </row>
    <row r="1084" spans="1:31" x14ac:dyDescent="0.2">
      <c r="A1084" s="1">
        <v>1083</v>
      </c>
      <c r="B1084" s="1">
        <v>2011</v>
      </c>
      <c r="C1084" s="1" t="s">
        <v>31</v>
      </c>
      <c r="D1084" s="1" t="s">
        <v>916</v>
      </c>
      <c r="E1084" s="1">
        <v>22403</v>
      </c>
      <c r="F1084" s="1" t="s">
        <v>83</v>
      </c>
      <c r="I1084" s="12">
        <v>5.82</v>
      </c>
      <c r="J1084" s="12">
        <v>16.600000000000001</v>
      </c>
      <c r="L1084" s="16">
        <v>3485</v>
      </c>
      <c r="N1084" s="16">
        <v>20260</v>
      </c>
      <c r="O1084" s="15">
        <v>29.8</v>
      </c>
      <c r="P1084" s="15">
        <v>7.1</v>
      </c>
      <c r="Q1084" s="15">
        <v>47.4</v>
      </c>
      <c r="R1084" s="15">
        <v>63.5</v>
      </c>
      <c r="T1084" s="15"/>
      <c r="U1084" s="15">
        <v>29.6</v>
      </c>
      <c r="V1084" s="15">
        <v>5</v>
      </c>
      <c r="W1084" s="12"/>
      <c r="X1084" s="15"/>
      <c r="Y1084" s="15">
        <v>69.599999999999994</v>
      </c>
      <c r="Z1084" s="12">
        <v>1.72</v>
      </c>
      <c r="AB1084" s="16"/>
      <c r="AD1084" s="16"/>
      <c r="AE1084" s="1">
        <v>1</v>
      </c>
    </row>
    <row r="1085" spans="1:31" x14ac:dyDescent="0.2">
      <c r="A1085" s="1">
        <v>1084</v>
      </c>
      <c r="B1085" s="1">
        <v>2015</v>
      </c>
      <c r="C1085" s="8" t="s">
        <v>31</v>
      </c>
      <c r="D1085" s="8" t="s">
        <v>37</v>
      </c>
      <c r="E1085" s="8" t="s">
        <v>371</v>
      </c>
      <c r="F1085" s="1" t="s">
        <v>83</v>
      </c>
      <c r="H1085" s="1" t="s">
        <v>34</v>
      </c>
      <c r="I1085" s="12">
        <v>7.65</v>
      </c>
      <c r="J1085" s="7">
        <v>21.9</v>
      </c>
      <c r="L1085" s="14">
        <v>3485</v>
      </c>
      <c r="M1085" s="1" t="s">
        <v>34</v>
      </c>
      <c r="N1085" s="14">
        <v>26792</v>
      </c>
      <c r="O1085" s="13">
        <v>34.5</v>
      </c>
      <c r="P1085" s="13">
        <v>7.7</v>
      </c>
      <c r="Q1085" s="13">
        <v>36.6</v>
      </c>
      <c r="R1085" s="13">
        <v>50.7</v>
      </c>
      <c r="S1085" s="8"/>
      <c r="T1085" s="13">
        <v>22.8</v>
      </c>
      <c r="U1085" s="13">
        <v>37.700000000000003</v>
      </c>
      <c r="V1085" s="13">
        <v>3.3</v>
      </c>
      <c r="W1085" s="7">
        <v>0.76</v>
      </c>
      <c r="X1085" s="13"/>
      <c r="Y1085" s="13">
        <v>73.400000000000006</v>
      </c>
      <c r="Z1085" s="7">
        <v>1.39</v>
      </c>
      <c r="AA1085" s="18">
        <v>1.125</v>
      </c>
      <c r="AB1085" s="16">
        <f>AA1085*10</f>
        <v>11.25</v>
      </c>
      <c r="AC1085" s="15" t="s">
        <v>89</v>
      </c>
      <c r="AD1085" s="16"/>
      <c r="AE1085" s="1">
        <v>1</v>
      </c>
    </row>
    <row r="1086" spans="1:31" x14ac:dyDescent="0.2">
      <c r="A1086" s="1">
        <v>1085</v>
      </c>
      <c r="B1086" s="1">
        <v>2012</v>
      </c>
      <c r="C1086" s="1" t="s">
        <v>31</v>
      </c>
      <c r="D1086" s="1" t="s">
        <v>54</v>
      </c>
      <c r="E1086" s="1" t="s">
        <v>270</v>
      </c>
      <c r="F1086" s="1" t="s">
        <v>32</v>
      </c>
      <c r="I1086" s="12">
        <v>9.5</v>
      </c>
      <c r="J1086" s="12">
        <v>27.1</v>
      </c>
      <c r="L1086" s="16">
        <v>3485</v>
      </c>
      <c r="N1086" s="16">
        <v>33088</v>
      </c>
      <c r="O1086" s="15">
        <v>33.200000000000003</v>
      </c>
      <c r="P1086" s="15">
        <v>7.4</v>
      </c>
      <c r="Q1086" s="15">
        <v>42.4</v>
      </c>
      <c r="R1086" s="15">
        <v>61.3</v>
      </c>
      <c r="T1086" s="15"/>
      <c r="U1086" s="15">
        <v>35.6</v>
      </c>
      <c r="V1086" s="15">
        <v>4.8</v>
      </c>
      <c r="W1086" s="12">
        <v>0.74</v>
      </c>
      <c r="X1086" s="15"/>
      <c r="Y1086" s="15"/>
      <c r="Z1086" s="12">
        <v>2.4700000000000002</v>
      </c>
      <c r="AB1086" s="16"/>
      <c r="AD1086" s="16"/>
      <c r="AE1086" s="1">
        <v>1</v>
      </c>
    </row>
    <row r="1087" spans="1:31" x14ac:dyDescent="0.2">
      <c r="A1087" s="1">
        <v>1086</v>
      </c>
      <c r="B1087" s="1">
        <v>2020</v>
      </c>
      <c r="C1087" s="1" t="s">
        <v>31</v>
      </c>
      <c r="D1087" s="1" t="s">
        <v>555</v>
      </c>
      <c r="E1087" s="1" t="s">
        <v>784</v>
      </c>
      <c r="F1087" s="1" t="s">
        <v>32</v>
      </c>
      <c r="G1087" s="1">
        <v>115</v>
      </c>
      <c r="H1087" s="1" t="s">
        <v>754</v>
      </c>
      <c r="I1087" s="12">
        <v>7.9128610799874997</v>
      </c>
      <c r="J1087" s="12">
        <v>22.602816862000001</v>
      </c>
      <c r="K1087" s="1" t="s">
        <v>754</v>
      </c>
      <c r="L1087" s="16">
        <v>3485.4886296720001</v>
      </c>
      <c r="M1087" s="16" t="s">
        <v>754</v>
      </c>
      <c r="N1087" s="16">
        <v>27588.545565958</v>
      </c>
      <c r="O1087" s="10">
        <v>42.212603399999999</v>
      </c>
      <c r="P1087" s="15">
        <v>8.5399999999999991</v>
      </c>
      <c r="Q1087" s="15">
        <v>43.23</v>
      </c>
      <c r="R1087" s="15">
        <v>51.411729622999999</v>
      </c>
      <c r="S1087" s="15"/>
      <c r="T1087" s="15">
        <v>22.795000000000002</v>
      </c>
      <c r="U1087" s="15">
        <v>28.984999999999999</v>
      </c>
      <c r="V1087" s="15">
        <v>5.3132304000000001</v>
      </c>
      <c r="W1087" s="12">
        <v>0.71956749200000003</v>
      </c>
      <c r="X1087" s="15"/>
      <c r="Y1087" s="15">
        <v>75.201014541000006</v>
      </c>
      <c r="Z1087" s="12"/>
      <c r="AA1087" s="15">
        <v>1.625</v>
      </c>
      <c r="AB1087" s="16">
        <f>AA1087*33.334</f>
        <v>54.167750000000005</v>
      </c>
      <c r="AD1087" s="16"/>
      <c r="AE1087" s="1">
        <v>1</v>
      </c>
    </row>
    <row r="1088" spans="1:31" x14ac:dyDescent="0.2">
      <c r="A1088" s="1">
        <v>1087</v>
      </c>
      <c r="B1088" s="1">
        <v>2012</v>
      </c>
      <c r="C1088" s="1" t="s">
        <v>31</v>
      </c>
      <c r="D1088" s="1" t="s">
        <v>916</v>
      </c>
      <c r="E1088" s="1" t="s">
        <v>277</v>
      </c>
      <c r="F1088" s="1" t="s">
        <v>32</v>
      </c>
      <c r="I1088" s="12">
        <v>8.27</v>
      </c>
      <c r="J1088" s="12">
        <v>23.6</v>
      </c>
      <c r="L1088" s="16">
        <v>3486</v>
      </c>
      <c r="N1088" s="16">
        <v>28881</v>
      </c>
      <c r="O1088" s="15">
        <v>29.1</v>
      </c>
      <c r="P1088" s="15">
        <v>7.7</v>
      </c>
      <c r="Q1088" s="15">
        <v>44.3</v>
      </c>
      <c r="R1088" s="15">
        <v>63.1</v>
      </c>
      <c r="T1088" s="15"/>
      <c r="U1088" s="15">
        <v>30.4</v>
      </c>
      <c r="V1088" s="15">
        <v>7.9</v>
      </c>
      <c r="W1088" s="12">
        <v>0.73</v>
      </c>
      <c r="X1088" s="15"/>
      <c r="Y1088" s="15"/>
      <c r="Z1088" s="12">
        <v>2.31</v>
      </c>
      <c r="AB1088" s="16"/>
      <c r="AD1088" s="16"/>
      <c r="AE1088" s="1">
        <v>1</v>
      </c>
    </row>
    <row r="1089" spans="1:31" x14ac:dyDescent="0.2">
      <c r="A1089" s="1">
        <v>1088</v>
      </c>
      <c r="B1089" s="1">
        <v>2021</v>
      </c>
      <c r="C1089" s="1" t="s">
        <v>31</v>
      </c>
      <c r="D1089" s="1" t="s">
        <v>815</v>
      </c>
      <c r="E1089" s="1" t="s">
        <v>819</v>
      </c>
      <c r="F1089" s="1" t="s">
        <v>32</v>
      </c>
      <c r="G1089" s="1">
        <v>116</v>
      </c>
      <c r="H1089" s="1" t="s">
        <v>34</v>
      </c>
      <c r="I1089" s="12">
        <v>9.9039557332610002</v>
      </c>
      <c r="J1089" s="12">
        <v>28.297016380999999</v>
      </c>
      <c r="K1089" s="1" t="s">
        <v>89</v>
      </c>
      <c r="L1089" s="16">
        <v>3487.0731309990001</v>
      </c>
      <c r="M1089" s="16" t="s">
        <v>34</v>
      </c>
      <c r="N1089" s="16">
        <v>34881.552562841003</v>
      </c>
      <c r="O1089" s="15">
        <v>37.858923799999999</v>
      </c>
      <c r="P1089" s="15">
        <v>7.7651738369999999</v>
      </c>
      <c r="Q1089" s="15">
        <v>34.651609157000003</v>
      </c>
      <c r="R1089" s="15">
        <v>59.678084869000003</v>
      </c>
      <c r="T1089" s="15">
        <v>19.478755377999999</v>
      </c>
      <c r="U1089" s="15">
        <v>45.332704935000002</v>
      </c>
      <c r="V1089" s="15">
        <v>5.8975263299999998</v>
      </c>
      <c r="W1089" s="12">
        <v>0.72637236935000005</v>
      </c>
      <c r="X1089" s="15"/>
      <c r="Y1089" s="15">
        <v>74.015787156000002</v>
      </c>
      <c r="Z1089" s="12"/>
      <c r="AA1089" s="15">
        <v>0.48039032199999998</v>
      </c>
      <c r="AB1089" s="16">
        <f>AA1089*33.334</f>
        <v>16.013330993547999</v>
      </c>
      <c r="AD1089" s="16"/>
      <c r="AE1089" s="1">
        <v>1</v>
      </c>
    </row>
    <row r="1090" spans="1:31" x14ac:dyDescent="0.2">
      <c r="A1090" s="1">
        <v>1089</v>
      </c>
      <c r="B1090" s="1">
        <v>2021</v>
      </c>
      <c r="C1090" s="1" t="s">
        <v>31</v>
      </c>
      <c r="D1090" s="19" t="s">
        <v>900</v>
      </c>
      <c r="E1090" s="1" t="s">
        <v>809</v>
      </c>
      <c r="F1090" s="1" t="s">
        <v>83</v>
      </c>
      <c r="G1090" s="1">
        <v>116</v>
      </c>
      <c r="I1090" s="12">
        <v>5.9427030085175003</v>
      </c>
      <c r="J1090" s="12">
        <v>16.979151453</v>
      </c>
      <c r="K1090" s="1" t="s">
        <v>89</v>
      </c>
      <c r="L1090" s="16">
        <v>3487.1863450000001</v>
      </c>
      <c r="N1090" s="16">
        <v>20717.453504568999</v>
      </c>
      <c r="O1090" s="15">
        <v>38.146781000000004</v>
      </c>
      <c r="P1090" s="15">
        <v>8.8272536460000008</v>
      </c>
      <c r="Q1090" s="15">
        <v>20.2775</v>
      </c>
      <c r="R1090" s="15">
        <v>37.555</v>
      </c>
      <c r="U1090" s="15">
        <v>36.467500000000001</v>
      </c>
      <c r="V1090" s="15">
        <v>7.8949999999999996</v>
      </c>
      <c r="W1090" s="12">
        <v>0.72380906127</v>
      </c>
      <c r="X1090" s="15"/>
      <c r="Y1090" s="15">
        <v>74.355428360000005</v>
      </c>
      <c r="Z1090" s="12"/>
      <c r="AA1090" s="15">
        <v>0.125</v>
      </c>
      <c r="AB1090" s="16">
        <f>AA1090*33.334</f>
        <v>4.1667500000000004</v>
      </c>
      <c r="AD1090" s="16"/>
      <c r="AE1090" s="1">
        <v>1</v>
      </c>
    </row>
    <row r="1091" spans="1:31" x14ac:dyDescent="0.2">
      <c r="A1091" s="1">
        <v>1090</v>
      </c>
      <c r="B1091" s="1">
        <v>2021</v>
      </c>
      <c r="C1091" s="1" t="s">
        <v>31</v>
      </c>
      <c r="D1091" s="28" t="s">
        <v>914</v>
      </c>
      <c r="E1091" s="1" t="s">
        <v>804</v>
      </c>
      <c r="F1091" s="1" t="s">
        <v>32</v>
      </c>
      <c r="G1091" s="1">
        <v>117</v>
      </c>
      <c r="H1091" s="1" t="s">
        <v>89</v>
      </c>
      <c r="I1091" s="12">
        <v>7.3048961334715008</v>
      </c>
      <c r="J1091" s="12">
        <v>20.871131810000001</v>
      </c>
      <c r="K1091" s="1" t="s">
        <v>89</v>
      </c>
      <c r="L1091" s="16">
        <v>3489.481738685</v>
      </c>
      <c r="M1091" s="16" t="s">
        <v>89</v>
      </c>
      <c r="N1091" s="16">
        <v>25431.188523577999</v>
      </c>
      <c r="O1091" s="15">
        <v>42.511248299999998</v>
      </c>
      <c r="P1091" s="15">
        <v>7.4380165199999997</v>
      </c>
      <c r="Q1091" s="15">
        <v>35.084956274</v>
      </c>
      <c r="R1091" s="15">
        <v>59.288880366000001</v>
      </c>
      <c r="T1091" s="15">
        <v>20.175061543999998</v>
      </c>
      <c r="U1091" s="15">
        <v>46.447392315000002</v>
      </c>
      <c r="V1091" s="15">
        <v>5.7905608280000003</v>
      </c>
      <c r="W1091" s="12">
        <v>0.72715076104000009</v>
      </c>
      <c r="X1091" s="15"/>
      <c r="Y1091" s="15">
        <v>74.026089087000003</v>
      </c>
      <c r="Z1091" s="12"/>
      <c r="AA1091" s="15">
        <v>1.541797114</v>
      </c>
      <c r="AB1091" s="16">
        <f>AA1091*33.334</f>
        <v>51.394264998076004</v>
      </c>
      <c r="AD1091" s="16"/>
      <c r="AE1091" s="1">
        <v>1</v>
      </c>
    </row>
    <row r="1092" spans="1:31" x14ac:dyDescent="0.2">
      <c r="A1092" s="1">
        <v>1091</v>
      </c>
      <c r="B1092" s="1">
        <v>2011</v>
      </c>
      <c r="C1092" s="1" t="s">
        <v>31</v>
      </c>
      <c r="D1092" s="1" t="s">
        <v>37</v>
      </c>
      <c r="E1092" s="1" t="s">
        <v>130</v>
      </c>
      <c r="F1092" s="1" t="s">
        <v>83</v>
      </c>
      <c r="I1092" s="12">
        <v>6.56</v>
      </c>
      <c r="J1092" s="12">
        <v>18.7</v>
      </c>
      <c r="L1092" s="16">
        <v>3490</v>
      </c>
      <c r="N1092" s="16">
        <v>22929</v>
      </c>
      <c r="O1092" s="15">
        <v>29.4</v>
      </c>
      <c r="P1092" s="15">
        <v>8.1</v>
      </c>
      <c r="Q1092" s="15">
        <v>43.9</v>
      </c>
      <c r="R1092" s="15">
        <v>55.7</v>
      </c>
      <c r="T1092" s="15"/>
      <c r="U1092" s="15">
        <v>30.9</v>
      </c>
      <c r="V1092" s="15">
        <v>6.3</v>
      </c>
      <c r="W1092" s="12"/>
      <c r="X1092" s="15"/>
      <c r="Y1092" s="15">
        <v>69.400000000000006</v>
      </c>
      <c r="Z1092" s="12">
        <v>1.78</v>
      </c>
      <c r="AB1092" s="16"/>
      <c r="AD1092" s="16"/>
      <c r="AE1092" s="1">
        <v>1</v>
      </c>
    </row>
    <row r="1093" spans="1:31" x14ac:dyDescent="0.2">
      <c r="A1093" s="1">
        <v>1092</v>
      </c>
      <c r="B1093" s="1">
        <v>2016</v>
      </c>
      <c r="C1093" s="1" t="s">
        <v>31</v>
      </c>
      <c r="D1093" s="8" t="s">
        <v>291</v>
      </c>
      <c r="E1093" s="8" t="s">
        <v>534</v>
      </c>
      <c r="F1093" s="1" t="s">
        <v>32</v>
      </c>
      <c r="G1093" s="8">
        <v>118</v>
      </c>
      <c r="H1093" s="1" t="s">
        <v>34</v>
      </c>
      <c r="I1093" s="12">
        <v>9.6999999999999993</v>
      </c>
      <c r="J1093" s="7">
        <v>28.1</v>
      </c>
      <c r="K1093" s="1" t="s">
        <v>34</v>
      </c>
      <c r="L1093" s="14">
        <v>3491</v>
      </c>
      <c r="M1093" s="1" t="s">
        <v>34</v>
      </c>
      <c r="N1093" s="14">
        <v>33874</v>
      </c>
      <c r="O1093" s="13">
        <v>34.4</v>
      </c>
      <c r="P1093" s="13">
        <v>7.6</v>
      </c>
      <c r="Q1093" s="13">
        <v>40</v>
      </c>
      <c r="R1093" s="13">
        <v>56.2</v>
      </c>
      <c r="S1093" s="13"/>
      <c r="T1093" s="13">
        <v>22.9</v>
      </c>
      <c r="U1093" s="13">
        <v>34</v>
      </c>
      <c r="V1093" s="13">
        <v>3.7</v>
      </c>
      <c r="W1093" s="7">
        <v>0.75</v>
      </c>
      <c r="X1093" s="13"/>
      <c r="Y1093" s="13">
        <v>73.099999999999994</v>
      </c>
      <c r="Z1093" s="7">
        <v>2.1800000000000002</v>
      </c>
      <c r="AA1093" s="15" t="s">
        <v>89</v>
      </c>
      <c r="AB1093" s="16"/>
      <c r="AD1093" s="16"/>
      <c r="AE1093" s="1">
        <v>1</v>
      </c>
    </row>
    <row r="1094" spans="1:31" x14ac:dyDescent="0.2">
      <c r="A1094" s="1">
        <v>1093</v>
      </c>
      <c r="B1094" s="1">
        <v>2020</v>
      </c>
      <c r="C1094" s="1" t="s">
        <v>31</v>
      </c>
      <c r="D1094" s="8" t="s">
        <v>874</v>
      </c>
      <c r="E1094" s="1" t="s">
        <v>782</v>
      </c>
      <c r="F1094" s="1" t="s">
        <v>32</v>
      </c>
      <c r="G1094" s="1">
        <v>117</v>
      </c>
      <c r="H1094" s="1" t="s">
        <v>754</v>
      </c>
      <c r="I1094" s="12">
        <v>8.3129386566689991</v>
      </c>
      <c r="J1094" s="12">
        <v>23.780170350999999</v>
      </c>
      <c r="K1094" s="1" t="s">
        <v>754</v>
      </c>
      <c r="L1094" s="16">
        <v>3492.4713473390002</v>
      </c>
      <c r="M1094" s="16" t="s">
        <v>754</v>
      </c>
      <c r="N1094" s="16">
        <v>21795.784533606999</v>
      </c>
      <c r="O1094" s="10">
        <v>29.600496</v>
      </c>
      <c r="P1094" s="15">
        <v>10.185</v>
      </c>
      <c r="Q1094" s="15">
        <v>45.715000000000003</v>
      </c>
      <c r="R1094" s="15">
        <v>48.309229623</v>
      </c>
      <c r="S1094" s="15"/>
      <c r="T1094" s="15">
        <v>24.93</v>
      </c>
      <c r="U1094" s="15">
        <v>21.237500000000001</v>
      </c>
      <c r="V1094" s="15">
        <v>7.9007303999999996</v>
      </c>
      <c r="W1094" s="12">
        <v>0.72182376300000006</v>
      </c>
      <c r="X1094" s="15"/>
      <c r="Y1094" s="15">
        <v>75.217906749999997</v>
      </c>
      <c r="Z1094" s="12"/>
      <c r="AA1094" s="15">
        <v>0.64796164300000003</v>
      </c>
      <c r="AB1094" s="16">
        <f>AA1094*33.334</f>
        <v>21.599153407762003</v>
      </c>
      <c r="AD1094" s="16"/>
      <c r="AE1094" s="1">
        <v>1</v>
      </c>
    </row>
    <row r="1095" spans="1:31" x14ac:dyDescent="0.2">
      <c r="A1095" s="1">
        <v>1094</v>
      </c>
      <c r="B1095" s="1">
        <v>2021</v>
      </c>
      <c r="C1095" s="1" t="s">
        <v>31</v>
      </c>
      <c r="D1095" s="1" t="s">
        <v>37</v>
      </c>
      <c r="E1095" s="1" t="s">
        <v>725</v>
      </c>
      <c r="F1095" s="1" t="s">
        <v>83</v>
      </c>
      <c r="G1095" s="1">
        <v>119</v>
      </c>
      <c r="I1095" s="12">
        <v>5.4954032584445001</v>
      </c>
      <c r="J1095" s="12">
        <v>15.701152167</v>
      </c>
      <c r="L1095" s="16">
        <v>3493.5777149999999</v>
      </c>
      <c r="N1095" s="16">
        <v>19111.891895509001</v>
      </c>
      <c r="O1095" s="15">
        <v>45.764606499999999</v>
      </c>
      <c r="P1095" s="15">
        <v>7.9541855979999996</v>
      </c>
      <c r="Q1095" s="15">
        <v>19.372499999999999</v>
      </c>
      <c r="R1095" s="15">
        <v>35.797499999999999</v>
      </c>
      <c r="U1095" s="15">
        <v>38.532499999999999</v>
      </c>
      <c r="V1095" s="15">
        <v>7.8049999999999997</v>
      </c>
      <c r="W1095" s="12">
        <v>0.72583054893999999</v>
      </c>
      <c r="X1095" s="15"/>
      <c r="Y1095" s="15">
        <v>74.290193221999999</v>
      </c>
      <c r="Z1095" s="12"/>
      <c r="AA1095" s="15">
        <v>1.625</v>
      </c>
      <c r="AB1095" s="16">
        <f>AA1095*33.334</f>
        <v>54.167750000000005</v>
      </c>
      <c r="AD1095" s="16"/>
      <c r="AE1095" s="1">
        <v>1</v>
      </c>
    </row>
    <row r="1096" spans="1:31" x14ac:dyDescent="0.2">
      <c r="A1096" s="1">
        <v>1095</v>
      </c>
      <c r="B1096" s="1">
        <v>2018</v>
      </c>
      <c r="C1096" s="1" t="s">
        <v>31</v>
      </c>
      <c r="D1096" s="1" t="s">
        <v>916</v>
      </c>
      <c r="E1096" s="1" t="s">
        <v>654</v>
      </c>
      <c r="F1096" s="1" t="s">
        <v>32</v>
      </c>
      <c r="G1096" s="1">
        <v>116</v>
      </c>
      <c r="H1096" s="1" t="s">
        <v>34</v>
      </c>
      <c r="I1096" s="12">
        <v>8.5</v>
      </c>
      <c r="J1096" s="3">
        <v>24.3</v>
      </c>
      <c r="K1096" s="1" t="s">
        <v>34</v>
      </c>
      <c r="L1096" s="5">
        <v>3495.8</v>
      </c>
      <c r="M1096" s="1" t="s">
        <v>34</v>
      </c>
      <c r="N1096" s="5">
        <v>29652</v>
      </c>
      <c r="O1096" s="6">
        <v>32.58</v>
      </c>
      <c r="P1096" s="18">
        <v>8.5</v>
      </c>
      <c r="Q1096" s="6">
        <v>40.097499999999997</v>
      </c>
      <c r="R1096" s="6">
        <v>59.1</v>
      </c>
      <c r="S1096" s="3"/>
      <c r="T1096" s="6">
        <v>23.877500000000001</v>
      </c>
      <c r="U1096" s="6">
        <v>35.737499999999997</v>
      </c>
      <c r="V1096" s="6">
        <v>5.1349999999999998</v>
      </c>
      <c r="W1096" s="3">
        <v>0.7340000000000001</v>
      </c>
      <c r="X1096" s="6"/>
      <c r="Y1096" s="6">
        <v>70.8</v>
      </c>
      <c r="Z1096" s="3">
        <v>2.02</v>
      </c>
      <c r="AB1096" s="16"/>
      <c r="AD1096" s="16"/>
      <c r="AE1096" s="1">
        <v>1</v>
      </c>
    </row>
    <row r="1097" spans="1:31" x14ac:dyDescent="0.2">
      <c r="A1097" s="1">
        <v>1096</v>
      </c>
      <c r="B1097" s="1">
        <v>2015</v>
      </c>
      <c r="C1097" s="8" t="s">
        <v>31</v>
      </c>
      <c r="D1097" s="8" t="s">
        <v>402</v>
      </c>
      <c r="E1097" s="8" t="s">
        <v>403</v>
      </c>
      <c r="F1097" s="1" t="s">
        <v>83</v>
      </c>
      <c r="H1097" s="1" t="s">
        <v>34</v>
      </c>
      <c r="I1097" s="12">
        <v>7.32</v>
      </c>
      <c r="J1097" s="7">
        <v>22.9</v>
      </c>
      <c r="L1097" s="14">
        <v>3497</v>
      </c>
      <c r="M1097" s="1" t="s">
        <v>34</v>
      </c>
      <c r="N1097" s="14">
        <v>25559</v>
      </c>
      <c r="O1097" s="13">
        <v>32.9</v>
      </c>
      <c r="P1097" s="13">
        <v>6.9</v>
      </c>
      <c r="Q1097" s="13">
        <v>40.9</v>
      </c>
      <c r="R1097" s="13">
        <v>55.5</v>
      </c>
      <c r="S1097" s="8"/>
      <c r="T1097" s="13">
        <v>24.4</v>
      </c>
      <c r="U1097" s="13">
        <v>35.6</v>
      </c>
      <c r="V1097" s="13">
        <v>5.2</v>
      </c>
      <c r="W1097" s="7">
        <v>0.74</v>
      </c>
      <c r="X1097" s="13"/>
      <c r="Y1097" s="13">
        <v>71.8</v>
      </c>
      <c r="Z1097" s="7">
        <v>1.66</v>
      </c>
      <c r="AA1097" s="18">
        <v>1</v>
      </c>
      <c r="AB1097" s="16">
        <f>AA1097*10</f>
        <v>10</v>
      </c>
      <c r="AC1097" s="15" t="s">
        <v>89</v>
      </c>
      <c r="AD1097" s="16"/>
      <c r="AE1097" s="1">
        <v>1</v>
      </c>
    </row>
    <row r="1098" spans="1:31" x14ac:dyDescent="0.2">
      <c r="A1098" s="1">
        <v>1097</v>
      </c>
      <c r="B1098" s="1">
        <v>2017</v>
      </c>
      <c r="C1098" s="1" t="s">
        <v>31</v>
      </c>
      <c r="D1098" s="8" t="s">
        <v>402</v>
      </c>
      <c r="E1098" s="8" t="s">
        <v>597</v>
      </c>
      <c r="F1098" s="1" t="s">
        <v>32</v>
      </c>
      <c r="G1098" s="1">
        <v>116</v>
      </c>
      <c r="I1098" s="12">
        <v>8.4024299599999992</v>
      </c>
      <c r="J1098" s="3">
        <v>24.0069427</v>
      </c>
      <c r="L1098" s="5">
        <v>3498.5</v>
      </c>
      <c r="N1098" s="5">
        <v>29500.567500000001</v>
      </c>
      <c r="O1098" s="6">
        <v>32.586675800000002</v>
      </c>
      <c r="P1098" s="6">
        <v>7.0425000000000004</v>
      </c>
      <c r="Q1098" s="6">
        <v>39.472499999999997</v>
      </c>
      <c r="R1098" s="6">
        <v>54.927500000000002</v>
      </c>
      <c r="S1098" s="3"/>
      <c r="T1098" s="6">
        <v>23.672499999999999</v>
      </c>
      <c r="U1098" s="6">
        <v>36.340000000000003</v>
      </c>
      <c r="V1098" s="6">
        <v>2.9624999999999999</v>
      </c>
      <c r="W1098" s="3">
        <v>0.77790735</v>
      </c>
      <c r="X1098" s="6"/>
      <c r="Y1098" s="6">
        <v>71.957499999999996</v>
      </c>
      <c r="Z1098" s="3">
        <v>1.80621301</v>
      </c>
      <c r="AB1098" s="16"/>
      <c r="AD1098" s="16"/>
      <c r="AE1098" s="1">
        <v>1</v>
      </c>
    </row>
    <row r="1099" spans="1:31" x14ac:dyDescent="0.2">
      <c r="A1099" s="1">
        <v>1098</v>
      </c>
      <c r="B1099" s="1">
        <v>2017</v>
      </c>
      <c r="C1099" s="1" t="s">
        <v>31</v>
      </c>
      <c r="D1099" s="8" t="s">
        <v>402</v>
      </c>
      <c r="E1099" s="8" t="s">
        <v>605</v>
      </c>
      <c r="F1099" s="1" t="s">
        <v>32</v>
      </c>
      <c r="G1099" s="1">
        <v>118</v>
      </c>
      <c r="I1099" s="12">
        <v>8.8297492900000005</v>
      </c>
      <c r="J1099" s="3">
        <v>25.227855099999999</v>
      </c>
      <c r="L1099" s="5">
        <v>3499</v>
      </c>
      <c r="N1099" s="5">
        <v>30914.9339</v>
      </c>
      <c r="O1099" s="6">
        <v>31.9686004</v>
      </c>
      <c r="P1099" s="6">
        <v>7.2050000000000001</v>
      </c>
      <c r="Q1099" s="6">
        <v>39.92</v>
      </c>
      <c r="R1099" s="6">
        <v>54.137500000000003</v>
      </c>
      <c r="S1099" s="3"/>
      <c r="T1099" s="6">
        <v>23.922499999999999</v>
      </c>
      <c r="U1099" s="6">
        <v>34.272500000000001</v>
      </c>
      <c r="V1099" s="6">
        <v>3.6</v>
      </c>
      <c r="W1099" s="3">
        <v>0.77971760000000001</v>
      </c>
      <c r="X1099" s="6"/>
      <c r="Y1099" s="6">
        <v>72.102500000000006</v>
      </c>
      <c r="Z1099" s="3">
        <v>1.9011653500000001</v>
      </c>
      <c r="AB1099" s="16"/>
      <c r="AD1099" s="16"/>
      <c r="AE1099" s="1">
        <v>1</v>
      </c>
    </row>
    <row r="1100" spans="1:31" x14ac:dyDescent="0.2">
      <c r="A1100" s="1">
        <v>1099</v>
      </c>
      <c r="B1100" s="1">
        <v>2009</v>
      </c>
      <c r="C1100" s="1" t="s">
        <v>31</v>
      </c>
      <c r="D1100" s="8" t="s">
        <v>37</v>
      </c>
      <c r="E1100" s="8" t="s">
        <v>103</v>
      </c>
      <c r="F1100" s="1" t="s">
        <v>32</v>
      </c>
      <c r="I1100" s="12">
        <v>8.11</v>
      </c>
      <c r="J1100" s="7">
        <v>23.171428571428599</v>
      </c>
      <c r="L1100" s="14">
        <v>3500</v>
      </c>
      <c r="N1100" s="14">
        <v>28387</v>
      </c>
      <c r="O1100" s="13">
        <v>27.7</v>
      </c>
      <c r="P1100" s="13">
        <v>9.6</v>
      </c>
      <c r="Q1100" s="13">
        <v>42.1</v>
      </c>
      <c r="R1100" s="13">
        <v>57.7</v>
      </c>
      <c r="S1100" s="13"/>
      <c r="T1100" s="15" t="s">
        <v>89</v>
      </c>
      <c r="U1100" s="13">
        <v>34.299999999999997</v>
      </c>
      <c r="V1100" s="13">
        <v>7.2</v>
      </c>
      <c r="W1100" s="12" t="s">
        <v>89</v>
      </c>
      <c r="X1100" s="15"/>
      <c r="Y1100" s="13">
        <v>74.099999999999994</v>
      </c>
      <c r="Z1100" s="7">
        <v>1.97</v>
      </c>
      <c r="AB1100" s="16"/>
      <c r="AD1100" s="16"/>
      <c r="AE1100" s="1">
        <v>1</v>
      </c>
    </row>
    <row r="1101" spans="1:31" x14ac:dyDescent="0.2">
      <c r="A1101" s="1">
        <v>1100</v>
      </c>
      <c r="B1101" s="1">
        <v>2021</v>
      </c>
      <c r="C1101" s="1" t="s">
        <v>31</v>
      </c>
      <c r="D1101" s="1" t="s">
        <v>37</v>
      </c>
      <c r="E1101" s="1" t="s">
        <v>724</v>
      </c>
      <c r="F1101" s="1" t="s">
        <v>83</v>
      </c>
      <c r="G1101" s="1">
        <v>118</v>
      </c>
      <c r="H1101" s="1" t="s">
        <v>34</v>
      </c>
      <c r="I1101" s="12">
        <v>6.6575519233665004</v>
      </c>
      <c r="J1101" s="12">
        <v>19.021576924000001</v>
      </c>
      <c r="L1101" s="16">
        <v>3502.3629940000001</v>
      </c>
      <c r="M1101" s="1" t="s">
        <v>34</v>
      </c>
      <c r="N1101" s="16">
        <v>23375.637434233999</v>
      </c>
      <c r="O1101" s="15">
        <v>46.1583282</v>
      </c>
      <c r="P1101" s="15">
        <v>7.956120297</v>
      </c>
      <c r="Q1101" s="15">
        <v>20.252500000000001</v>
      </c>
      <c r="R1101" s="15">
        <v>37.127499999999998</v>
      </c>
      <c r="U1101" s="15">
        <v>38.04</v>
      </c>
      <c r="V1101" s="15">
        <v>7.9524999999999997</v>
      </c>
      <c r="W1101" s="12">
        <v>0.72690647666999997</v>
      </c>
      <c r="X1101" s="15"/>
      <c r="Y1101" s="15">
        <v>74.459682469000001</v>
      </c>
      <c r="Z1101" s="12"/>
      <c r="AA1101" s="15">
        <v>1.375</v>
      </c>
      <c r="AB1101" s="16">
        <f>AA1101*33.334</f>
        <v>45.834250000000004</v>
      </c>
      <c r="AD1101" s="16"/>
      <c r="AE1101" s="1">
        <v>1</v>
      </c>
    </row>
    <row r="1102" spans="1:31" x14ac:dyDescent="0.2">
      <c r="A1102" s="1">
        <v>1101</v>
      </c>
      <c r="B1102" s="1">
        <v>2012</v>
      </c>
      <c r="C1102" s="1" t="s">
        <v>31</v>
      </c>
      <c r="D1102" s="22" t="s">
        <v>917</v>
      </c>
      <c r="E1102" s="1" t="s">
        <v>305</v>
      </c>
      <c r="F1102" s="1" t="s">
        <v>83</v>
      </c>
      <c r="I1102" s="12">
        <v>3.81</v>
      </c>
      <c r="J1102" s="12">
        <v>10.9</v>
      </c>
      <c r="K1102" s="1" t="s">
        <v>34</v>
      </c>
      <c r="L1102" s="16">
        <v>3503</v>
      </c>
      <c r="N1102" s="16">
        <v>13325</v>
      </c>
      <c r="O1102" s="15">
        <v>32</v>
      </c>
      <c r="P1102" s="15">
        <v>7.74</v>
      </c>
      <c r="Q1102" s="15">
        <v>39.700000000000003</v>
      </c>
      <c r="R1102" s="15">
        <v>57.2</v>
      </c>
      <c r="T1102" s="15"/>
      <c r="U1102" s="15">
        <v>41.7</v>
      </c>
      <c r="V1102" s="15">
        <v>3.7</v>
      </c>
      <c r="W1102" s="12">
        <v>0.74</v>
      </c>
      <c r="X1102" s="15"/>
      <c r="Y1102" s="15"/>
      <c r="Z1102" s="12">
        <v>0.87</v>
      </c>
      <c r="AB1102" s="16"/>
      <c r="AD1102" s="16"/>
      <c r="AE1102" s="1">
        <v>1</v>
      </c>
    </row>
    <row r="1103" spans="1:31" x14ac:dyDescent="0.2">
      <c r="A1103" s="1">
        <v>1102</v>
      </c>
      <c r="B1103" s="1">
        <v>2014</v>
      </c>
      <c r="C1103" s="1" t="s">
        <v>31</v>
      </c>
      <c r="D1103" s="1" t="s">
        <v>125</v>
      </c>
      <c r="E1103" s="1" t="s">
        <v>429</v>
      </c>
      <c r="F1103" s="1" t="s">
        <v>32</v>
      </c>
      <c r="G1103" s="1">
        <v>117</v>
      </c>
      <c r="I1103" s="12">
        <v>8.58</v>
      </c>
      <c r="J1103" s="12">
        <v>24.5</v>
      </c>
      <c r="K1103" s="1" t="s">
        <v>34</v>
      </c>
      <c r="L1103" s="16">
        <v>3503</v>
      </c>
      <c r="N1103" s="16">
        <v>30002</v>
      </c>
      <c r="O1103" s="15">
        <v>31</v>
      </c>
      <c r="P1103" s="15">
        <v>7</v>
      </c>
      <c r="Q1103" s="15">
        <v>41.5</v>
      </c>
      <c r="R1103" s="15">
        <v>56.8</v>
      </c>
      <c r="T1103" s="15"/>
      <c r="U1103" s="15">
        <v>30.3</v>
      </c>
      <c r="V1103" s="15">
        <v>6.4</v>
      </c>
      <c r="W1103" s="12">
        <v>0.73</v>
      </c>
      <c r="X1103" s="15"/>
      <c r="Y1103" s="15">
        <v>70.5</v>
      </c>
      <c r="Z1103" s="12">
        <v>2.02</v>
      </c>
      <c r="AB1103" s="16"/>
      <c r="AD1103" s="16"/>
      <c r="AE1103" s="1">
        <v>1</v>
      </c>
    </row>
    <row r="1104" spans="1:31" x14ac:dyDescent="0.2">
      <c r="A1104" s="1">
        <v>1103</v>
      </c>
      <c r="B1104" s="1">
        <v>2014</v>
      </c>
      <c r="C1104" s="1" t="s">
        <v>31</v>
      </c>
      <c r="D1104" s="1" t="s">
        <v>108</v>
      </c>
      <c r="E1104" s="1" t="s">
        <v>432</v>
      </c>
      <c r="F1104" s="1" t="s">
        <v>32</v>
      </c>
      <c r="G1104" s="1">
        <v>116</v>
      </c>
      <c r="I1104" s="12">
        <v>8.92</v>
      </c>
      <c r="J1104" s="12">
        <v>25.5</v>
      </c>
      <c r="K1104" s="1" t="s">
        <v>34</v>
      </c>
      <c r="L1104" s="16">
        <v>3503</v>
      </c>
      <c r="N1104" s="16">
        <v>31271</v>
      </c>
      <c r="O1104" s="15">
        <v>33.4</v>
      </c>
      <c r="P1104" s="15">
        <v>8.5</v>
      </c>
      <c r="Q1104" s="15">
        <v>38.9</v>
      </c>
      <c r="R1104" s="15">
        <v>58.2</v>
      </c>
      <c r="T1104" s="15"/>
      <c r="U1104" s="15">
        <v>34.9</v>
      </c>
      <c r="V1104" s="15">
        <v>5.4</v>
      </c>
      <c r="W1104" s="12">
        <v>0.74</v>
      </c>
      <c r="X1104" s="15"/>
      <c r="Y1104" s="15">
        <v>71.7</v>
      </c>
      <c r="Z1104" s="12">
        <v>2.0099999999999998</v>
      </c>
      <c r="AB1104" s="16"/>
      <c r="AD1104" s="16"/>
      <c r="AE1104" s="1">
        <v>1</v>
      </c>
    </row>
    <row r="1105" spans="1:31" x14ac:dyDescent="0.2">
      <c r="A1105" s="1">
        <v>1104</v>
      </c>
      <c r="B1105" s="1">
        <v>2015</v>
      </c>
      <c r="C1105" s="8" t="s">
        <v>31</v>
      </c>
      <c r="D1105" s="8" t="s">
        <v>125</v>
      </c>
      <c r="E1105" s="8" t="s">
        <v>489</v>
      </c>
      <c r="F1105" s="1" t="s">
        <v>32</v>
      </c>
      <c r="G1105" s="8">
        <v>115</v>
      </c>
      <c r="I1105" s="12">
        <v>8.9499999999999993</v>
      </c>
      <c r="J1105" s="7">
        <v>25.571428571428569</v>
      </c>
      <c r="L1105" s="14">
        <v>3503</v>
      </c>
      <c r="N1105" s="14">
        <v>31453</v>
      </c>
      <c r="O1105" s="13">
        <v>32.700000000000003</v>
      </c>
      <c r="P1105" s="13">
        <v>7.3</v>
      </c>
      <c r="Q1105" s="13">
        <v>41.4</v>
      </c>
      <c r="R1105" s="13">
        <v>55.6</v>
      </c>
      <c r="S1105" s="8"/>
      <c r="T1105" s="13">
        <v>26.3</v>
      </c>
      <c r="U1105" s="13">
        <v>34.700000000000003</v>
      </c>
      <c r="V1105" s="13">
        <v>3.2</v>
      </c>
      <c r="W1105" s="7">
        <v>0.74</v>
      </c>
      <c r="X1105" s="13"/>
      <c r="Y1105" s="13">
        <v>73.900000000000006</v>
      </c>
      <c r="Z1105" s="7">
        <v>2.04</v>
      </c>
      <c r="AA1105" s="1" t="s">
        <v>89</v>
      </c>
      <c r="AB1105" s="16" t="s">
        <v>89</v>
      </c>
      <c r="AC1105" s="1" t="s">
        <v>89</v>
      </c>
      <c r="AD1105" s="16" t="s">
        <v>89</v>
      </c>
      <c r="AE1105" s="1">
        <v>1</v>
      </c>
    </row>
    <row r="1106" spans="1:31" x14ac:dyDescent="0.2">
      <c r="A1106" s="1">
        <v>1105</v>
      </c>
      <c r="B1106" s="1">
        <v>2010</v>
      </c>
      <c r="C1106" s="1" t="s">
        <v>31</v>
      </c>
      <c r="D1106" s="8" t="s">
        <v>125</v>
      </c>
      <c r="E1106" s="8" t="s">
        <v>174</v>
      </c>
      <c r="F1106" s="1" t="s">
        <v>32</v>
      </c>
      <c r="I1106" s="12">
        <v>9.5</v>
      </c>
      <c r="J1106" s="7">
        <v>27.1428571428571</v>
      </c>
      <c r="L1106" s="14">
        <v>3503</v>
      </c>
      <c r="N1106" s="14">
        <v>33308</v>
      </c>
      <c r="O1106" s="13">
        <v>30.5</v>
      </c>
      <c r="P1106" s="13">
        <v>9.9</v>
      </c>
      <c r="Q1106" s="13">
        <v>40.9</v>
      </c>
      <c r="R1106" s="13">
        <v>56</v>
      </c>
      <c r="S1106" s="13"/>
      <c r="T1106" s="15"/>
      <c r="U1106" s="13">
        <v>37.6</v>
      </c>
      <c r="V1106" s="13">
        <v>6.2</v>
      </c>
      <c r="W1106" s="12"/>
      <c r="X1106" s="15"/>
      <c r="Y1106" s="13">
        <v>72.599999999999994</v>
      </c>
      <c r="Z1106" s="7">
        <v>2.1800000000000002</v>
      </c>
      <c r="AB1106" s="16"/>
      <c r="AD1106" s="16"/>
      <c r="AE1106" s="1">
        <v>1</v>
      </c>
    </row>
    <row r="1107" spans="1:31" x14ac:dyDescent="0.2">
      <c r="A1107" s="1">
        <v>1106</v>
      </c>
      <c r="B1107" s="1">
        <v>2012</v>
      </c>
      <c r="C1107" s="1" t="s">
        <v>31</v>
      </c>
      <c r="D1107" s="1" t="s">
        <v>291</v>
      </c>
      <c r="E1107" s="1" t="s">
        <v>293</v>
      </c>
      <c r="F1107" s="1" t="s">
        <v>32</v>
      </c>
      <c r="I1107" s="12">
        <v>9.85</v>
      </c>
      <c r="J1107" s="12">
        <v>28.1</v>
      </c>
      <c r="L1107" s="16">
        <v>3503</v>
      </c>
      <c r="N1107" s="16">
        <v>34513</v>
      </c>
      <c r="O1107" s="15">
        <v>32.700000000000003</v>
      </c>
      <c r="P1107" s="15">
        <v>7.5</v>
      </c>
      <c r="Q1107" s="15">
        <v>43.9</v>
      </c>
      <c r="R1107" s="15">
        <v>62.2</v>
      </c>
      <c r="T1107" s="15"/>
      <c r="U1107" s="15">
        <v>32.5</v>
      </c>
      <c r="V1107" s="15">
        <v>6.4</v>
      </c>
      <c r="W1107" s="12">
        <v>0.74</v>
      </c>
      <c r="X1107" s="15"/>
      <c r="Y1107" s="15"/>
      <c r="Z1107" s="12">
        <v>2.67</v>
      </c>
      <c r="AB1107" s="16"/>
      <c r="AD1107" s="16"/>
      <c r="AE1107" s="1">
        <v>1</v>
      </c>
    </row>
    <row r="1108" spans="1:31" x14ac:dyDescent="0.2">
      <c r="A1108" s="1">
        <v>1107</v>
      </c>
      <c r="B1108" s="1">
        <v>2021</v>
      </c>
      <c r="C1108" s="1" t="s">
        <v>88</v>
      </c>
      <c r="D1108" s="1" t="s">
        <v>874</v>
      </c>
      <c r="E1108" s="1" t="s">
        <v>835</v>
      </c>
      <c r="F1108" s="1" t="s">
        <v>83</v>
      </c>
      <c r="H1108" s="1" t="s">
        <v>89</v>
      </c>
      <c r="I1108" s="12">
        <v>5.7628725313829996</v>
      </c>
      <c r="J1108" s="12">
        <v>16.465350090000001</v>
      </c>
      <c r="K1108" s="1" t="s">
        <v>34</v>
      </c>
      <c r="L1108" s="16">
        <v>3503.75</v>
      </c>
      <c r="N1108" s="16">
        <v>20168.035874780999</v>
      </c>
      <c r="O1108" s="15">
        <v>28.490627699999997</v>
      </c>
      <c r="P1108" s="15">
        <v>8.6624999999999996</v>
      </c>
      <c r="Q1108" s="15">
        <v>43.975000000000001</v>
      </c>
      <c r="R1108" s="15">
        <v>50.847499999999997</v>
      </c>
      <c r="U1108" s="15">
        <v>18.802499999999998</v>
      </c>
      <c r="V1108" s="15">
        <v>10.4575</v>
      </c>
      <c r="W1108" s="12">
        <v>0.74252499999999999</v>
      </c>
      <c r="X1108" s="15"/>
      <c r="Y1108" s="15">
        <v>66.527500000000003</v>
      </c>
      <c r="Z1108" s="12"/>
      <c r="AA1108" s="15">
        <v>0.5</v>
      </c>
      <c r="AB1108" s="16">
        <f>AA1108*33.334</f>
        <v>16.667000000000002</v>
      </c>
      <c r="AC1108" s="1">
        <v>0</v>
      </c>
      <c r="AD1108" s="16">
        <f>AC1108*33.334</f>
        <v>0</v>
      </c>
      <c r="AE1108" s="1">
        <v>1</v>
      </c>
    </row>
    <row r="1109" spans="1:31" x14ac:dyDescent="0.2">
      <c r="A1109" s="1">
        <v>1108</v>
      </c>
      <c r="B1109" s="1">
        <v>2016</v>
      </c>
      <c r="C1109" s="1" t="s">
        <v>88</v>
      </c>
      <c r="D1109" s="8" t="s">
        <v>246</v>
      </c>
      <c r="E1109" s="8" t="s">
        <v>574</v>
      </c>
      <c r="F1109" s="1" t="s">
        <v>32</v>
      </c>
      <c r="I1109" s="12">
        <v>7.125</v>
      </c>
      <c r="J1109" s="7">
        <v>20.3571428571429</v>
      </c>
      <c r="K1109" s="1" t="s">
        <v>34</v>
      </c>
      <c r="L1109" s="5">
        <v>3504</v>
      </c>
      <c r="N1109" s="5">
        <v>24944.174999999999</v>
      </c>
      <c r="O1109" s="6">
        <v>31.55</v>
      </c>
      <c r="P1109" s="6">
        <v>8.6999999999999993</v>
      </c>
      <c r="Q1109" s="6">
        <v>43.777500000000003</v>
      </c>
      <c r="R1109" s="6">
        <v>45.2575</v>
      </c>
      <c r="S1109" s="6"/>
      <c r="T1109" s="6">
        <v>27.232500000000002</v>
      </c>
      <c r="U1109" s="6">
        <v>29.4</v>
      </c>
      <c r="V1109" s="6">
        <v>3.8275000000000001</v>
      </c>
      <c r="W1109" s="7">
        <v>0.7</v>
      </c>
      <c r="X1109" s="13"/>
      <c r="Y1109" s="6">
        <v>65.8</v>
      </c>
      <c r="Z1109" s="3">
        <v>1.40269709</v>
      </c>
      <c r="AA1109" s="6">
        <v>0.5</v>
      </c>
      <c r="AB1109" s="16">
        <f>AA1109*10</f>
        <v>5</v>
      </c>
      <c r="AC1109" s="6">
        <v>3.75</v>
      </c>
      <c r="AD1109" s="16">
        <f>AC1109*10</f>
        <v>37.5</v>
      </c>
      <c r="AE1109" s="1">
        <v>1</v>
      </c>
    </row>
    <row r="1110" spans="1:31" x14ac:dyDescent="0.2">
      <c r="A1110" s="1">
        <v>1109</v>
      </c>
      <c r="B1110" s="1">
        <v>2016</v>
      </c>
      <c r="C1110" s="1" t="s">
        <v>88</v>
      </c>
      <c r="D1110" s="8" t="s">
        <v>187</v>
      </c>
      <c r="E1110" s="8" t="s">
        <v>576</v>
      </c>
      <c r="F1110" s="1" t="s">
        <v>32</v>
      </c>
      <c r="I1110" s="12">
        <v>6.1</v>
      </c>
      <c r="J1110" s="7">
        <v>17.428571428571399</v>
      </c>
      <c r="K1110" s="1" t="s">
        <v>34</v>
      </c>
      <c r="L1110" s="5">
        <v>3505</v>
      </c>
      <c r="N1110" s="5">
        <v>21481.474999999999</v>
      </c>
      <c r="O1110" s="6">
        <v>27.844999999999999</v>
      </c>
      <c r="P1110" s="6">
        <v>8.6</v>
      </c>
      <c r="Q1110" s="6">
        <v>46.664999999999999</v>
      </c>
      <c r="R1110" s="6">
        <v>57.1</v>
      </c>
      <c r="S1110" s="6"/>
      <c r="T1110" s="6">
        <v>30.35</v>
      </c>
      <c r="U1110" s="6">
        <v>23.96</v>
      </c>
      <c r="V1110" s="6">
        <v>5.12</v>
      </c>
      <c r="W1110" s="7">
        <v>0.67</v>
      </c>
      <c r="X1110" s="13"/>
      <c r="Y1110" s="6">
        <v>67.5</v>
      </c>
      <c r="Z1110" s="3">
        <v>1.6269093699999999</v>
      </c>
      <c r="AA1110" s="13">
        <v>2</v>
      </c>
      <c r="AB1110" s="16">
        <f>AA1110*10</f>
        <v>20</v>
      </c>
      <c r="AC1110" s="13">
        <v>1</v>
      </c>
      <c r="AD1110" s="16">
        <f>AC1110*10</f>
        <v>10</v>
      </c>
      <c r="AE1110" s="1">
        <v>1</v>
      </c>
    </row>
    <row r="1111" spans="1:31" x14ac:dyDescent="0.2">
      <c r="A1111" s="1">
        <v>1110</v>
      </c>
      <c r="B1111" s="1">
        <v>2017</v>
      </c>
      <c r="C1111" s="1" t="s">
        <v>31</v>
      </c>
      <c r="D1111" s="8" t="s">
        <v>37</v>
      </c>
      <c r="E1111" s="8" t="s">
        <v>619</v>
      </c>
      <c r="F1111" s="1" t="s">
        <v>32</v>
      </c>
      <c r="G1111" s="8">
        <v>114</v>
      </c>
      <c r="I1111" s="12">
        <v>7.8470774199999997</v>
      </c>
      <c r="J1111" s="3">
        <v>22.4202212</v>
      </c>
      <c r="K1111" s="1" t="s">
        <v>34</v>
      </c>
      <c r="L1111" s="5">
        <v>3505</v>
      </c>
      <c r="N1111" s="5">
        <v>27534.928800000002</v>
      </c>
      <c r="O1111" s="6">
        <v>31.211809599999999</v>
      </c>
      <c r="P1111" s="6">
        <v>8.1</v>
      </c>
      <c r="Q1111" s="6">
        <v>38.017499999999998</v>
      </c>
      <c r="R1111" s="6">
        <v>53.48</v>
      </c>
      <c r="S1111" s="3"/>
      <c r="T1111" s="6">
        <v>23.69</v>
      </c>
      <c r="U1111" s="6">
        <v>36.840000000000003</v>
      </c>
      <c r="V1111" s="6">
        <v>3.24</v>
      </c>
      <c r="W1111" s="3">
        <v>0.77921629999999997</v>
      </c>
      <c r="X1111" s="6"/>
      <c r="Y1111" s="6">
        <v>72.06</v>
      </c>
      <c r="Z1111" s="3">
        <v>1.59264044</v>
      </c>
      <c r="AB1111" s="16"/>
      <c r="AD1111" s="16"/>
      <c r="AE1111" s="1">
        <v>1</v>
      </c>
    </row>
    <row r="1112" spans="1:31" x14ac:dyDescent="0.2">
      <c r="A1112" s="1">
        <v>1111</v>
      </c>
      <c r="B1112" s="1">
        <v>2008</v>
      </c>
      <c r="C1112" s="1" t="s">
        <v>31</v>
      </c>
      <c r="D1112" s="1" t="s">
        <v>805</v>
      </c>
      <c r="E1112" s="8" t="s">
        <v>49</v>
      </c>
      <c r="F1112" s="8" t="s">
        <v>32</v>
      </c>
      <c r="G1112" s="8"/>
      <c r="H1112" s="8"/>
      <c r="I1112" s="12">
        <v>8.66</v>
      </c>
      <c r="J1112" s="7">
        <v>24.742857142857144</v>
      </c>
      <c r="K1112" s="13"/>
      <c r="L1112" s="14">
        <v>3505</v>
      </c>
      <c r="M1112" s="14"/>
      <c r="N1112" s="14">
        <v>30274</v>
      </c>
      <c r="O1112" s="13">
        <v>29.8</v>
      </c>
      <c r="P1112" s="13">
        <v>8.9</v>
      </c>
      <c r="Q1112" s="13">
        <v>43.2</v>
      </c>
      <c r="R1112" s="13">
        <v>66.5</v>
      </c>
      <c r="S1112" s="13"/>
      <c r="T1112" s="13"/>
      <c r="U1112" s="13">
        <v>30</v>
      </c>
      <c r="V1112" s="13"/>
      <c r="W1112" s="13"/>
      <c r="X1112" s="15"/>
      <c r="Y1112" s="13">
        <v>74.7</v>
      </c>
      <c r="Z1112" s="7">
        <v>2.5</v>
      </c>
      <c r="AB1112" s="16"/>
      <c r="AD1112" s="16"/>
      <c r="AE1112" s="1">
        <v>1</v>
      </c>
    </row>
    <row r="1113" spans="1:31" x14ac:dyDescent="0.2">
      <c r="A1113" s="1">
        <v>1112</v>
      </c>
      <c r="B1113" s="1">
        <v>2009</v>
      </c>
      <c r="C1113" s="1" t="s">
        <v>31</v>
      </c>
      <c r="D1113" s="8" t="s">
        <v>37</v>
      </c>
      <c r="E1113" s="8" t="s">
        <v>130</v>
      </c>
      <c r="F1113" s="1" t="s">
        <v>32</v>
      </c>
      <c r="I1113" s="12">
        <v>7.78</v>
      </c>
      <c r="J1113" s="7">
        <v>22.228571428571399</v>
      </c>
      <c r="L1113" s="14">
        <v>3506</v>
      </c>
      <c r="N1113" s="14">
        <v>27285</v>
      </c>
      <c r="O1113" s="13">
        <v>28.3</v>
      </c>
      <c r="P1113" s="13">
        <v>9.5</v>
      </c>
      <c r="Q1113" s="13">
        <v>41</v>
      </c>
      <c r="R1113" s="13">
        <v>57.3</v>
      </c>
      <c r="S1113" s="13"/>
      <c r="T1113" s="15" t="s">
        <v>89</v>
      </c>
      <c r="U1113" s="13">
        <v>34.5</v>
      </c>
      <c r="V1113" s="13">
        <v>7.5</v>
      </c>
      <c r="W1113" s="12" t="s">
        <v>89</v>
      </c>
      <c r="X1113" s="15"/>
      <c r="Y1113" s="13">
        <v>74.099999999999994</v>
      </c>
      <c r="Z1113" s="7">
        <v>1.83</v>
      </c>
      <c r="AB1113" s="16"/>
      <c r="AD1113" s="16"/>
      <c r="AE1113" s="1">
        <v>1</v>
      </c>
    </row>
    <row r="1114" spans="1:31" x14ac:dyDescent="0.2">
      <c r="A1114" s="1">
        <v>1113</v>
      </c>
      <c r="B1114" s="1">
        <v>2010</v>
      </c>
      <c r="C1114" s="1" t="s">
        <v>31</v>
      </c>
      <c r="D1114" s="1" t="s">
        <v>916</v>
      </c>
      <c r="E1114" s="8" t="s">
        <v>151</v>
      </c>
      <c r="F1114" s="1" t="s">
        <v>32</v>
      </c>
      <c r="I1114" s="12">
        <v>9.32</v>
      </c>
      <c r="J1114" s="7">
        <v>26.628571428571401</v>
      </c>
      <c r="L1114" s="14">
        <v>3506</v>
      </c>
      <c r="N1114" s="14">
        <v>32779</v>
      </c>
      <c r="O1114" s="13">
        <v>32.6</v>
      </c>
      <c r="P1114" s="13">
        <v>9.8000000000000007</v>
      </c>
      <c r="Q1114" s="13">
        <v>39.9</v>
      </c>
      <c r="R1114" s="13">
        <v>55.6</v>
      </c>
      <c r="S1114" s="13"/>
      <c r="T1114" s="15"/>
      <c r="U1114" s="13">
        <v>38.299999999999997</v>
      </c>
      <c r="V1114" s="13">
        <v>5.7</v>
      </c>
      <c r="W1114" s="12"/>
      <c r="X1114" s="15"/>
      <c r="Y1114" s="13">
        <v>72.7</v>
      </c>
      <c r="Z1114" s="7">
        <v>2.08</v>
      </c>
      <c r="AB1114" s="16"/>
      <c r="AD1114" s="16"/>
      <c r="AE1114" s="1">
        <v>1</v>
      </c>
    </row>
    <row r="1115" spans="1:31" x14ac:dyDescent="0.2">
      <c r="A1115" s="1">
        <v>1114</v>
      </c>
      <c r="B1115" s="1">
        <v>2009</v>
      </c>
      <c r="C1115" s="1" t="s">
        <v>31</v>
      </c>
      <c r="D1115" s="28" t="s">
        <v>914</v>
      </c>
      <c r="E1115" s="8" t="s">
        <v>43</v>
      </c>
      <c r="F1115" s="1" t="s">
        <v>32</v>
      </c>
      <c r="I1115" s="12">
        <v>7.66</v>
      </c>
      <c r="J1115" s="7">
        <v>21.8857142857143</v>
      </c>
      <c r="L1115" s="14">
        <v>3507</v>
      </c>
      <c r="N1115" s="14">
        <v>26932</v>
      </c>
      <c r="O1115" s="13">
        <v>38</v>
      </c>
      <c r="P1115" s="13">
        <v>9.1999999999999993</v>
      </c>
      <c r="Q1115" s="13">
        <v>42</v>
      </c>
      <c r="R1115" s="13">
        <v>56.7</v>
      </c>
      <c r="S1115" s="13"/>
      <c r="T1115" s="15" t="s">
        <v>89</v>
      </c>
      <c r="U1115" s="13">
        <v>37</v>
      </c>
      <c r="V1115" s="13">
        <v>5.6</v>
      </c>
      <c r="W1115" s="12" t="s">
        <v>89</v>
      </c>
      <c r="X1115" s="15"/>
      <c r="Y1115" s="13">
        <v>74.099999999999994</v>
      </c>
      <c r="Z1115" s="7">
        <v>1.82</v>
      </c>
      <c r="AB1115" s="16"/>
      <c r="AD1115" s="16"/>
      <c r="AE1115" s="1">
        <v>1</v>
      </c>
    </row>
    <row r="1116" spans="1:31" x14ac:dyDescent="0.2">
      <c r="A1116" s="1">
        <v>1115</v>
      </c>
      <c r="B1116" s="1">
        <v>2016</v>
      </c>
      <c r="C1116" s="1" t="s">
        <v>31</v>
      </c>
      <c r="D1116" s="8" t="s">
        <v>291</v>
      </c>
      <c r="E1116" s="8" t="s">
        <v>533</v>
      </c>
      <c r="F1116" s="1" t="s">
        <v>32</v>
      </c>
      <c r="G1116" s="8">
        <v>116</v>
      </c>
      <c r="I1116" s="12">
        <v>9.02</v>
      </c>
      <c r="J1116" s="7">
        <v>25.771428571428601</v>
      </c>
      <c r="K1116" s="1" t="s">
        <v>34</v>
      </c>
      <c r="L1116" s="14">
        <v>3507</v>
      </c>
      <c r="N1116" s="14">
        <v>31734</v>
      </c>
      <c r="O1116" s="13">
        <v>33.299999999999997</v>
      </c>
      <c r="P1116" s="13">
        <v>7.8</v>
      </c>
      <c r="Q1116" s="13">
        <v>39.5</v>
      </c>
      <c r="R1116" s="13">
        <v>57.2</v>
      </c>
      <c r="S1116" s="13"/>
      <c r="T1116" s="13">
        <v>23</v>
      </c>
      <c r="U1116" s="13">
        <v>35.5</v>
      </c>
      <c r="V1116" s="13">
        <v>3.5</v>
      </c>
      <c r="W1116" s="7">
        <v>0.75</v>
      </c>
      <c r="X1116" s="13"/>
      <c r="Y1116" s="13">
        <v>73</v>
      </c>
      <c r="Z1116" s="7">
        <v>2.02</v>
      </c>
      <c r="AA1116" s="15" t="s">
        <v>89</v>
      </c>
      <c r="AB1116" s="16"/>
      <c r="AD1116" s="16"/>
      <c r="AE1116" s="1">
        <v>1</v>
      </c>
    </row>
    <row r="1117" spans="1:31" x14ac:dyDescent="0.2">
      <c r="A1117" s="1">
        <v>1116</v>
      </c>
      <c r="B1117" s="1">
        <v>2018</v>
      </c>
      <c r="C1117" s="1" t="s">
        <v>31</v>
      </c>
      <c r="D1117" s="1" t="s">
        <v>391</v>
      </c>
      <c r="E1117" s="1" t="s">
        <v>495</v>
      </c>
      <c r="F1117" s="1" t="s">
        <v>32</v>
      </c>
      <c r="G1117" s="1">
        <v>115</v>
      </c>
      <c r="I1117" s="12">
        <v>7.6</v>
      </c>
      <c r="J1117" s="3">
        <v>21.663469800000001</v>
      </c>
      <c r="K1117" s="1" t="s">
        <v>34</v>
      </c>
      <c r="L1117" s="5">
        <v>3507.3</v>
      </c>
      <c r="M1117" s="1" t="s">
        <v>34</v>
      </c>
      <c r="N1117" s="5">
        <v>26589</v>
      </c>
      <c r="O1117" s="6">
        <v>33.907499999999999</v>
      </c>
      <c r="P1117" s="18">
        <v>8.4</v>
      </c>
      <c r="Q1117" s="6">
        <v>37.022500000000001</v>
      </c>
      <c r="R1117" s="6">
        <v>58.3</v>
      </c>
      <c r="S1117" s="3"/>
      <c r="T1117" s="6">
        <v>22.92</v>
      </c>
      <c r="U1117" s="6">
        <v>39.6</v>
      </c>
      <c r="V1117" s="6">
        <v>4.6100000000000003</v>
      </c>
      <c r="W1117" s="3">
        <v>0.74900000000000011</v>
      </c>
      <c r="X1117" s="6"/>
      <c r="Y1117" s="6">
        <v>72.099999999999994</v>
      </c>
      <c r="Z1117" s="3">
        <v>1.6351455699999999</v>
      </c>
      <c r="AB1117" s="16"/>
      <c r="AD1117" s="16"/>
      <c r="AE1117" s="1">
        <v>1</v>
      </c>
    </row>
    <row r="1118" spans="1:31" x14ac:dyDescent="0.2">
      <c r="A1118" s="1">
        <v>1117</v>
      </c>
      <c r="B1118" s="1">
        <v>2015</v>
      </c>
      <c r="C1118" s="8" t="s">
        <v>31</v>
      </c>
      <c r="D1118" s="8" t="s">
        <v>402</v>
      </c>
      <c r="E1118" s="8" t="s">
        <v>479</v>
      </c>
      <c r="F1118" s="1" t="s">
        <v>32</v>
      </c>
      <c r="G1118" s="8">
        <v>118</v>
      </c>
      <c r="I1118" s="12">
        <v>9.86</v>
      </c>
      <c r="J1118" s="7">
        <v>28.171428571428571</v>
      </c>
      <c r="L1118" s="14">
        <v>3508</v>
      </c>
      <c r="M1118" s="1" t="s">
        <v>34</v>
      </c>
      <c r="N1118" s="14">
        <v>34596</v>
      </c>
      <c r="O1118" s="13">
        <v>32.4</v>
      </c>
      <c r="P1118" s="13">
        <v>7.5</v>
      </c>
      <c r="Q1118" s="13">
        <v>39.1</v>
      </c>
      <c r="R1118" s="13">
        <v>51.9</v>
      </c>
      <c r="S1118" s="8"/>
      <c r="T1118" s="13">
        <v>26.2</v>
      </c>
      <c r="U1118" s="13">
        <v>33</v>
      </c>
      <c r="V1118" s="13">
        <v>3.9</v>
      </c>
      <c r="W1118" s="7">
        <v>0.74</v>
      </c>
      <c r="X1118" s="13"/>
      <c r="Y1118" s="13">
        <v>73.5</v>
      </c>
      <c r="Z1118" s="7">
        <v>2</v>
      </c>
      <c r="AA1118" s="1" t="s">
        <v>89</v>
      </c>
      <c r="AB1118" s="16" t="s">
        <v>89</v>
      </c>
      <c r="AC1118" s="1" t="s">
        <v>89</v>
      </c>
      <c r="AD1118" s="16" t="s">
        <v>89</v>
      </c>
      <c r="AE1118" s="1">
        <v>1</v>
      </c>
    </row>
    <row r="1119" spans="1:31" x14ac:dyDescent="0.2">
      <c r="A1119" s="1">
        <v>1118</v>
      </c>
      <c r="B1119" s="1">
        <v>2015</v>
      </c>
      <c r="C1119" s="8" t="s">
        <v>31</v>
      </c>
      <c r="D1119" s="8" t="s">
        <v>125</v>
      </c>
      <c r="E1119" s="8" t="s">
        <v>324</v>
      </c>
      <c r="F1119" s="1" t="s">
        <v>32</v>
      </c>
      <c r="G1119" s="8">
        <v>115</v>
      </c>
      <c r="I1119" s="12">
        <v>8.43</v>
      </c>
      <c r="J1119" s="7">
        <v>24.085714285714285</v>
      </c>
      <c r="L1119" s="14">
        <v>3509</v>
      </c>
      <c r="N1119" s="14">
        <v>29440</v>
      </c>
      <c r="O1119" s="13">
        <v>32.9</v>
      </c>
      <c r="P1119" s="13">
        <v>7.4</v>
      </c>
      <c r="Q1119" s="13">
        <v>38.799999999999997</v>
      </c>
      <c r="R1119" s="13">
        <v>53.1</v>
      </c>
      <c r="S1119" s="8"/>
      <c r="T1119" s="13">
        <v>25.9</v>
      </c>
      <c r="U1119" s="13">
        <v>34.5</v>
      </c>
      <c r="V1119" s="13">
        <v>3.7</v>
      </c>
      <c r="W1119" s="7">
        <v>0.74</v>
      </c>
      <c r="X1119" s="13"/>
      <c r="Y1119" s="13">
        <v>73.7</v>
      </c>
      <c r="Z1119" s="7">
        <v>1.76</v>
      </c>
      <c r="AA1119" s="1" t="s">
        <v>89</v>
      </c>
      <c r="AB1119" s="16" t="s">
        <v>89</v>
      </c>
      <c r="AC1119" s="1" t="s">
        <v>89</v>
      </c>
      <c r="AD1119" s="16" t="s">
        <v>89</v>
      </c>
      <c r="AE1119" s="1">
        <v>1</v>
      </c>
    </row>
    <row r="1120" spans="1:31" x14ac:dyDescent="0.2">
      <c r="A1120" s="1">
        <v>1119</v>
      </c>
      <c r="B1120" s="1">
        <v>2009</v>
      </c>
      <c r="C1120" s="1" t="s">
        <v>31</v>
      </c>
      <c r="D1120" s="8" t="s">
        <v>874</v>
      </c>
      <c r="E1120" s="8" t="s">
        <v>116</v>
      </c>
      <c r="F1120" s="1" t="s">
        <v>32</v>
      </c>
      <c r="I1120" s="12">
        <v>8.17</v>
      </c>
      <c r="J1120" s="7">
        <v>23.342857142857099</v>
      </c>
      <c r="L1120" s="14">
        <v>3510</v>
      </c>
      <c r="N1120" s="14">
        <v>28659</v>
      </c>
      <c r="O1120" s="13">
        <v>29.2</v>
      </c>
      <c r="P1120" s="13">
        <v>9.3000000000000007</v>
      </c>
      <c r="Q1120" s="13">
        <v>42.3</v>
      </c>
      <c r="R1120" s="13">
        <v>59.2</v>
      </c>
      <c r="S1120" s="13"/>
      <c r="T1120" s="15" t="s">
        <v>89</v>
      </c>
      <c r="U1120" s="13">
        <v>35.4</v>
      </c>
      <c r="V1120" s="13">
        <v>5.7</v>
      </c>
      <c r="W1120" s="12" t="s">
        <v>89</v>
      </c>
      <c r="X1120" s="15"/>
      <c r="Y1120" s="13">
        <v>74.400000000000006</v>
      </c>
      <c r="Z1120" s="7">
        <v>2.0499999999999998</v>
      </c>
      <c r="AB1120" s="16"/>
      <c r="AD1120" s="16"/>
      <c r="AE1120" s="1">
        <v>1</v>
      </c>
    </row>
    <row r="1121" spans="1:31" x14ac:dyDescent="0.2">
      <c r="A1121" s="1">
        <v>1120</v>
      </c>
      <c r="B1121" s="1">
        <v>2014</v>
      </c>
      <c r="C1121" s="1" t="s">
        <v>31</v>
      </c>
      <c r="D1121" s="1" t="s">
        <v>71</v>
      </c>
      <c r="E1121" s="1" t="s">
        <v>423</v>
      </c>
      <c r="F1121" s="1" t="s">
        <v>32</v>
      </c>
      <c r="G1121" s="1">
        <v>116</v>
      </c>
      <c r="I1121" s="12">
        <v>8.3000000000000007</v>
      </c>
      <c r="J1121" s="12">
        <v>23.7</v>
      </c>
      <c r="K1121" s="1" t="s">
        <v>34</v>
      </c>
      <c r="L1121" s="16">
        <v>3510</v>
      </c>
      <c r="N1121" s="16">
        <v>29135</v>
      </c>
      <c r="O1121" s="15">
        <v>30.1</v>
      </c>
      <c r="P1121" s="15">
        <v>8.3000000000000007</v>
      </c>
      <c r="Q1121" s="15">
        <v>44.6</v>
      </c>
      <c r="R1121" s="15">
        <v>62.9</v>
      </c>
      <c r="T1121" s="15"/>
      <c r="U1121" s="15">
        <v>28.7</v>
      </c>
      <c r="V1121" s="15">
        <v>5</v>
      </c>
      <c r="W1121" s="12">
        <v>0.72</v>
      </c>
      <c r="X1121" s="15"/>
      <c r="Y1121" s="15">
        <v>69.7</v>
      </c>
      <c r="Z1121" s="12">
        <v>2.3199999999999998</v>
      </c>
      <c r="AB1121" s="16"/>
      <c r="AD1121" s="16"/>
      <c r="AE1121" s="1">
        <v>1</v>
      </c>
    </row>
    <row r="1122" spans="1:31" x14ac:dyDescent="0.2">
      <c r="A1122" s="1">
        <v>1121</v>
      </c>
      <c r="B1122" s="1">
        <v>2009</v>
      </c>
      <c r="C1122" s="1" t="s">
        <v>31</v>
      </c>
      <c r="D1122" s="8" t="s">
        <v>37</v>
      </c>
      <c r="E1122" s="8" t="s">
        <v>129</v>
      </c>
      <c r="F1122" s="1" t="s">
        <v>32</v>
      </c>
      <c r="I1122" s="12">
        <v>8.09</v>
      </c>
      <c r="J1122" s="7">
        <v>23.1142857142857</v>
      </c>
      <c r="L1122" s="14">
        <v>3511</v>
      </c>
      <c r="N1122" s="14">
        <v>28390</v>
      </c>
      <c r="O1122" s="13">
        <v>28.9</v>
      </c>
      <c r="P1122" s="13">
        <v>10</v>
      </c>
      <c r="Q1122" s="13">
        <v>41.6</v>
      </c>
      <c r="R1122" s="13">
        <v>58.1</v>
      </c>
      <c r="S1122" s="13"/>
      <c r="T1122" s="15" t="s">
        <v>89</v>
      </c>
      <c r="U1122" s="13">
        <v>35</v>
      </c>
      <c r="V1122" s="13">
        <v>6.8</v>
      </c>
      <c r="W1122" s="12" t="s">
        <v>89</v>
      </c>
      <c r="X1122" s="15"/>
      <c r="Y1122" s="13">
        <v>74.3</v>
      </c>
      <c r="Z1122" s="7">
        <v>1.96</v>
      </c>
      <c r="AB1122" s="16"/>
      <c r="AD1122" s="16"/>
      <c r="AE1122" s="1">
        <v>1</v>
      </c>
    </row>
    <row r="1123" spans="1:31" x14ac:dyDescent="0.2">
      <c r="A1123" s="1">
        <v>1122</v>
      </c>
      <c r="B1123" s="1">
        <v>2014</v>
      </c>
      <c r="C1123" s="1" t="s">
        <v>31</v>
      </c>
      <c r="D1123" s="1" t="s">
        <v>402</v>
      </c>
      <c r="E1123" s="1" t="s">
        <v>406</v>
      </c>
      <c r="F1123" s="1" t="s">
        <v>32</v>
      </c>
      <c r="G1123" s="1">
        <v>116</v>
      </c>
      <c r="I1123" s="12">
        <v>8.61</v>
      </c>
      <c r="J1123" s="12">
        <v>24.6</v>
      </c>
      <c r="K1123" s="1" t="s">
        <v>34</v>
      </c>
      <c r="L1123" s="16">
        <v>3511</v>
      </c>
      <c r="N1123" s="16">
        <v>30198</v>
      </c>
      <c r="O1123" s="15">
        <v>33.700000000000003</v>
      </c>
      <c r="P1123" s="15">
        <v>8.1</v>
      </c>
      <c r="Q1123" s="15">
        <v>37.6</v>
      </c>
      <c r="R1123" s="15">
        <v>58.2</v>
      </c>
      <c r="T1123" s="15"/>
      <c r="U1123" s="15">
        <v>35.9</v>
      </c>
      <c r="V1123" s="15">
        <v>5.9</v>
      </c>
      <c r="W1123" s="12">
        <v>0.74</v>
      </c>
      <c r="X1123" s="15"/>
      <c r="Y1123" s="15">
        <v>71.400000000000006</v>
      </c>
      <c r="Z1123" s="12">
        <v>1.88</v>
      </c>
      <c r="AB1123" s="16"/>
      <c r="AD1123" s="16"/>
      <c r="AE1123" s="1">
        <v>1</v>
      </c>
    </row>
    <row r="1124" spans="1:31" x14ac:dyDescent="0.2">
      <c r="A1124" s="1">
        <v>1123</v>
      </c>
      <c r="B1124" s="1">
        <v>2009</v>
      </c>
      <c r="C1124" s="1" t="s">
        <v>31</v>
      </c>
      <c r="D1124" s="8" t="s">
        <v>54</v>
      </c>
      <c r="E1124" s="8" t="s">
        <v>55</v>
      </c>
      <c r="F1124" s="1" t="s">
        <v>32</v>
      </c>
      <c r="I1124" s="12">
        <v>7.16</v>
      </c>
      <c r="J1124" s="7">
        <v>20.457142857142902</v>
      </c>
      <c r="L1124" s="14">
        <v>3512</v>
      </c>
      <c r="N1124" s="14">
        <v>25138</v>
      </c>
      <c r="O1124" s="13">
        <v>27.4</v>
      </c>
      <c r="P1124" s="13">
        <v>8.6999999999999993</v>
      </c>
      <c r="Q1124" s="13">
        <v>41.2</v>
      </c>
      <c r="R1124" s="13">
        <v>57.9</v>
      </c>
      <c r="S1124" s="13"/>
      <c r="T1124" s="13" t="s">
        <v>89</v>
      </c>
      <c r="U1124" s="13">
        <v>36.9</v>
      </c>
      <c r="V1124" s="13">
        <v>7</v>
      </c>
      <c r="W1124" s="7" t="s">
        <v>89</v>
      </c>
      <c r="X1124" s="13"/>
      <c r="Y1124" s="13">
        <v>74.3</v>
      </c>
      <c r="Z1124" s="7">
        <v>1.72</v>
      </c>
      <c r="AB1124" s="16"/>
      <c r="AD1124" s="16"/>
      <c r="AE1124" s="1">
        <v>1</v>
      </c>
    </row>
    <row r="1125" spans="1:31" x14ac:dyDescent="0.2">
      <c r="A1125" s="1">
        <v>1124</v>
      </c>
      <c r="B1125" s="1">
        <v>2009</v>
      </c>
      <c r="C1125" s="1" t="s">
        <v>31</v>
      </c>
      <c r="D1125" s="1" t="s">
        <v>916</v>
      </c>
      <c r="E1125" s="8" t="s">
        <v>112</v>
      </c>
      <c r="F1125" s="1" t="s">
        <v>32</v>
      </c>
      <c r="I1125" s="12">
        <v>8.5399999999999991</v>
      </c>
      <c r="J1125" s="7">
        <v>24.4</v>
      </c>
      <c r="L1125" s="14">
        <v>3512</v>
      </c>
      <c r="N1125" s="14">
        <v>29976</v>
      </c>
      <c r="O1125" s="13">
        <v>32.799999999999997</v>
      </c>
      <c r="P1125" s="13">
        <v>9.1</v>
      </c>
      <c r="Q1125" s="13">
        <v>41.3</v>
      </c>
      <c r="R1125" s="13">
        <v>57.3</v>
      </c>
      <c r="S1125" s="13"/>
      <c r="T1125" s="15" t="s">
        <v>89</v>
      </c>
      <c r="U1125" s="13">
        <v>37</v>
      </c>
      <c r="V1125" s="13">
        <v>5.9</v>
      </c>
      <c r="W1125" s="12" t="s">
        <v>89</v>
      </c>
      <c r="X1125" s="15"/>
      <c r="Y1125" s="13">
        <v>74.2</v>
      </c>
      <c r="Z1125" s="7">
        <v>2.02</v>
      </c>
      <c r="AB1125" s="16"/>
      <c r="AD1125" s="16"/>
      <c r="AE1125" s="1">
        <v>1</v>
      </c>
    </row>
    <row r="1126" spans="1:31" x14ac:dyDescent="0.2">
      <c r="A1126" s="1">
        <v>1125</v>
      </c>
      <c r="B1126" s="1">
        <v>2012</v>
      </c>
      <c r="C1126" s="1" t="s">
        <v>31</v>
      </c>
      <c r="D1126" s="1" t="s">
        <v>291</v>
      </c>
      <c r="E1126" s="1" t="s">
        <v>295</v>
      </c>
      <c r="F1126" s="1" t="s">
        <v>32</v>
      </c>
      <c r="I1126" s="12">
        <v>9.77</v>
      </c>
      <c r="J1126" s="12">
        <v>27.9</v>
      </c>
      <c r="L1126" s="16">
        <v>3512</v>
      </c>
      <c r="N1126" s="16">
        <v>34306</v>
      </c>
      <c r="O1126" s="15">
        <v>32.299999999999997</v>
      </c>
      <c r="P1126" s="15">
        <v>7.4</v>
      </c>
      <c r="Q1126" s="15">
        <v>44.8</v>
      </c>
      <c r="R1126" s="15">
        <v>63.3</v>
      </c>
      <c r="T1126" s="15"/>
      <c r="U1126" s="15">
        <v>34.4</v>
      </c>
      <c r="V1126" s="15">
        <v>4.7</v>
      </c>
      <c r="W1126" s="12">
        <v>0.73</v>
      </c>
      <c r="X1126" s="15"/>
      <c r="Y1126" s="15"/>
      <c r="Z1126" s="12">
        <v>2.77</v>
      </c>
      <c r="AB1126" s="16"/>
      <c r="AD1126" s="16"/>
      <c r="AE1126" s="1">
        <v>1</v>
      </c>
    </row>
    <row r="1127" spans="1:31" x14ac:dyDescent="0.2">
      <c r="A1127" s="1">
        <v>1126</v>
      </c>
      <c r="B1127" s="1">
        <v>2011</v>
      </c>
      <c r="C1127" s="1" t="s">
        <v>31</v>
      </c>
      <c r="D1127" s="1" t="s">
        <v>916</v>
      </c>
      <c r="E1127" s="1" t="s">
        <v>196</v>
      </c>
      <c r="F1127" s="1" t="s">
        <v>32</v>
      </c>
      <c r="I1127" s="12">
        <v>8.69</v>
      </c>
      <c r="J1127" s="12">
        <v>28.8</v>
      </c>
      <c r="L1127" s="16">
        <v>3513</v>
      </c>
      <c r="N1127" s="16">
        <v>30569</v>
      </c>
      <c r="O1127" s="15">
        <v>26.1</v>
      </c>
      <c r="P1127" s="15">
        <v>7.3</v>
      </c>
      <c r="Q1127" s="15">
        <v>48.3</v>
      </c>
      <c r="R1127" s="15">
        <v>65.099999999999994</v>
      </c>
      <c r="T1127" s="15"/>
      <c r="U1127" s="15">
        <v>32.299999999999997</v>
      </c>
      <c r="V1127" s="15">
        <v>3.9</v>
      </c>
      <c r="W1127" s="12"/>
      <c r="X1127" s="15"/>
      <c r="Y1127" s="15">
        <v>69.8</v>
      </c>
      <c r="Z1127" s="12">
        <v>2.73</v>
      </c>
      <c r="AB1127" s="16"/>
      <c r="AD1127" s="16"/>
      <c r="AE1127" s="1">
        <v>1</v>
      </c>
    </row>
    <row r="1128" spans="1:31" x14ac:dyDescent="0.2">
      <c r="A1128" s="1">
        <v>1127</v>
      </c>
      <c r="B1128" s="1">
        <v>2017</v>
      </c>
      <c r="C1128" s="1" t="s">
        <v>31</v>
      </c>
      <c r="D1128" s="1" t="s">
        <v>805</v>
      </c>
      <c r="E1128" s="8" t="s">
        <v>611</v>
      </c>
      <c r="F1128" s="1" t="s">
        <v>32</v>
      </c>
      <c r="G1128" s="1">
        <v>117</v>
      </c>
      <c r="H1128" s="1" t="s">
        <v>34</v>
      </c>
      <c r="I1128" s="12">
        <v>9.09</v>
      </c>
      <c r="J1128" s="3">
        <v>25.98</v>
      </c>
      <c r="K1128" s="1" t="s">
        <v>34</v>
      </c>
      <c r="L1128" s="5">
        <v>3513</v>
      </c>
      <c r="N1128" s="5">
        <v>31942.842000000001</v>
      </c>
      <c r="O1128" s="6">
        <v>35</v>
      </c>
      <c r="P1128" s="6">
        <v>6.6475</v>
      </c>
      <c r="Q1128" s="6">
        <v>38.547499999999999</v>
      </c>
      <c r="R1128" s="6">
        <v>56.347499999999997</v>
      </c>
      <c r="S1128" s="3"/>
      <c r="T1128" s="6">
        <v>22.6525</v>
      </c>
      <c r="U1128" s="6">
        <v>42.4</v>
      </c>
      <c r="V1128" s="6">
        <v>2.5099999999999998</v>
      </c>
      <c r="W1128" s="3">
        <v>0.79</v>
      </c>
      <c r="X1128" s="6"/>
      <c r="Y1128" s="6">
        <v>73.099999999999994</v>
      </c>
      <c r="Z1128" s="3">
        <v>1.97366391</v>
      </c>
      <c r="AB1128" s="16"/>
      <c r="AD1128" s="16"/>
      <c r="AE1128" s="1">
        <v>1</v>
      </c>
    </row>
    <row r="1129" spans="1:31" x14ac:dyDescent="0.2">
      <c r="A1129" s="1">
        <v>1128</v>
      </c>
      <c r="B1129" s="1">
        <v>2009</v>
      </c>
      <c r="C1129" s="1" t="s">
        <v>31</v>
      </c>
      <c r="D1129" s="1" t="s">
        <v>805</v>
      </c>
      <c r="E1129" s="8" t="s">
        <v>120</v>
      </c>
      <c r="F1129" s="1" t="s">
        <v>32</v>
      </c>
      <c r="I1129" s="12">
        <v>6.65</v>
      </c>
      <c r="J1129" s="7">
        <v>19</v>
      </c>
      <c r="L1129" s="14">
        <v>3514</v>
      </c>
      <c r="N1129" s="14">
        <v>23382</v>
      </c>
      <c r="O1129" s="13">
        <v>32.700000000000003</v>
      </c>
      <c r="P1129" s="13">
        <v>8.8000000000000007</v>
      </c>
      <c r="Q1129" s="13">
        <v>40.9</v>
      </c>
      <c r="R1129" s="13">
        <v>57.1</v>
      </c>
      <c r="S1129" s="13"/>
      <c r="T1129" s="15" t="s">
        <v>89</v>
      </c>
      <c r="U1129" s="13">
        <v>37</v>
      </c>
      <c r="V1129" s="13">
        <v>6.3</v>
      </c>
      <c r="W1129" s="12" t="s">
        <v>89</v>
      </c>
      <c r="X1129" s="15"/>
      <c r="Y1129" s="13">
        <v>74.2</v>
      </c>
      <c r="Z1129" s="7">
        <v>1.56</v>
      </c>
      <c r="AB1129" s="16"/>
      <c r="AD1129" s="16"/>
      <c r="AE1129" s="1">
        <v>1</v>
      </c>
    </row>
    <row r="1130" spans="1:31" x14ac:dyDescent="0.2">
      <c r="A1130" s="1">
        <v>1129</v>
      </c>
      <c r="B1130" s="1">
        <v>2010</v>
      </c>
      <c r="C1130" s="1" t="s">
        <v>31</v>
      </c>
      <c r="D1130" s="8" t="s">
        <v>54</v>
      </c>
      <c r="E1130" s="8" t="s">
        <v>160</v>
      </c>
      <c r="F1130" s="1" t="s">
        <v>32</v>
      </c>
      <c r="I1130" s="12">
        <v>9.1</v>
      </c>
      <c r="J1130" s="7">
        <v>26</v>
      </c>
      <c r="L1130" s="14">
        <v>3515</v>
      </c>
      <c r="N1130" s="14">
        <v>32013</v>
      </c>
      <c r="O1130" s="13">
        <v>34.4</v>
      </c>
      <c r="P1130" s="13">
        <v>9.9</v>
      </c>
      <c r="Q1130" s="13">
        <v>39.5</v>
      </c>
      <c r="R1130" s="13">
        <v>59.9</v>
      </c>
      <c r="S1130" s="13"/>
      <c r="T1130" s="15"/>
      <c r="U1130" s="13">
        <v>39.700000000000003</v>
      </c>
      <c r="V1130" s="13">
        <v>5.0999999999999996</v>
      </c>
      <c r="W1130" s="12"/>
      <c r="X1130" s="15"/>
      <c r="Y1130" s="13">
        <v>73.2</v>
      </c>
      <c r="Z1130" s="7">
        <v>2.15</v>
      </c>
      <c r="AB1130" s="16"/>
      <c r="AD1130" s="16"/>
      <c r="AE1130" s="1">
        <v>1</v>
      </c>
    </row>
    <row r="1131" spans="1:31" x14ac:dyDescent="0.2">
      <c r="A1131" s="1">
        <v>1130</v>
      </c>
      <c r="B1131" s="1">
        <v>2011</v>
      </c>
      <c r="C1131" s="1" t="s">
        <v>31</v>
      </c>
      <c r="D1131" s="8" t="s">
        <v>874</v>
      </c>
      <c r="E1131" s="1" t="s">
        <v>163</v>
      </c>
      <c r="F1131" s="1" t="s">
        <v>83</v>
      </c>
      <c r="H1131" s="1" t="s">
        <v>34</v>
      </c>
      <c r="I1131" s="12">
        <v>7.2</v>
      </c>
      <c r="J1131" s="12">
        <v>20.6</v>
      </c>
      <c r="L1131" s="16">
        <v>3516</v>
      </c>
      <c r="M1131" s="1" t="s">
        <v>34</v>
      </c>
      <c r="N1131" s="16">
        <v>25284</v>
      </c>
      <c r="O1131" s="15">
        <v>31.4</v>
      </c>
      <c r="P1131" s="15">
        <v>6.7</v>
      </c>
      <c r="Q1131" s="15">
        <v>46.1</v>
      </c>
      <c r="R1131" s="15">
        <v>62.4</v>
      </c>
      <c r="T1131" s="15"/>
      <c r="U1131" s="15">
        <v>32.799999999999997</v>
      </c>
      <c r="V1131" s="15">
        <v>4.7</v>
      </c>
      <c r="W1131" s="12"/>
      <c r="X1131" s="15"/>
      <c r="Y1131" s="15">
        <v>70.400000000000006</v>
      </c>
      <c r="Z1131" s="12">
        <v>2.04</v>
      </c>
      <c r="AB1131" s="16"/>
      <c r="AD1131" s="16"/>
      <c r="AE1131" s="1">
        <v>1</v>
      </c>
    </row>
    <row r="1132" spans="1:31" x14ac:dyDescent="0.2">
      <c r="A1132" s="1">
        <v>1131</v>
      </c>
      <c r="B1132" s="1">
        <v>2015</v>
      </c>
      <c r="C1132" s="8" t="s">
        <v>31</v>
      </c>
      <c r="D1132" s="1" t="s">
        <v>916</v>
      </c>
      <c r="E1132" s="8" t="s">
        <v>414</v>
      </c>
      <c r="F1132" s="1" t="s">
        <v>83</v>
      </c>
      <c r="H1132" s="1" t="s">
        <v>34</v>
      </c>
      <c r="I1132" s="12">
        <v>7.75</v>
      </c>
      <c r="J1132" s="7">
        <v>22.1</v>
      </c>
      <c r="L1132" s="14">
        <v>3516</v>
      </c>
      <c r="M1132" s="1" t="s">
        <v>34</v>
      </c>
      <c r="N1132" s="14">
        <v>27215</v>
      </c>
      <c r="O1132" s="13">
        <v>31.7</v>
      </c>
      <c r="P1132" s="13">
        <v>7.4</v>
      </c>
      <c r="Q1132" s="13">
        <v>39.5</v>
      </c>
      <c r="R1132" s="13">
        <v>51</v>
      </c>
      <c r="S1132" s="8"/>
      <c r="T1132" s="13">
        <v>24.7</v>
      </c>
      <c r="U1132" s="13">
        <v>33.799999999999997</v>
      </c>
      <c r="V1132" s="13">
        <v>3.7</v>
      </c>
      <c r="W1132" s="7">
        <v>0.75</v>
      </c>
      <c r="X1132" s="13"/>
      <c r="Y1132" s="13">
        <v>72.3</v>
      </c>
      <c r="Z1132" s="7">
        <v>1.56</v>
      </c>
      <c r="AA1132" s="18">
        <v>1</v>
      </c>
      <c r="AB1132" s="16">
        <f>AA1132*10</f>
        <v>10</v>
      </c>
      <c r="AC1132" s="15" t="s">
        <v>89</v>
      </c>
      <c r="AD1132" s="16"/>
      <c r="AE1132" s="1">
        <v>1</v>
      </c>
    </row>
    <row r="1133" spans="1:31" x14ac:dyDescent="0.2">
      <c r="A1133" s="1">
        <v>1132</v>
      </c>
      <c r="B1133" s="1">
        <v>2010</v>
      </c>
      <c r="C1133" s="1" t="s">
        <v>31</v>
      </c>
      <c r="D1133" s="8" t="s">
        <v>874</v>
      </c>
      <c r="E1133" s="8" t="s">
        <v>161</v>
      </c>
      <c r="F1133" s="1" t="s">
        <v>32</v>
      </c>
      <c r="I1133" s="12">
        <v>9.57</v>
      </c>
      <c r="J1133" s="7">
        <v>27.342857142857099</v>
      </c>
      <c r="L1133" s="14">
        <v>3516</v>
      </c>
      <c r="N1133" s="14">
        <v>33698</v>
      </c>
      <c r="O1133" s="13">
        <v>31.3</v>
      </c>
      <c r="P1133" s="13">
        <v>9.1999999999999993</v>
      </c>
      <c r="Q1133" s="13">
        <v>40.700000000000003</v>
      </c>
      <c r="R1133" s="13">
        <v>56.1</v>
      </c>
      <c r="S1133" s="13"/>
      <c r="T1133" s="15"/>
      <c r="U1133" s="13">
        <v>37.9</v>
      </c>
      <c r="V1133" s="13">
        <v>5.6</v>
      </c>
      <c r="W1133" s="12"/>
      <c r="X1133" s="15"/>
      <c r="Y1133" s="13">
        <v>72.3</v>
      </c>
      <c r="Z1133" s="7">
        <v>2.1800000000000002</v>
      </c>
      <c r="AB1133" s="16"/>
      <c r="AD1133" s="16"/>
      <c r="AE1133" s="1">
        <v>1</v>
      </c>
    </row>
    <row r="1134" spans="1:31" x14ac:dyDescent="0.2">
      <c r="A1134" s="1">
        <v>1133</v>
      </c>
      <c r="B1134" s="1">
        <v>2015</v>
      </c>
      <c r="C1134" s="8" t="s">
        <v>31</v>
      </c>
      <c r="D1134" s="1" t="s">
        <v>916</v>
      </c>
      <c r="E1134" s="8">
        <v>908</v>
      </c>
      <c r="F1134" s="1" t="s">
        <v>32</v>
      </c>
      <c r="G1134" s="8">
        <v>118</v>
      </c>
      <c r="I1134" s="12">
        <v>8.64</v>
      </c>
      <c r="J1134" s="7">
        <v>24.68571428571429</v>
      </c>
      <c r="L1134" s="14">
        <v>3517</v>
      </c>
      <c r="N1134" s="14">
        <v>30438</v>
      </c>
      <c r="O1134" s="13">
        <v>31.6</v>
      </c>
      <c r="P1134" s="13">
        <v>7.8</v>
      </c>
      <c r="Q1134" s="13">
        <v>38.799999999999997</v>
      </c>
      <c r="R1134" s="13">
        <v>52.3</v>
      </c>
      <c r="S1134" s="8"/>
      <c r="T1134" s="13">
        <v>25.5</v>
      </c>
      <c r="U1134" s="13">
        <v>30.6</v>
      </c>
      <c r="V1134" s="13">
        <v>5.2</v>
      </c>
      <c r="W1134" s="7">
        <v>0.74</v>
      </c>
      <c r="X1134" s="13"/>
      <c r="Y1134" s="13">
        <v>73.7</v>
      </c>
      <c r="Z1134" s="7">
        <v>1.75</v>
      </c>
      <c r="AA1134" s="1" t="s">
        <v>89</v>
      </c>
      <c r="AB1134" s="16" t="s">
        <v>89</v>
      </c>
      <c r="AC1134" s="1" t="s">
        <v>89</v>
      </c>
      <c r="AD1134" s="16" t="s">
        <v>89</v>
      </c>
      <c r="AE1134" s="1">
        <v>1</v>
      </c>
    </row>
    <row r="1135" spans="1:31" x14ac:dyDescent="0.2">
      <c r="A1135" s="1">
        <v>1134</v>
      </c>
      <c r="B1135" s="1">
        <v>2010</v>
      </c>
      <c r="C1135" s="1" t="s">
        <v>31</v>
      </c>
      <c r="D1135" s="28" t="s">
        <v>914</v>
      </c>
      <c r="E1135" s="8" t="s">
        <v>157</v>
      </c>
      <c r="F1135" s="1" t="s">
        <v>32</v>
      </c>
      <c r="I1135" s="12">
        <v>9.4499999999999993</v>
      </c>
      <c r="J1135" s="7">
        <v>27</v>
      </c>
      <c r="L1135" s="14">
        <v>3517</v>
      </c>
      <c r="N1135" s="14">
        <v>33211</v>
      </c>
      <c r="O1135" s="13">
        <v>29.1</v>
      </c>
      <c r="P1135" s="13">
        <v>10.1</v>
      </c>
      <c r="Q1135" s="13">
        <v>40.700000000000003</v>
      </c>
      <c r="R1135" s="13">
        <v>57.4</v>
      </c>
      <c r="S1135" s="13"/>
      <c r="T1135" s="15"/>
      <c r="U1135" s="13">
        <v>35.9</v>
      </c>
      <c r="V1135" s="13">
        <v>6.1</v>
      </c>
      <c r="W1135" s="12"/>
      <c r="X1135" s="15"/>
      <c r="Y1135" s="13">
        <v>72.3</v>
      </c>
      <c r="Z1135" s="7">
        <v>2.2000000000000002</v>
      </c>
      <c r="AB1135" s="16"/>
      <c r="AD1135" s="16"/>
      <c r="AE1135" s="1">
        <v>1</v>
      </c>
    </row>
    <row r="1136" spans="1:31" x14ac:dyDescent="0.2">
      <c r="A1136" s="1">
        <v>1135</v>
      </c>
      <c r="B1136" s="1">
        <v>2014</v>
      </c>
      <c r="C1136" s="1" t="s">
        <v>31</v>
      </c>
      <c r="D1136" s="1" t="s">
        <v>916</v>
      </c>
      <c r="E1136" s="1" t="s">
        <v>413</v>
      </c>
      <c r="F1136" s="1" t="s">
        <v>32</v>
      </c>
      <c r="G1136" s="1">
        <v>118</v>
      </c>
      <c r="I1136" s="12">
        <v>9.91</v>
      </c>
      <c r="J1136" s="12">
        <v>28.3</v>
      </c>
      <c r="K1136" s="1" t="s">
        <v>34</v>
      </c>
      <c r="L1136" s="16">
        <v>3517</v>
      </c>
      <c r="N1136" s="16">
        <v>31318</v>
      </c>
      <c r="O1136" s="15">
        <v>32.5</v>
      </c>
      <c r="P1136" s="15">
        <v>7.4</v>
      </c>
      <c r="Q1136" s="15">
        <v>39.5</v>
      </c>
      <c r="R1136" s="15">
        <v>57.4</v>
      </c>
      <c r="T1136" s="15"/>
      <c r="U1136" s="15">
        <v>33.5</v>
      </c>
      <c r="V1136" s="15">
        <v>5.7</v>
      </c>
      <c r="W1136" s="12">
        <v>0.74</v>
      </c>
      <c r="X1136" s="15"/>
      <c r="Y1136" s="15">
        <v>71.099999999999994</v>
      </c>
      <c r="Z1136" s="12">
        <v>2.02</v>
      </c>
      <c r="AB1136" s="16"/>
      <c r="AD1136" s="16"/>
      <c r="AE1136" s="1">
        <v>1</v>
      </c>
    </row>
    <row r="1137" spans="1:31" x14ac:dyDescent="0.2">
      <c r="A1137" s="1">
        <v>1136</v>
      </c>
      <c r="B1137" s="1">
        <v>2017</v>
      </c>
      <c r="C1137" s="1" t="s">
        <v>88</v>
      </c>
      <c r="D1137" s="1" t="s">
        <v>187</v>
      </c>
      <c r="E1137" s="1" t="s">
        <v>629</v>
      </c>
      <c r="F1137" s="1" t="s">
        <v>32</v>
      </c>
      <c r="I1137" s="12">
        <v>5.4588526999999996</v>
      </c>
      <c r="J1137" s="3">
        <v>15.596722</v>
      </c>
      <c r="K1137" s="1" t="s">
        <v>34</v>
      </c>
      <c r="L1137" s="5">
        <v>3518</v>
      </c>
      <c r="M1137" s="1" t="s">
        <v>34</v>
      </c>
      <c r="N1137" s="5">
        <v>19278</v>
      </c>
      <c r="O1137" s="6">
        <v>29.152080099999999</v>
      </c>
      <c r="P1137" s="6">
        <v>4.9074999999999998</v>
      </c>
      <c r="Q1137" s="6">
        <v>52.04</v>
      </c>
      <c r="R1137" s="15">
        <v>61.6</v>
      </c>
      <c r="S1137" s="15">
        <v>15.6</v>
      </c>
      <c r="U1137" s="6">
        <v>12.9925</v>
      </c>
      <c r="V1137" s="6">
        <v>20.399999999999999</v>
      </c>
      <c r="W1137" s="3">
        <v>0.67799999999999994</v>
      </c>
      <c r="X1137" s="6"/>
      <c r="Y1137" s="15">
        <v>68.400000000000006</v>
      </c>
      <c r="Z1137" s="3">
        <v>1.7358851799999999</v>
      </c>
      <c r="AB1137" s="16"/>
      <c r="AD1137" s="16"/>
      <c r="AE1137" s="1">
        <v>1</v>
      </c>
    </row>
    <row r="1138" spans="1:31" x14ac:dyDescent="0.2">
      <c r="A1138" s="1">
        <v>1137</v>
      </c>
      <c r="B1138" s="1">
        <v>2008</v>
      </c>
      <c r="C1138" s="1" t="s">
        <v>31</v>
      </c>
      <c r="D1138" s="8" t="s">
        <v>37</v>
      </c>
      <c r="E1138" s="8" t="s">
        <v>40</v>
      </c>
      <c r="F1138" s="8" t="s">
        <v>32</v>
      </c>
      <c r="G1138" s="8"/>
      <c r="H1138" s="8"/>
      <c r="I1138" s="12">
        <v>7.78</v>
      </c>
      <c r="J1138" s="7">
        <v>22.228571428571431</v>
      </c>
      <c r="K1138" s="13"/>
      <c r="L1138" s="14">
        <v>3518</v>
      </c>
      <c r="M1138" s="14"/>
      <c r="N1138" s="14">
        <v>27397</v>
      </c>
      <c r="O1138" s="13">
        <v>28</v>
      </c>
      <c r="P1138" s="13">
        <v>8.6</v>
      </c>
      <c r="Q1138" s="13">
        <v>45.6</v>
      </c>
      <c r="R1138" s="13">
        <v>69.7</v>
      </c>
      <c r="S1138" s="13"/>
      <c r="T1138" s="13"/>
      <c r="U1138" s="13">
        <v>26.7</v>
      </c>
      <c r="V1138" s="13"/>
      <c r="W1138" s="13"/>
      <c r="X1138" s="15"/>
      <c r="Y1138" s="13">
        <v>75.5</v>
      </c>
      <c r="Z1138" s="7">
        <v>2.4700000000000002</v>
      </c>
      <c r="AB1138" s="16"/>
      <c r="AD1138" s="16"/>
      <c r="AE1138" s="1">
        <v>1</v>
      </c>
    </row>
    <row r="1139" spans="1:31" x14ac:dyDescent="0.2">
      <c r="A1139" s="1">
        <v>1138</v>
      </c>
      <c r="B1139" s="1">
        <v>2013</v>
      </c>
      <c r="C1139" s="1" t="s">
        <v>31</v>
      </c>
      <c r="D1139" s="8" t="s">
        <v>874</v>
      </c>
      <c r="E1139" s="8" t="s">
        <v>359</v>
      </c>
      <c r="F1139" s="1" t="s">
        <v>32</v>
      </c>
      <c r="G1139" s="8">
        <v>117</v>
      </c>
      <c r="H1139" s="8"/>
      <c r="I1139" s="12">
        <v>8.51</v>
      </c>
      <c r="J1139" s="7">
        <v>24.314285714285699</v>
      </c>
      <c r="K1139" s="13" t="s">
        <v>34</v>
      </c>
      <c r="L1139" s="14">
        <v>3518</v>
      </c>
      <c r="M1139" s="14"/>
      <c r="N1139" s="14">
        <v>29985</v>
      </c>
      <c r="O1139" s="13">
        <v>31.9</v>
      </c>
      <c r="P1139" s="13">
        <v>7.3</v>
      </c>
      <c r="Q1139" s="13">
        <v>33.200000000000003</v>
      </c>
      <c r="R1139" s="13">
        <v>49.5</v>
      </c>
      <c r="S1139" s="13" t="s">
        <v>89</v>
      </c>
      <c r="T1139" s="13"/>
      <c r="U1139" s="13">
        <v>42.7</v>
      </c>
      <c r="V1139" s="13">
        <v>2.9</v>
      </c>
      <c r="W1139" s="7">
        <v>0.76</v>
      </c>
      <c r="X1139" s="15" t="s">
        <v>89</v>
      </c>
      <c r="Y1139" s="15" t="s">
        <v>89</v>
      </c>
      <c r="Z1139" s="7">
        <v>1.39</v>
      </c>
      <c r="AB1139" s="16"/>
      <c r="AD1139" s="16"/>
      <c r="AE1139" s="1">
        <v>1</v>
      </c>
    </row>
    <row r="1140" spans="1:31" x14ac:dyDescent="0.2">
      <c r="A1140" s="1">
        <v>1139</v>
      </c>
      <c r="B1140" s="1">
        <v>2015</v>
      </c>
      <c r="C1140" s="8" t="s">
        <v>31</v>
      </c>
      <c r="D1140" s="28" t="s">
        <v>914</v>
      </c>
      <c r="E1140" s="8" t="s">
        <v>416</v>
      </c>
      <c r="F1140" s="1" t="s">
        <v>32</v>
      </c>
      <c r="G1140" s="8">
        <v>115</v>
      </c>
      <c r="I1140" s="12">
        <v>8.74</v>
      </c>
      <c r="J1140" s="7">
        <v>24.971428571428575</v>
      </c>
      <c r="L1140" s="14">
        <v>3518</v>
      </c>
      <c r="N1140" s="14">
        <v>30770</v>
      </c>
      <c r="O1140" s="13">
        <v>32.4</v>
      </c>
      <c r="P1140" s="13">
        <v>7.2</v>
      </c>
      <c r="Q1140" s="13">
        <v>38.9</v>
      </c>
      <c r="R1140" s="13">
        <v>51.2</v>
      </c>
      <c r="S1140" s="8"/>
      <c r="T1140" s="13">
        <v>25.7</v>
      </c>
      <c r="U1140" s="13">
        <v>33.700000000000003</v>
      </c>
      <c r="V1140" s="13">
        <v>4.0999999999999996</v>
      </c>
      <c r="W1140" s="7">
        <v>0.74</v>
      </c>
      <c r="X1140" s="13"/>
      <c r="Y1140" s="13">
        <v>73.599999999999994</v>
      </c>
      <c r="Z1140" s="7">
        <v>1.74</v>
      </c>
      <c r="AA1140" s="1" t="s">
        <v>89</v>
      </c>
      <c r="AB1140" s="16" t="s">
        <v>89</v>
      </c>
      <c r="AC1140" s="1" t="s">
        <v>89</v>
      </c>
      <c r="AD1140" s="16" t="s">
        <v>89</v>
      </c>
      <c r="AE1140" s="1">
        <v>1</v>
      </c>
    </row>
    <row r="1141" spans="1:31" x14ac:dyDescent="0.2">
      <c r="A1141" s="1">
        <v>1140</v>
      </c>
      <c r="B1141" s="1">
        <v>2008</v>
      </c>
      <c r="C1141" s="1" t="s">
        <v>31</v>
      </c>
      <c r="D1141" s="1" t="s">
        <v>916</v>
      </c>
      <c r="E1141" s="8">
        <v>1777</v>
      </c>
      <c r="F1141" s="8" t="s">
        <v>32</v>
      </c>
      <c r="G1141" s="8"/>
      <c r="H1141" s="8"/>
      <c r="I1141" s="12">
        <v>9.06</v>
      </c>
      <c r="J1141" s="7">
        <v>25.88571428571429</v>
      </c>
      <c r="K1141" s="13"/>
      <c r="L1141" s="14">
        <v>3518</v>
      </c>
      <c r="M1141" s="14"/>
      <c r="N1141" s="14">
        <v>31995</v>
      </c>
      <c r="O1141" s="13">
        <v>28.3</v>
      </c>
      <c r="P1141" s="13">
        <v>8.6</v>
      </c>
      <c r="Q1141" s="13">
        <v>46.4</v>
      </c>
      <c r="R1141" s="13">
        <v>71.099999999999994</v>
      </c>
      <c r="S1141" s="13"/>
      <c r="T1141" s="13"/>
      <c r="U1141" s="13">
        <v>27.2</v>
      </c>
      <c r="V1141" s="13"/>
      <c r="W1141" s="13"/>
      <c r="X1141" s="15"/>
      <c r="Y1141" s="13">
        <v>75.7</v>
      </c>
      <c r="Z1141" s="7">
        <v>2.96</v>
      </c>
      <c r="AB1141" s="16"/>
      <c r="AD1141" s="16"/>
      <c r="AE1141" s="1">
        <v>1</v>
      </c>
    </row>
    <row r="1142" spans="1:31" x14ac:dyDescent="0.2">
      <c r="A1142" s="1">
        <v>1141</v>
      </c>
      <c r="B1142" s="1">
        <v>2016</v>
      </c>
      <c r="C1142" s="1" t="s">
        <v>31</v>
      </c>
      <c r="D1142" s="8" t="s">
        <v>108</v>
      </c>
      <c r="E1142" s="8" t="s">
        <v>433</v>
      </c>
      <c r="F1142" s="1" t="s">
        <v>32</v>
      </c>
      <c r="G1142" s="8">
        <v>118</v>
      </c>
      <c r="I1142" s="12">
        <v>9.3000000000000007</v>
      </c>
      <c r="J1142" s="7">
        <v>26.571428571428601</v>
      </c>
      <c r="K1142" s="1" t="s">
        <v>34</v>
      </c>
      <c r="L1142" s="14">
        <v>3518</v>
      </c>
      <c r="M1142" s="1" t="s">
        <v>34</v>
      </c>
      <c r="N1142" s="14">
        <v>32712</v>
      </c>
      <c r="O1142" s="13">
        <v>34</v>
      </c>
      <c r="P1142" s="13">
        <v>7.9</v>
      </c>
      <c r="Q1142" s="13">
        <v>39.6</v>
      </c>
      <c r="R1142" s="13">
        <v>56</v>
      </c>
      <c r="S1142" s="13"/>
      <c r="T1142" s="13">
        <v>22.8</v>
      </c>
      <c r="U1142" s="13">
        <v>33.9</v>
      </c>
      <c r="V1142" s="13">
        <v>4.2</v>
      </c>
      <c r="W1142" s="7">
        <v>0.75</v>
      </c>
      <c r="X1142" s="13"/>
      <c r="Y1142" s="13">
        <v>72.7</v>
      </c>
      <c r="Z1142" s="7">
        <v>2.06</v>
      </c>
      <c r="AA1142" s="15" t="s">
        <v>89</v>
      </c>
      <c r="AB1142" s="16"/>
      <c r="AD1142" s="16"/>
      <c r="AE1142" s="1">
        <v>1</v>
      </c>
    </row>
    <row r="1143" spans="1:31" x14ac:dyDescent="0.2">
      <c r="A1143" s="1">
        <v>1142</v>
      </c>
      <c r="B1143" s="1">
        <v>2008</v>
      </c>
      <c r="C1143" s="1" t="s">
        <v>31</v>
      </c>
      <c r="D1143" s="8" t="s">
        <v>56</v>
      </c>
      <c r="E1143" s="8" t="s">
        <v>59</v>
      </c>
      <c r="F1143" s="8" t="s">
        <v>32</v>
      </c>
      <c r="G1143" s="8"/>
      <c r="H1143" s="8"/>
      <c r="I1143" s="12">
        <v>10.11</v>
      </c>
      <c r="J1143" s="7">
        <v>28.885714285714286</v>
      </c>
      <c r="K1143" s="13"/>
      <c r="L1143" s="14">
        <v>3518</v>
      </c>
      <c r="M1143" s="14"/>
      <c r="N1143" s="14">
        <v>35579</v>
      </c>
      <c r="O1143" s="13">
        <v>33.5</v>
      </c>
      <c r="P1143" s="13">
        <v>8.5</v>
      </c>
      <c r="Q1143" s="13">
        <v>43.5</v>
      </c>
      <c r="R1143" s="13">
        <v>69.5</v>
      </c>
      <c r="S1143" s="13"/>
      <c r="T1143" s="13"/>
      <c r="U1143" s="13">
        <v>30.7</v>
      </c>
      <c r="V1143" s="13"/>
      <c r="W1143" s="13"/>
      <c r="X1143" s="15"/>
      <c r="Y1143" s="13">
        <v>75.3</v>
      </c>
      <c r="Z1143" s="7">
        <v>3.06</v>
      </c>
      <c r="AB1143" s="16"/>
      <c r="AD1143" s="16"/>
      <c r="AE1143" s="1">
        <v>1</v>
      </c>
    </row>
    <row r="1144" spans="1:31" x14ac:dyDescent="0.2">
      <c r="A1144" s="1">
        <v>1143</v>
      </c>
      <c r="B1144" s="1">
        <v>2012</v>
      </c>
      <c r="C1144" s="1" t="s">
        <v>31</v>
      </c>
      <c r="D1144" s="1" t="s">
        <v>291</v>
      </c>
      <c r="E1144" s="1" t="s">
        <v>294</v>
      </c>
      <c r="F1144" s="1" t="s">
        <v>32</v>
      </c>
      <c r="I1144" s="12">
        <v>7.7</v>
      </c>
      <c r="J1144" s="12">
        <v>22</v>
      </c>
      <c r="L1144" s="16">
        <v>3519</v>
      </c>
      <c r="N1144" s="16">
        <v>27168</v>
      </c>
      <c r="O1144" s="15">
        <v>32.4</v>
      </c>
      <c r="P1144" s="15">
        <v>7.6</v>
      </c>
      <c r="Q1144" s="15">
        <v>44.4</v>
      </c>
      <c r="R1144" s="15">
        <v>63.6</v>
      </c>
      <c r="T1144" s="15"/>
      <c r="U1144" s="15">
        <v>30.8</v>
      </c>
      <c r="V1144" s="15">
        <v>6.9</v>
      </c>
      <c r="W1144" s="12">
        <v>0.74</v>
      </c>
      <c r="X1144" s="15"/>
      <c r="Y1144" s="15"/>
      <c r="Z1144" s="12">
        <v>2.16</v>
      </c>
      <c r="AB1144" s="16"/>
      <c r="AD1144" s="16"/>
      <c r="AE1144" s="1">
        <v>1</v>
      </c>
    </row>
    <row r="1145" spans="1:31" x14ac:dyDescent="0.2">
      <c r="A1145" s="1">
        <v>1144</v>
      </c>
      <c r="B1145" s="1">
        <v>2015</v>
      </c>
      <c r="C1145" s="8" t="s">
        <v>31</v>
      </c>
      <c r="D1145" s="8" t="s">
        <v>391</v>
      </c>
      <c r="E1145" s="8" t="s">
        <v>496</v>
      </c>
      <c r="F1145" s="1" t="s">
        <v>32</v>
      </c>
      <c r="G1145" s="8">
        <v>118</v>
      </c>
      <c r="H1145" s="1" t="s">
        <v>34</v>
      </c>
      <c r="I1145" s="12">
        <v>10.220000000000001</v>
      </c>
      <c r="J1145" s="7">
        <v>29.2</v>
      </c>
      <c r="L1145" s="14">
        <v>3519</v>
      </c>
      <c r="M1145" s="1" t="s">
        <v>34</v>
      </c>
      <c r="N1145" s="14">
        <v>35976</v>
      </c>
      <c r="O1145" s="13">
        <v>34.299999999999997</v>
      </c>
      <c r="P1145" s="13">
        <v>7.2</v>
      </c>
      <c r="Q1145" s="13">
        <v>36.6</v>
      </c>
      <c r="R1145" s="13">
        <v>52.1</v>
      </c>
      <c r="S1145" s="8"/>
      <c r="T1145" s="13">
        <v>24.9</v>
      </c>
      <c r="U1145" s="13">
        <v>33.700000000000003</v>
      </c>
      <c r="V1145" s="13">
        <v>4.7</v>
      </c>
      <c r="W1145" s="7">
        <v>0.75</v>
      </c>
      <c r="X1145" s="13"/>
      <c r="Y1145" s="13">
        <v>73.8</v>
      </c>
      <c r="Z1145" s="7">
        <v>1.96</v>
      </c>
      <c r="AA1145" s="1" t="s">
        <v>89</v>
      </c>
      <c r="AB1145" s="16" t="s">
        <v>89</v>
      </c>
      <c r="AC1145" s="1" t="s">
        <v>89</v>
      </c>
      <c r="AD1145" s="16" t="s">
        <v>89</v>
      </c>
      <c r="AE1145" s="1">
        <v>1</v>
      </c>
    </row>
    <row r="1146" spans="1:31" x14ac:dyDescent="0.2">
      <c r="A1146" s="1">
        <v>1145</v>
      </c>
      <c r="B1146" s="1">
        <v>2011</v>
      </c>
      <c r="C1146" s="1" t="s">
        <v>31</v>
      </c>
      <c r="D1146" s="28" t="s">
        <v>914</v>
      </c>
      <c r="E1146" s="1" t="s">
        <v>107</v>
      </c>
      <c r="F1146" s="1" t="s">
        <v>32</v>
      </c>
      <c r="H1146" s="1" t="s">
        <v>34</v>
      </c>
      <c r="I1146" s="12">
        <v>9.44</v>
      </c>
      <c r="J1146" s="12">
        <v>30.3</v>
      </c>
      <c r="L1146" s="16">
        <v>3520</v>
      </c>
      <c r="N1146" s="16">
        <v>33217</v>
      </c>
      <c r="O1146" s="15">
        <v>27.6</v>
      </c>
      <c r="P1146" s="15">
        <v>7.8</v>
      </c>
      <c r="Q1146" s="15">
        <v>46.4</v>
      </c>
      <c r="R1146" s="15">
        <v>64</v>
      </c>
      <c r="T1146" s="15"/>
      <c r="U1146" s="15">
        <v>32.5</v>
      </c>
      <c r="V1146" s="15">
        <v>4.2</v>
      </c>
      <c r="W1146" s="12"/>
      <c r="X1146" s="15"/>
      <c r="Y1146" s="15">
        <v>70.099999999999994</v>
      </c>
      <c r="Z1146" s="12">
        <v>2.8</v>
      </c>
      <c r="AB1146" s="16"/>
      <c r="AD1146" s="16"/>
      <c r="AE1146" s="1">
        <v>1</v>
      </c>
    </row>
    <row r="1147" spans="1:31" x14ac:dyDescent="0.2">
      <c r="A1147" s="1">
        <v>1146</v>
      </c>
      <c r="B1147" s="1">
        <v>2019</v>
      </c>
      <c r="C1147" s="1" t="s">
        <v>31</v>
      </c>
      <c r="D1147" s="1" t="s">
        <v>700</v>
      </c>
      <c r="E1147" s="1" t="s">
        <v>703</v>
      </c>
      <c r="F1147" s="1" t="s">
        <v>32</v>
      </c>
      <c r="G1147" s="1">
        <v>115</v>
      </c>
      <c r="I1147" s="12">
        <v>8.8000000000000007</v>
      </c>
      <c r="J1147" s="7">
        <v>25.2</v>
      </c>
      <c r="L1147" s="5">
        <v>3520.75</v>
      </c>
      <c r="N1147" s="5">
        <v>30878.1</v>
      </c>
      <c r="O1147" s="6">
        <v>30.5975</v>
      </c>
      <c r="P1147" s="6">
        <v>8.99</v>
      </c>
      <c r="Q1147" s="6">
        <v>41.732500000000002</v>
      </c>
      <c r="R1147" s="6">
        <v>58.967500000000001</v>
      </c>
      <c r="S1147" s="3"/>
      <c r="T1147" s="6">
        <v>23.822500000000002</v>
      </c>
      <c r="U1147" s="6">
        <v>34.204999999999998</v>
      </c>
      <c r="V1147" s="6">
        <v>7.5075000000000003</v>
      </c>
      <c r="W1147" s="3">
        <v>0.72935000000000005</v>
      </c>
      <c r="X1147" s="6"/>
      <c r="Y1147" s="6">
        <v>70.39</v>
      </c>
      <c r="Z1147" s="3">
        <v>2.1769596450580599</v>
      </c>
      <c r="AB1147" s="16"/>
      <c r="AD1147" s="16"/>
      <c r="AE1147" s="1">
        <v>1</v>
      </c>
    </row>
    <row r="1148" spans="1:31" x14ac:dyDescent="0.2">
      <c r="A1148" s="1">
        <v>1147</v>
      </c>
      <c r="B1148" s="1">
        <v>2010</v>
      </c>
      <c r="C1148" s="1" t="s">
        <v>31</v>
      </c>
      <c r="D1148" s="8" t="s">
        <v>37</v>
      </c>
      <c r="E1148" s="8" t="s">
        <v>40</v>
      </c>
      <c r="F1148" s="1" t="s">
        <v>83</v>
      </c>
      <c r="H1148" s="1" t="s">
        <v>34</v>
      </c>
      <c r="I1148" s="12">
        <v>7.75</v>
      </c>
      <c r="J1148" s="7">
        <v>22.1</v>
      </c>
      <c r="K1148" s="1" t="s">
        <v>34</v>
      </c>
      <c r="L1148" s="14">
        <v>3521</v>
      </c>
      <c r="N1148" s="14">
        <v>27304</v>
      </c>
      <c r="O1148" s="13">
        <v>27.9</v>
      </c>
      <c r="P1148" s="13">
        <v>8.6999999999999993</v>
      </c>
      <c r="Q1148" s="13">
        <v>40.5</v>
      </c>
      <c r="R1148" s="13">
        <v>55.3</v>
      </c>
      <c r="S1148" s="13"/>
      <c r="T1148" s="15"/>
      <c r="U1148" s="13">
        <v>35.1</v>
      </c>
      <c r="V1148" s="13">
        <v>6.2</v>
      </c>
      <c r="W1148" s="12"/>
      <c r="X1148" s="15"/>
      <c r="Y1148" s="13">
        <v>71.599999999999994</v>
      </c>
      <c r="Z1148" s="7">
        <v>1.73</v>
      </c>
      <c r="AB1148" s="16"/>
      <c r="AD1148" s="16"/>
      <c r="AE1148" s="1">
        <v>1</v>
      </c>
    </row>
    <row r="1149" spans="1:31" x14ac:dyDescent="0.2">
      <c r="A1149" s="1">
        <v>1148</v>
      </c>
      <c r="B1149" s="1">
        <v>2009</v>
      </c>
      <c r="C1149" s="1" t="s">
        <v>31</v>
      </c>
      <c r="D1149" s="8" t="s">
        <v>874</v>
      </c>
      <c r="E1149" s="8" t="s">
        <v>111</v>
      </c>
      <c r="F1149" s="1" t="s">
        <v>32</v>
      </c>
      <c r="I1149" s="12">
        <v>7.78</v>
      </c>
      <c r="J1149" s="7">
        <v>22.228571428571399</v>
      </c>
      <c r="L1149" s="14">
        <v>3521</v>
      </c>
      <c r="N1149" s="14">
        <v>27400</v>
      </c>
      <c r="O1149" s="13">
        <v>29.4</v>
      </c>
      <c r="P1149" s="13">
        <v>9.1</v>
      </c>
      <c r="Q1149" s="13">
        <v>41.9</v>
      </c>
      <c r="R1149" s="13">
        <v>57.9</v>
      </c>
      <c r="S1149" s="13"/>
      <c r="T1149" s="15" t="s">
        <v>89</v>
      </c>
      <c r="U1149" s="13">
        <v>36</v>
      </c>
      <c r="V1149" s="13">
        <v>7.1</v>
      </c>
      <c r="W1149" s="12" t="s">
        <v>89</v>
      </c>
      <c r="X1149" s="15"/>
      <c r="Y1149" s="13">
        <v>74.400000000000006</v>
      </c>
      <c r="Z1149" s="7">
        <v>1.88</v>
      </c>
      <c r="AB1149" s="16"/>
      <c r="AD1149" s="16"/>
      <c r="AE1149" s="1">
        <v>1</v>
      </c>
    </row>
    <row r="1150" spans="1:31" x14ac:dyDescent="0.2">
      <c r="A1150" s="1">
        <v>1149</v>
      </c>
      <c r="B1150" s="1">
        <v>2009</v>
      </c>
      <c r="C1150" s="1" t="s">
        <v>31</v>
      </c>
      <c r="D1150" s="8" t="s">
        <v>33</v>
      </c>
      <c r="E1150" s="8" t="s">
        <v>104</v>
      </c>
      <c r="F1150" s="1" t="s">
        <v>32</v>
      </c>
      <c r="I1150" s="12">
        <v>6.99</v>
      </c>
      <c r="J1150" s="7">
        <v>19.9714285714286</v>
      </c>
      <c r="L1150" s="14">
        <v>3522</v>
      </c>
      <c r="N1150" s="14">
        <v>24633</v>
      </c>
      <c r="O1150" s="13">
        <v>28.2</v>
      </c>
      <c r="P1150" s="13">
        <v>8.9</v>
      </c>
      <c r="Q1150" s="13">
        <v>41.6</v>
      </c>
      <c r="R1150" s="13">
        <v>57.9</v>
      </c>
      <c r="S1150" s="13"/>
      <c r="T1150" s="15" t="s">
        <v>89</v>
      </c>
      <c r="U1150" s="13">
        <v>35.299999999999997</v>
      </c>
      <c r="V1150" s="13">
        <v>6.9</v>
      </c>
      <c r="W1150" s="12" t="s">
        <v>89</v>
      </c>
      <c r="X1150" s="15"/>
      <c r="Y1150" s="13">
        <v>74.400000000000006</v>
      </c>
      <c r="Z1150" s="7">
        <v>1.68</v>
      </c>
      <c r="AB1150" s="16"/>
      <c r="AD1150" s="16"/>
      <c r="AE1150" s="1">
        <v>1</v>
      </c>
    </row>
    <row r="1151" spans="1:31" x14ac:dyDescent="0.2">
      <c r="A1151" s="1">
        <v>1150</v>
      </c>
      <c r="B1151" s="1">
        <v>2010</v>
      </c>
      <c r="C1151" s="1" t="s">
        <v>31</v>
      </c>
      <c r="D1151" s="8" t="s">
        <v>54</v>
      </c>
      <c r="E1151" s="8" t="s">
        <v>165</v>
      </c>
      <c r="F1151" s="1" t="s">
        <v>32</v>
      </c>
      <c r="I1151" s="12">
        <v>10.77</v>
      </c>
      <c r="J1151" s="7">
        <v>25.9</v>
      </c>
      <c r="L1151" s="14">
        <v>3522</v>
      </c>
      <c r="N1151" s="14">
        <v>38027</v>
      </c>
      <c r="O1151" s="13">
        <v>32.299999999999997</v>
      </c>
      <c r="P1151" s="13">
        <v>9.9</v>
      </c>
      <c r="Q1151" s="13">
        <v>43</v>
      </c>
      <c r="R1151" s="13">
        <v>59.2</v>
      </c>
      <c r="S1151" s="13"/>
      <c r="T1151" s="15"/>
      <c r="U1151" s="13">
        <v>34.6</v>
      </c>
      <c r="V1151" s="13">
        <v>7.1</v>
      </c>
      <c r="W1151" s="12"/>
      <c r="X1151" s="15"/>
      <c r="Y1151" s="13">
        <v>71.7</v>
      </c>
      <c r="Z1151" s="7">
        <v>2.74</v>
      </c>
      <c r="AB1151" s="16"/>
      <c r="AD1151" s="16"/>
      <c r="AE1151" s="1">
        <v>1</v>
      </c>
    </row>
    <row r="1152" spans="1:31" x14ac:dyDescent="0.2">
      <c r="A1152" s="1">
        <v>1151</v>
      </c>
      <c r="B1152" s="1">
        <v>2008</v>
      </c>
      <c r="C1152" s="1" t="s">
        <v>31</v>
      </c>
      <c r="D1152" s="1" t="s">
        <v>805</v>
      </c>
      <c r="E1152" s="8" t="s">
        <v>48</v>
      </c>
      <c r="F1152" s="8" t="s">
        <v>32</v>
      </c>
      <c r="G1152" s="8"/>
      <c r="H1152" s="8"/>
      <c r="I1152" s="12">
        <v>7.98</v>
      </c>
      <c r="J1152" s="7">
        <v>28.1</v>
      </c>
      <c r="K1152" s="13"/>
      <c r="L1152" s="14">
        <v>3523</v>
      </c>
      <c r="M1152" s="14"/>
      <c r="N1152" s="14">
        <v>28043</v>
      </c>
      <c r="O1152" s="13">
        <v>30.7</v>
      </c>
      <c r="P1152" s="13">
        <v>8.5</v>
      </c>
      <c r="Q1152" s="13">
        <v>42.7</v>
      </c>
      <c r="R1152" s="13">
        <v>66.5</v>
      </c>
      <c r="S1152" s="13"/>
      <c r="T1152" s="13"/>
      <c r="U1152" s="13">
        <v>31.1</v>
      </c>
      <c r="V1152" s="13"/>
      <c r="W1152" s="13"/>
      <c r="X1152" s="15"/>
      <c r="Y1152" s="13">
        <v>75</v>
      </c>
      <c r="Z1152" s="7">
        <v>2.2799999999999998</v>
      </c>
      <c r="AB1152" s="16"/>
      <c r="AD1152" s="16"/>
      <c r="AE1152" s="1">
        <v>1</v>
      </c>
    </row>
    <row r="1153" spans="1:31" x14ac:dyDescent="0.2">
      <c r="A1153" s="1">
        <v>1152</v>
      </c>
      <c r="B1153" s="1">
        <v>2013</v>
      </c>
      <c r="C1153" s="1" t="s">
        <v>31</v>
      </c>
      <c r="D1153" s="8" t="s">
        <v>108</v>
      </c>
      <c r="E1153" s="8" t="s">
        <v>230</v>
      </c>
      <c r="F1153" s="1" t="s">
        <v>32</v>
      </c>
      <c r="G1153" s="8">
        <v>114</v>
      </c>
      <c r="H1153" s="8"/>
      <c r="I1153" s="12">
        <v>8.3699999999999992</v>
      </c>
      <c r="J1153" s="7">
        <v>23.9142857142857</v>
      </c>
      <c r="K1153" s="13" t="s">
        <v>34</v>
      </c>
      <c r="L1153" s="14">
        <v>3523</v>
      </c>
      <c r="M1153" s="8"/>
      <c r="N1153" s="14">
        <v>29512</v>
      </c>
      <c r="O1153" s="13">
        <v>28.4</v>
      </c>
      <c r="P1153" s="13">
        <v>8.1999999999999993</v>
      </c>
      <c r="Q1153" s="13">
        <v>38.700000000000003</v>
      </c>
      <c r="R1153" s="13">
        <v>56.1</v>
      </c>
      <c r="S1153" s="13"/>
      <c r="T1153" s="13"/>
      <c r="U1153" s="13">
        <v>33.799999999999997</v>
      </c>
      <c r="V1153" s="13">
        <v>5.9</v>
      </c>
      <c r="W1153" s="7">
        <v>0.74</v>
      </c>
      <c r="X1153" s="15"/>
      <c r="Y1153" s="15"/>
      <c r="Z1153" s="7">
        <v>1.81</v>
      </c>
      <c r="AB1153" s="16"/>
      <c r="AD1153" s="16"/>
      <c r="AE1153" s="1">
        <v>1</v>
      </c>
    </row>
    <row r="1154" spans="1:31" x14ac:dyDescent="0.2">
      <c r="A1154" s="1">
        <v>1153</v>
      </c>
      <c r="B1154" s="1">
        <v>2010</v>
      </c>
      <c r="C1154" s="1" t="s">
        <v>31</v>
      </c>
      <c r="D1154" s="8" t="s">
        <v>54</v>
      </c>
      <c r="E1154" s="8" t="s">
        <v>159</v>
      </c>
      <c r="F1154" s="1" t="s">
        <v>32</v>
      </c>
      <c r="I1154" s="12">
        <v>10.07</v>
      </c>
      <c r="J1154" s="7">
        <v>28.771428571428601</v>
      </c>
      <c r="L1154" s="14">
        <v>3523</v>
      </c>
      <c r="N1154" s="14">
        <v>35472</v>
      </c>
      <c r="O1154" s="13">
        <v>31.3</v>
      </c>
      <c r="P1154" s="13">
        <v>9.1</v>
      </c>
      <c r="Q1154" s="13">
        <v>39.5</v>
      </c>
      <c r="R1154" s="13">
        <v>54.8</v>
      </c>
      <c r="S1154" s="13"/>
      <c r="T1154" s="15"/>
      <c r="U1154" s="13">
        <v>40.200000000000003</v>
      </c>
      <c r="V1154" s="13">
        <v>4.7</v>
      </c>
      <c r="W1154" s="12"/>
      <c r="X1154" s="15"/>
      <c r="Y1154" s="13">
        <v>72.599999999999994</v>
      </c>
      <c r="Z1154" s="7">
        <v>2.1800000000000002</v>
      </c>
      <c r="AB1154" s="16"/>
      <c r="AD1154" s="16"/>
      <c r="AE1154" s="1">
        <v>1</v>
      </c>
    </row>
    <row r="1155" spans="1:31" x14ac:dyDescent="0.2">
      <c r="A1155" s="1">
        <v>1154</v>
      </c>
      <c r="B1155" s="1">
        <v>2021</v>
      </c>
      <c r="C1155" s="1" t="s">
        <v>31</v>
      </c>
      <c r="D1155" s="1" t="s">
        <v>812</v>
      </c>
      <c r="E1155" s="1" t="s">
        <v>813</v>
      </c>
      <c r="F1155" s="1" t="s">
        <v>32</v>
      </c>
      <c r="G1155" s="1">
        <v>116</v>
      </c>
      <c r="H1155" s="1" t="s">
        <v>89</v>
      </c>
      <c r="I1155" s="12">
        <v>8.5514253921445</v>
      </c>
      <c r="J1155" s="12">
        <v>24.432643978000002</v>
      </c>
      <c r="K1155" s="1" t="s">
        <v>89</v>
      </c>
      <c r="L1155" s="16">
        <v>3523.2376543119999</v>
      </c>
      <c r="M1155" s="16" t="s">
        <v>89</v>
      </c>
      <c r="N1155" s="16">
        <v>30078.959907357999</v>
      </c>
      <c r="O1155" s="15">
        <v>37.3093875</v>
      </c>
      <c r="P1155" s="15">
        <v>7.9450049900000002</v>
      </c>
      <c r="Q1155" s="15">
        <v>35.622371194999999</v>
      </c>
      <c r="R1155" s="15">
        <v>63.002874241000001</v>
      </c>
      <c r="T1155" s="15">
        <v>20.61120459</v>
      </c>
      <c r="U1155" s="15">
        <v>41.368222490000001</v>
      </c>
      <c r="V1155" s="15">
        <v>7.1320181610000004</v>
      </c>
      <c r="W1155" s="12">
        <v>0.72876634698999998</v>
      </c>
      <c r="X1155" s="15"/>
      <c r="Y1155" s="15">
        <v>74.806272383000007</v>
      </c>
      <c r="Z1155" s="12"/>
      <c r="AA1155" s="15">
        <v>0.524373851</v>
      </c>
      <c r="AB1155" s="16">
        <f>AA1155*33.334</f>
        <v>17.479477949234003</v>
      </c>
      <c r="AD1155" s="16"/>
      <c r="AE1155" s="1">
        <v>1</v>
      </c>
    </row>
    <row r="1156" spans="1:31" x14ac:dyDescent="0.2">
      <c r="A1156" s="1">
        <v>1155</v>
      </c>
      <c r="B1156" s="1">
        <v>2010</v>
      </c>
      <c r="C1156" s="1" t="s">
        <v>31</v>
      </c>
      <c r="D1156" s="1" t="s">
        <v>916</v>
      </c>
      <c r="E1156" s="8">
        <v>1777</v>
      </c>
      <c r="F1156" s="1" t="s">
        <v>32</v>
      </c>
      <c r="I1156" s="12">
        <v>8.15</v>
      </c>
      <c r="J1156" s="7">
        <v>23.285714285714299</v>
      </c>
      <c r="L1156" s="14">
        <v>3524</v>
      </c>
      <c r="N1156" s="14">
        <v>28755</v>
      </c>
      <c r="O1156" s="13">
        <v>29.9</v>
      </c>
      <c r="P1156" s="13">
        <v>10.199999999999999</v>
      </c>
      <c r="Q1156" s="13">
        <v>38.9</v>
      </c>
      <c r="R1156" s="13">
        <v>54.8</v>
      </c>
      <c r="S1156" s="13"/>
      <c r="T1156" s="15"/>
      <c r="U1156" s="13">
        <v>39.299999999999997</v>
      </c>
      <c r="V1156" s="13">
        <v>5.7</v>
      </c>
      <c r="W1156" s="12"/>
      <c r="X1156" s="15"/>
      <c r="Y1156" s="13">
        <v>72.3</v>
      </c>
      <c r="Z1156" s="7">
        <v>1.76</v>
      </c>
      <c r="AB1156" s="16"/>
      <c r="AD1156" s="16"/>
      <c r="AE1156" s="1">
        <v>1</v>
      </c>
    </row>
    <row r="1157" spans="1:31" x14ac:dyDescent="0.2">
      <c r="A1157" s="1">
        <v>1156</v>
      </c>
      <c r="B1157" s="1">
        <v>2011</v>
      </c>
      <c r="C1157" s="1" t="s">
        <v>31</v>
      </c>
      <c r="D1157" s="1" t="s">
        <v>37</v>
      </c>
      <c r="E1157" s="1" t="s">
        <v>228</v>
      </c>
      <c r="F1157" s="1" t="s">
        <v>83</v>
      </c>
      <c r="I1157" s="12">
        <v>6.84</v>
      </c>
      <c r="J1157" s="12">
        <v>19.5</v>
      </c>
      <c r="L1157" s="16">
        <v>3525</v>
      </c>
      <c r="N1157" s="16">
        <v>24066</v>
      </c>
      <c r="O1157" s="15">
        <v>34</v>
      </c>
      <c r="P1157" s="15">
        <v>7</v>
      </c>
      <c r="Q1157" s="15">
        <v>45.9</v>
      </c>
      <c r="R1157" s="15">
        <v>63.1</v>
      </c>
      <c r="T1157" s="15"/>
      <c r="U1157" s="15">
        <v>33.799999999999997</v>
      </c>
      <c r="V1157" s="15">
        <v>3.3</v>
      </c>
      <c r="W1157" s="12"/>
      <c r="X1157" s="15"/>
      <c r="Y1157" s="15">
        <v>71.099999999999994</v>
      </c>
      <c r="Z1157" s="12">
        <v>1.99</v>
      </c>
      <c r="AB1157" s="16"/>
      <c r="AD1157" s="16"/>
      <c r="AE1157" s="1">
        <v>1</v>
      </c>
    </row>
    <row r="1158" spans="1:31" x14ac:dyDescent="0.2">
      <c r="A1158" s="1">
        <v>1157</v>
      </c>
      <c r="B1158" s="1">
        <v>2009</v>
      </c>
      <c r="C1158" s="1" t="s">
        <v>31</v>
      </c>
      <c r="D1158" s="28" t="s">
        <v>914</v>
      </c>
      <c r="E1158" s="8" t="s">
        <v>107</v>
      </c>
      <c r="F1158" s="1" t="s">
        <v>32</v>
      </c>
      <c r="I1158" s="12">
        <v>7.87</v>
      </c>
      <c r="J1158" s="7">
        <v>22.485714285714302</v>
      </c>
      <c r="L1158" s="14">
        <v>3525</v>
      </c>
      <c r="N1158" s="14">
        <v>27739</v>
      </c>
      <c r="O1158" s="13">
        <v>28.7</v>
      </c>
      <c r="P1158" s="13">
        <v>9.1999999999999993</v>
      </c>
      <c r="Q1158" s="13">
        <v>41.8</v>
      </c>
      <c r="R1158" s="13">
        <v>57.8</v>
      </c>
      <c r="S1158" s="13"/>
      <c r="T1158" s="15" t="s">
        <v>89</v>
      </c>
      <c r="U1158" s="13">
        <v>36.5</v>
      </c>
      <c r="V1158" s="13">
        <v>5.6</v>
      </c>
      <c r="W1158" s="12" t="s">
        <v>89</v>
      </c>
      <c r="X1158" s="15"/>
      <c r="Y1158" s="13">
        <v>74.400000000000006</v>
      </c>
      <c r="Z1158" s="7">
        <v>1.9</v>
      </c>
      <c r="AB1158" s="16"/>
      <c r="AD1158" s="16"/>
      <c r="AE1158" s="1">
        <v>1</v>
      </c>
    </row>
    <row r="1159" spans="1:31" x14ac:dyDescent="0.2">
      <c r="A1159" s="1">
        <v>1158</v>
      </c>
      <c r="B1159" s="1">
        <v>2010</v>
      </c>
      <c r="C1159" s="1" t="s">
        <v>31</v>
      </c>
      <c r="D1159" s="8" t="s">
        <v>125</v>
      </c>
      <c r="E1159" s="8" t="s">
        <v>177</v>
      </c>
      <c r="F1159" s="1" t="s">
        <v>32</v>
      </c>
      <c r="I1159" s="12">
        <v>9.8699999999999992</v>
      </c>
      <c r="J1159" s="7">
        <v>24.8</v>
      </c>
      <c r="L1159" s="14">
        <v>3526</v>
      </c>
      <c r="N1159" s="14">
        <v>34810</v>
      </c>
      <c r="O1159" s="13">
        <v>31.6</v>
      </c>
      <c r="P1159" s="13">
        <v>9.6</v>
      </c>
      <c r="Q1159" s="13">
        <v>39.299999999999997</v>
      </c>
      <c r="R1159" s="13">
        <v>55.9</v>
      </c>
      <c r="S1159" s="13"/>
      <c r="T1159" s="15"/>
      <c r="U1159" s="13">
        <v>40.700000000000003</v>
      </c>
      <c r="V1159" s="13">
        <v>4.8</v>
      </c>
      <c r="W1159" s="12"/>
      <c r="X1159" s="15"/>
      <c r="Y1159" s="13">
        <v>72.900000000000006</v>
      </c>
      <c r="Z1159" s="7">
        <v>2.17</v>
      </c>
      <c r="AB1159" s="16"/>
      <c r="AD1159" s="16"/>
      <c r="AE1159" s="1">
        <v>1</v>
      </c>
    </row>
    <row r="1160" spans="1:31" x14ac:dyDescent="0.2">
      <c r="A1160" s="1">
        <v>1159</v>
      </c>
      <c r="B1160" s="1">
        <v>2021</v>
      </c>
      <c r="C1160" s="1" t="s">
        <v>31</v>
      </c>
      <c r="D1160" s="1" t="s">
        <v>805</v>
      </c>
      <c r="E1160" s="1" t="s">
        <v>806</v>
      </c>
      <c r="F1160" s="1" t="s">
        <v>32</v>
      </c>
      <c r="G1160" s="1">
        <v>111</v>
      </c>
      <c r="H1160" s="1" t="s">
        <v>89</v>
      </c>
      <c r="I1160" s="12">
        <v>6.9335991428534998</v>
      </c>
      <c r="J1160" s="12">
        <v>19.810283264999999</v>
      </c>
      <c r="K1160" s="1" t="s">
        <v>89</v>
      </c>
      <c r="L1160" s="16">
        <v>3526.2520004550001</v>
      </c>
      <c r="M1160" s="16" t="s">
        <v>89</v>
      </c>
      <c r="N1160" s="16">
        <v>24472.660076475</v>
      </c>
      <c r="O1160" s="15">
        <v>33.145465899999998</v>
      </c>
      <c r="P1160" s="15">
        <v>7.8223607550000001</v>
      </c>
      <c r="Q1160" s="15">
        <v>37.900635635999997</v>
      </c>
      <c r="R1160" s="15">
        <v>64.916700070000005</v>
      </c>
      <c r="T1160" s="15">
        <v>21.370048199999999</v>
      </c>
      <c r="U1160" s="15">
        <v>39.906948346999997</v>
      </c>
      <c r="V1160" s="15">
        <v>6.7789771219999997</v>
      </c>
      <c r="W1160" s="12">
        <v>0.72748033316000005</v>
      </c>
      <c r="X1160" s="15"/>
      <c r="Y1160" s="15">
        <v>75.148442266999993</v>
      </c>
      <c r="Z1160" s="12"/>
      <c r="AA1160" s="15">
        <v>0.25171850499999998</v>
      </c>
      <c r="AB1160" s="16">
        <f>AA1160*33.334</f>
        <v>8.390784645670001</v>
      </c>
      <c r="AD1160" s="16"/>
      <c r="AE1160" s="1">
        <v>1</v>
      </c>
    </row>
    <row r="1161" spans="1:31" x14ac:dyDescent="0.2">
      <c r="A1161" s="1">
        <v>1160</v>
      </c>
      <c r="B1161" s="1">
        <v>2019</v>
      </c>
      <c r="C1161" s="1" t="s">
        <v>31</v>
      </c>
      <c r="D1161" s="1" t="s">
        <v>719</v>
      </c>
      <c r="E1161" s="1" t="s">
        <v>720</v>
      </c>
      <c r="F1161" s="1" t="s">
        <v>32</v>
      </c>
      <c r="I1161" s="12">
        <v>9.1999999999999993</v>
      </c>
      <c r="J1161" s="7">
        <v>26.2</v>
      </c>
      <c r="L1161" s="5">
        <v>3526.5</v>
      </c>
      <c r="N1161" s="5">
        <v>32406.400000000001</v>
      </c>
      <c r="O1161" s="6">
        <v>30.967500000000001</v>
      </c>
      <c r="P1161" s="6">
        <v>8.9175000000000004</v>
      </c>
      <c r="Q1161" s="6">
        <v>41.072499999999998</v>
      </c>
      <c r="R1161" s="6">
        <v>57.914999999999999</v>
      </c>
      <c r="S1161" s="3"/>
      <c r="T1161" s="6">
        <v>23.44</v>
      </c>
      <c r="U1161" s="6">
        <v>33.702500000000001</v>
      </c>
      <c r="V1161" s="6">
        <v>8.2375000000000007</v>
      </c>
      <c r="W1161" s="3">
        <v>0.73157499999999998</v>
      </c>
      <c r="X1161" s="6"/>
      <c r="Y1161" s="6">
        <v>70.59</v>
      </c>
      <c r="Z1161" s="3">
        <v>2.1778754944279899</v>
      </c>
      <c r="AB1161" s="16"/>
      <c r="AD1161" s="16"/>
      <c r="AE1161" s="1">
        <v>1</v>
      </c>
    </row>
    <row r="1162" spans="1:31" x14ac:dyDescent="0.2">
      <c r="A1162" s="1">
        <v>1161</v>
      </c>
      <c r="B1162" s="1">
        <v>2012</v>
      </c>
      <c r="C1162" s="1" t="s">
        <v>31</v>
      </c>
      <c r="D1162" s="19" t="s">
        <v>861</v>
      </c>
      <c r="E1162" s="1" t="s">
        <v>285</v>
      </c>
      <c r="F1162" s="1" t="s">
        <v>32</v>
      </c>
      <c r="H1162" s="1" t="s">
        <v>34</v>
      </c>
      <c r="I1162" s="12">
        <v>10.050000000000001</v>
      </c>
      <c r="J1162" s="12">
        <v>28.7</v>
      </c>
      <c r="L1162" s="16">
        <v>3527</v>
      </c>
      <c r="N1162" s="16">
        <v>35461</v>
      </c>
      <c r="O1162" s="15">
        <v>33.200000000000003</v>
      </c>
      <c r="P1162" s="15">
        <v>7.4</v>
      </c>
      <c r="Q1162" s="15">
        <v>44.9</v>
      </c>
      <c r="R1162" s="15">
        <v>64.900000000000006</v>
      </c>
      <c r="T1162" s="15"/>
      <c r="U1162" s="15">
        <v>32.6</v>
      </c>
      <c r="V1162" s="15">
        <v>5.8</v>
      </c>
      <c r="W1162" s="12">
        <v>0.74</v>
      </c>
      <c r="X1162" s="15"/>
      <c r="Y1162" s="15"/>
      <c r="Z1162" s="12">
        <v>2.93</v>
      </c>
      <c r="AB1162" s="16"/>
      <c r="AD1162" s="16"/>
      <c r="AE1162" s="1">
        <v>1</v>
      </c>
    </row>
    <row r="1163" spans="1:31" x14ac:dyDescent="0.2">
      <c r="A1163" s="1">
        <v>1162</v>
      </c>
      <c r="B1163" s="1">
        <v>2016</v>
      </c>
      <c r="C1163" s="1" t="s">
        <v>31</v>
      </c>
      <c r="D1163" s="8" t="s">
        <v>874</v>
      </c>
      <c r="E1163" s="8" t="s">
        <v>408</v>
      </c>
      <c r="F1163" s="1" t="s">
        <v>32</v>
      </c>
      <c r="G1163" s="8">
        <v>117</v>
      </c>
      <c r="I1163" s="12">
        <v>9.4</v>
      </c>
      <c r="J1163" s="7">
        <v>26.8571428571429</v>
      </c>
      <c r="K1163" s="1" t="s">
        <v>34</v>
      </c>
      <c r="L1163" s="14">
        <v>3528</v>
      </c>
      <c r="M1163" s="1" t="s">
        <v>34</v>
      </c>
      <c r="N1163" s="14">
        <v>33168</v>
      </c>
      <c r="O1163" s="13">
        <v>33.4</v>
      </c>
      <c r="P1163" s="13">
        <v>7.6</v>
      </c>
      <c r="Q1163" s="13">
        <v>41</v>
      </c>
      <c r="R1163" s="13">
        <v>55.9</v>
      </c>
      <c r="S1163" s="13"/>
      <c r="T1163" s="13">
        <v>23.2</v>
      </c>
      <c r="U1163" s="13">
        <v>34.5</v>
      </c>
      <c r="V1163" s="13">
        <v>3.1</v>
      </c>
      <c r="W1163" s="7">
        <v>0.75</v>
      </c>
      <c r="X1163" s="13"/>
      <c r="Y1163" s="13">
        <v>72.8</v>
      </c>
      <c r="Z1163" s="7">
        <v>2.15</v>
      </c>
      <c r="AA1163" s="15" t="s">
        <v>89</v>
      </c>
      <c r="AB1163" s="16"/>
      <c r="AD1163" s="16"/>
      <c r="AE1163" s="1">
        <v>1</v>
      </c>
    </row>
    <row r="1164" spans="1:31" x14ac:dyDescent="0.2">
      <c r="A1164" s="1">
        <v>1163</v>
      </c>
      <c r="B1164" s="1">
        <v>2008</v>
      </c>
      <c r="C1164" s="1" t="s">
        <v>31</v>
      </c>
      <c r="D1164" s="1" t="s">
        <v>916</v>
      </c>
      <c r="E1164" s="8" t="s">
        <v>87</v>
      </c>
      <c r="F1164" s="8" t="s">
        <v>83</v>
      </c>
      <c r="G1164" s="8"/>
      <c r="H1164" s="8" t="s">
        <v>34</v>
      </c>
      <c r="I1164" s="12">
        <v>5.76</v>
      </c>
      <c r="J1164" s="7">
        <v>16.5</v>
      </c>
      <c r="K1164" s="13" t="s">
        <v>34</v>
      </c>
      <c r="L1164" s="14">
        <v>3529</v>
      </c>
      <c r="M1164" s="14" t="s">
        <v>34</v>
      </c>
      <c r="N1164" s="14">
        <v>20297</v>
      </c>
      <c r="O1164" s="13">
        <v>35.700000000000003</v>
      </c>
      <c r="P1164" s="13">
        <v>10.3</v>
      </c>
      <c r="Q1164" s="13">
        <v>35.4</v>
      </c>
      <c r="R1164" s="13">
        <v>57.4</v>
      </c>
      <c r="S1164" s="13"/>
      <c r="T1164" s="13">
        <v>17.399999999999999</v>
      </c>
      <c r="U1164" s="13">
        <v>32.799999999999997</v>
      </c>
      <c r="V1164" s="15"/>
      <c r="X1164" s="15"/>
      <c r="Y1164" s="13">
        <v>74.8</v>
      </c>
      <c r="Z1164" s="7">
        <v>1.1599999999999999</v>
      </c>
      <c r="AB1164" s="16"/>
      <c r="AD1164" s="16"/>
      <c r="AE1164" s="1">
        <v>1</v>
      </c>
    </row>
    <row r="1165" spans="1:31" x14ac:dyDescent="0.2">
      <c r="A1165" s="1">
        <v>1164</v>
      </c>
      <c r="B1165" s="1">
        <v>2016</v>
      </c>
      <c r="C1165" s="1" t="s">
        <v>88</v>
      </c>
      <c r="D1165" s="8" t="s">
        <v>246</v>
      </c>
      <c r="E1165" s="8" t="s">
        <v>581</v>
      </c>
      <c r="F1165" s="1" t="s">
        <v>32</v>
      </c>
      <c r="I1165" s="12">
        <v>6.7</v>
      </c>
      <c r="J1165" s="7">
        <v>19.1428571428571</v>
      </c>
      <c r="K1165" s="1" t="s">
        <v>34</v>
      </c>
      <c r="L1165" s="5">
        <v>3529</v>
      </c>
      <c r="N1165" s="5">
        <v>23753.474999999999</v>
      </c>
      <c r="O1165" s="6">
        <v>27.727499999999999</v>
      </c>
      <c r="P1165" s="6">
        <v>8.1999999999999993</v>
      </c>
      <c r="Q1165" s="6">
        <v>47.204999999999998</v>
      </c>
      <c r="R1165" s="6">
        <v>57.6</v>
      </c>
      <c r="S1165" s="6"/>
      <c r="T1165" s="6">
        <v>29.932500000000001</v>
      </c>
      <c r="U1165" s="6">
        <v>23.252500000000001</v>
      </c>
      <c r="V1165" s="6">
        <v>6.0374999999999996</v>
      </c>
      <c r="W1165" s="7">
        <v>0.67</v>
      </c>
      <c r="X1165" s="13"/>
      <c r="Y1165" s="6">
        <v>67.8</v>
      </c>
      <c r="Z1165" s="3">
        <v>1.8060175000000001</v>
      </c>
      <c r="AA1165" s="6">
        <v>1</v>
      </c>
      <c r="AB1165" s="16">
        <f>AA1165*10</f>
        <v>10</v>
      </c>
      <c r="AC1165" s="6">
        <v>1</v>
      </c>
      <c r="AD1165" s="16">
        <f>AC1165*10</f>
        <v>10</v>
      </c>
      <c r="AE1165" s="1">
        <v>1</v>
      </c>
    </row>
    <row r="1166" spans="1:31" x14ac:dyDescent="0.2">
      <c r="A1166" s="1">
        <v>1165</v>
      </c>
      <c r="B1166" s="1">
        <v>2017</v>
      </c>
      <c r="C1166" s="1" t="s">
        <v>31</v>
      </c>
      <c r="D1166" s="1" t="s">
        <v>805</v>
      </c>
      <c r="E1166" s="8" t="s">
        <v>609</v>
      </c>
      <c r="F1166" s="1" t="s">
        <v>32</v>
      </c>
      <c r="G1166" s="1">
        <v>115</v>
      </c>
      <c r="I1166" s="12">
        <v>8.1036223399999994</v>
      </c>
      <c r="J1166" s="3">
        <v>23.153206699999998</v>
      </c>
      <c r="K1166" s="1" t="s">
        <v>34</v>
      </c>
      <c r="L1166" s="5">
        <v>3530</v>
      </c>
      <c r="N1166" s="5">
        <v>28598.814900000001</v>
      </c>
      <c r="O1166" s="6">
        <v>34.6</v>
      </c>
      <c r="P1166" s="6">
        <v>7.6124999999999998</v>
      </c>
      <c r="Q1166" s="6">
        <v>36.032499999999999</v>
      </c>
      <c r="R1166" s="6">
        <v>53.977499999999999</v>
      </c>
      <c r="S1166" s="3"/>
      <c r="T1166" s="6">
        <v>21.977499999999999</v>
      </c>
      <c r="U1166" s="6">
        <v>39.4</v>
      </c>
      <c r="V1166" s="6">
        <v>3.1675</v>
      </c>
      <c r="W1166" s="3">
        <v>0.8</v>
      </c>
      <c r="X1166" s="6"/>
      <c r="Y1166" s="6">
        <v>73.599999999999994</v>
      </c>
      <c r="Z1166" s="3">
        <v>1.58127657</v>
      </c>
      <c r="AB1166" s="16"/>
      <c r="AD1166" s="16"/>
      <c r="AE1166" s="1">
        <v>1</v>
      </c>
    </row>
    <row r="1167" spans="1:31" x14ac:dyDescent="0.2">
      <c r="A1167" s="1">
        <v>1166</v>
      </c>
      <c r="B1167" s="1">
        <v>2019</v>
      </c>
      <c r="C1167" s="1" t="s">
        <v>31</v>
      </c>
      <c r="D1167" s="1" t="s">
        <v>916</v>
      </c>
      <c r="E1167" s="1" t="s">
        <v>656</v>
      </c>
      <c r="F1167" s="1" t="s">
        <v>32</v>
      </c>
      <c r="G1167" s="1">
        <v>124</v>
      </c>
      <c r="H1167" s="1" t="s">
        <v>34</v>
      </c>
      <c r="I1167" s="12">
        <v>10</v>
      </c>
      <c r="J1167" s="7">
        <v>28.6</v>
      </c>
      <c r="L1167" s="5">
        <v>3530.25</v>
      </c>
      <c r="M1167" s="1" t="s">
        <v>34</v>
      </c>
      <c r="N1167" s="5">
        <v>35336.1</v>
      </c>
      <c r="O1167" s="6">
        <v>30.625</v>
      </c>
      <c r="P1167" s="6">
        <v>8.8175000000000008</v>
      </c>
      <c r="Q1167" s="6">
        <v>45.1</v>
      </c>
      <c r="R1167" s="6">
        <v>62.4</v>
      </c>
      <c r="S1167" s="3"/>
      <c r="T1167" s="6">
        <v>25.6</v>
      </c>
      <c r="U1167" s="6">
        <v>29.774999999999999</v>
      </c>
      <c r="V1167" s="6">
        <v>8.3550000000000004</v>
      </c>
      <c r="W1167" s="3">
        <v>0.72167500000000007</v>
      </c>
      <c r="X1167" s="6"/>
      <c r="Y1167" s="6">
        <v>69.702500000000001</v>
      </c>
      <c r="Z1167" s="3">
        <v>2.8</v>
      </c>
      <c r="AB1167" s="16"/>
      <c r="AD1167" s="16"/>
      <c r="AE1167" s="1">
        <v>1</v>
      </c>
    </row>
    <row r="1168" spans="1:31" x14ac:dyDescent="0.2">
      <c r="A1168" s="1">
        <v>1167</v>
      </c>
      <c r="B1168" s="1">
        <v>2016</v>
      </c>
      <c r="C1168" s="1" t="s">
        <v>31</v>
      </c>
      <c r="D1168" s="28" t="s">
        <v>914</v>
      </c>
      <c r="E1168" s="8" t="s">
        <v>539</v>
      </c>
      <c r="F1168" s="1" t="s">
        <v>32</v>
      </c>
      <c r="G1168" s="8">
        <v>118</v>
      </c>
      <c r="I1168" s="12">
        <v>9.4499999999999993</v>
      </c>
      <c r="J1168" s="7">
        <v>27</v>
      </c>
      <c r="K1168" s="1" t="s">
        <v>34</v>
      </c>
      <c r="L1168" s="14">
        <v>3531</v>
      </c>
      <c r="M1168" s="1" t="s">
        <v>34</v>
      </c>
      <c r="N1168" s="14">
        <v>33254</v>
      </c>
      <c r="O1168" s="13">
        <v>34.5</v>
      </c>
      <c r="P1168" s="13">
        <v>7.8</v>
      </c>
      <c r="Q1168" s="13">
        <v>39.1</v>
      </c>
      <c r="R1168" s="13">
        <v>55.8</v>
      </c>
      <c r="S1168" s="13"/>
      <c r="T1168" s="13">
        <v>22.4</v>
      </c>
      <c r="U1168" s="13">
        <v>35.700000000000003</v>
      </c>
      <c r="V1168" s="13">
        <v>3.5</v>
      </c>
      <c r="W1168" s="7">
        <v>0.75</v>
      </c>
      <c r="X1168" s="13"/>
      <c r="Y1168" s="13">
        <v>73.400000000000006</v>
      </c>
      <c r="Z1168" s="7">
        <v>2.0699999999999998</v>
      </c>
      <c r="AA1168" s="15" t="s">
        <v>89</v>
      </c>
      <c r="AB1168" s="16"/>
      <c r="AD1168" s="16"/>
      <c r="AE1168" s="1">
        <v>1</v>
      </c>
    </row>
    <row r="1169" spans="1:31" x14ac:dyDescent="0.2">
      <c r="A1169" s="1">
        <v>1168</v>
      </c>
      <c r="B1169" s="1">
        <v>2014</v>
      </c>
      <c r="C1169" s="1" t="s">
        <v>31</v>
      </c>
      <c r="D1169" s="1" t="s">
        <v>37</v>
      </c>
      <c r="E1169" s="1" t="s">
        <v>371</v>
      </c>
      <c r="F1169" s="1" t="s">
        <v>32</v>
      </c>
      <c r="G1169" s="1">
        <v>113</v>
      </c>
      <c r="I1169" s="12">
        <v>9.48</v>
      </c>
      <c r="J1169" s="12">
        <v>27.1</v>
      </c>
      <c r="K1169" s="1" t="s">
        <v>34</v>
      </c>
      <c r="L1169" s="16">
        <v>3531</v>
      </c>
      <c r="M1169" s="1" t="s">
        <v>34</v>
      </c>
      <c r="N1169" s="16">
        <v>33398</v>
      </c>
      <c r="O1169" s="15">
        <v>32.9</v>
      </c>
      <c r="P1169" s="15">
        <v>8.3000000000000007</v>
      </c>
      <c r="Q1169" s="15">
        <v>38.299999999999997</v>
      </c>
      <c r="R1169" s="15">
        <v>57.5</v>
      </c>
      <c r="T1169" s="15"/>
      <c r="U1169" s="15">
        <v>34.4</v>
      </c>
      <c r="V1169" s="15">
        <v>5.4</v>
      </c>
      <c r="W1169" s="12">
        <v>0.74</v>
      </c>
      <c r="X1169" s="15"/>
      <c r="Y1169" s="15">
        <v>71.2</v>
      </c>
      <c r="Z1169" s="12">
        <v>2.1</v>
      </c>
      <c r="AB1169" s="16"/>
      <c r="AD1169" s="16"/>
      <c r="AE1169" s="1">
        <v>1</v>
      </c>
    </row>
    <row r="1170" spans="1:31" x14ac:dyDescent="0.2">
      <c r="A1170" s="1">
        <v>1169</v>
      </c>
      <c r="B1170" s="1">
        <v>2013</v>
      </c>
      <c r="C1170" s="1" t="s">
        <v>31</v>
      </c>
      <c r="D1170" s="8" t="s">
        <v>291</v>
      </c>
      <c r="E1170" s="8" t="s">
        <v>384</v>
      </c>
      <c r="F1170" s="1" t="s">
        <v>32</v>
      </c>
      <c r="G1170" s="8">
        <v>117</v>
      </c>
      <c r="H1170" s="8"/>
      <c r="I1170" s="12">
        <v>8.6999999999999993</v>
      </c>
      <c r="J1170" s="7">
        <v>24.8571428571429</v>
      </c>
      <c r="K1170" s="13" t="s">
        <v>34</v>
      </c>
      <c r="L1170" s="14">
        <v>3532</v>
      </c>
      <c r="M1170" s="14"/>
      <c r="N1170" s="14">
        <v>30727</v>
      </c>
      <c r="O1170" s="13">
        <v>33.700000000000003</v>
      </c>
      <c r="P1170" s="13">
        <v>7.9</v>
      </c>
      <c r="Q1170" s="13">
        <v>33.4</v>
      </c>
      <c r="R1170" s="13">
        <v>51.8</v>
      </c>
      <c r="S1170" s="13"/>
      <c r="T1170" s="13"/>
      <c r="U1170" s="13">
        <v>41.7</v>
      </c>
      <c r="V1170" s="13">
        <v>3.2</v>
      </c>
      <c r="W1170" s="7">
        <v>0.77</v>
      </c>
      <c r="X1170" s="15"/>
      <c r="Y1170" s="15"/>
      <c r="Z1170" s="7">
        <v>1.5</v>
      </c>
      <c r="AB1170" s="16"/>
      <c r="AD1170" s="16"/>
      <c r="AE1170" s="1">
        <v>1</v>
      </c>
    </row>
    <row r="1171" spans="1:31" x14ac:dyDescent="0.2">
      <c r="A1171" s="1">
        <v>1170</v>
      </c>
      <c r="B1171" s="1">
        <v>2012</v>
      </c>
      <c r="C1171" s="1" t="s">
        <v>31</v>
      </c>
      <c r="D1171" s="8" t="s">
        <v>874</v>
      </c>
      <c r="E1171" s="1" t="s">
        <v>117</v>
      </c>
      <c r="F1171" s="1" t="s">
        <v>32</v>
      </c>
      <c r="I1171" s="12">
        <v>9.5500000000000007</v>
      </c>
      <c r="J1171" s="12">
        <v>27.3</v>
      </c>
      <c r="L1171" s="16">
        <v>3532</v>
      </c>
      <c r="N1171" s="16">
        <v>33713</v>
      </c>
      <c r="O1171" s="15">
        <v>34.1</v>
      </c>
      <c r="P1171" s="15">
        <v>7.5</v>
      </c>
      <c r="Q1171" s="15">
        <v>44.8</v>
      </c>
      <c r="R1171" s="15">
        <v>65.400000000000006</v>
      </c>
      <c r="T1171" s="15"/>
      <c r="U1171" s="15">
        <v>33.9</v>
      </c>
      <c r="V1171" s="15">
        <v>4.4000000000000004</v>
      </c>
      <c r="W1171" s="12">
        <v>0.74</v>
      </c>
      <c r="X1171" s="15"/>
      <c r="Y1171" s="15"/>
      <c r="Z1171" s="12">
        <v>2.79</v>
      </c>
      <c r="AB1171" s="16"/>
      <c r="AD1171" s="16"/>
      <c r="AE1171" s="1">
        <v>1</v>
      </c>
    </row>
    <row r="1172" spans="1:31" x14ac:dyDescent="0.2">
      <c r="A1172" s="1">
        <v>1171</v>
      </c>
      <c r="B1172" s="1">
        <v>2010</v>
      </c>
      <c r="C1172" s="1" t="s">
        <v>31</v>
      </c>
      <c r="D1172" s="8" t="s">
        <v>37</v>
      </c>
      <c r="E1172" s="8" t="s">
        <v>103</v>
      </c>
      <c r="F1172" s="1" t="s">
        <v>32</v>
      </c>
      <c r="I1172" s="12">
        <v>9.0500000000000007</v>
      </c>
      <c r="J1172" s="7">
        <v>25.8571428571429</v>
      </c>
      <c r="L1172" s="14">
        <v>3535</v>
      </c>
      <c r="N1172" s="14">
        <v>31914</v>
      </c>
      <c r="O1172" s="13">
        <v>26.8</v>
      </c>
      <c r="P1172" s="13">
        <v>9.8000000000000007</v>
      </c>
      <c r="Q1172" s="13">
        <v>39.9</v>
      </c>
      <c r="R1172" s="13">
        <v>56.6</v>
      </c>
      <c r="S1172" s="13"/>
      <c r="T1172" s="15"/>
      <c r="U1172" s="13">
        <v>36.799999999999997</v>
      </c>
      <c r="V1172" s="13">
        <v>6</v>
      </c>
      <c r="W1172" s="12"/>
      <c r="X1172" s="15"/>
      <c r="Y1172" s="13">
        <v>72.599999999999994</v>
      </c>
      <c r="Z1172" s="7">
        <v>2.04</v>
      </c>
      <c r="AB1172" s="16"/>
      <c r="AD1172" s="16"/>
      <c r="AE1172" s="1">
        <v>1</v>
      </c>
    </row>
    <row r="1173" spans="1:31" x14ac:dyDescent="0.2">
      <c r="A1173" s="1">
        <v>1172</v>
      </c>
      <c r="B1173" s="1">
        <v>2014</v>
      </c>
      <c r="C1173" s="1" t="s">
        <v>31</v>
      </c>
      <c r="D1173" s="28" t="s">
        <v>914</v>
      </c>
      <c r="E1173" s="1" t="s">
        <v>415</v>
      </c>
      <c r="F1173" s="1" t="s">
        <v>32</v>
      </c>
      <c r="G1173" s="1">
        <v>117</v>
      </c>
      <c r="I1173" s="12">
        <v>9.49</v>
      </c>
      <c r="J1173" s="12">
        <v>27.1</v>
      </c>
      <c r="K1173" s="1" t="s">
        <v>34</v>
      </c>
      <c r="L1173" s="16">
        <v>3536</v>
      </c>
      <c r="M1173" s="1" t="s">
        <v>34</v>
      </c>
      <c r="N1173" s="16">
        <v>33542</v>
      </c>
      <c r="O1173" s="15">
        <v>30.9</v>
      </c>
      <c r="P1173" s="15">
        <v>8</v>
      </c>
      <c r="Q1173" s="15">
        <v>38.799999999999997</v>
      </c>
      <c r="R1173" s="15">
        <v>54.1</v>
      </c>
      <c r="T1173" s="15"/>
      <c r="U1173" s="15">
        <v>32.200000000000003</v>
      </c>
      <c r="V1173" s="15">
        <v>6.6</v>
      </c>
      <c r="W1173" s="12">
        <v>0.74</v>
      </c>
      <c r="X1173" s="15"/>
      <c r="Y1173" s="15">
        <v>71.3</v>
      </c>
      <c r="Z1173" s="12">
        <v>1.99</v>
      </c>
      <c r="AB1173" s="16"/>
      <c r="AD1173" s="16"/>
      <c r="AE1173" s="1">
        <v>1</v>
      </c>
    </row>
    <row r="1174" spans="1:31" x14ac:dyDescent="0.2">
      <c r="A1174" s="1">
        <v>1173</v>
      </c>
      <c r="B1174" s="1">
        <v>2021</v>
      </c>
      <c r="C1174" s="1" t="s">
        <v>31</v>
      </c>
      <c r="D1174" s="19" t="s">
        <v>900</v>
      </c>
      <c r="E1174" s="1" t="s">
        <v>811</v>
      </c>
      <c r="F1174" s="1" t="s">
        <v>83</v>
      </c>
      <c r="G1174" s="1">
        <v>119</v>
      </c>
      <c r="H1174" s="1" t="s">
        <v>34</v>
      </c>
      <c r="I1174" s="12">
        <v>6.5848969277570006</v>
      </c>
      <c r="J1174" s="12">
        <v>18.813991221999999</v>
      </c>
      <c r="L1174" s="16">
        <v>3536.0241179999998</v>
      </c>
      <c r="M1174" s="1" t="s">
        <v>34</v>
      </c>
      <c r="N1174" s="16">
        <v>23281.313248775001</v>
      </c>
      <c r="O1174" s="15">
        <v>48.003359699999997</v>
      </c>
      <c r="P1174" s="15">
        <v>8.3051201720000005</v>
      </c>
      <c r="Q1174" s="15">
        <v>18.625</v>
      </c>
      <c r="R1174" s="15">
        <v>35.357500000000002</v>
      </c>
      <c r="U1174" s="15">
        <v>38.012500000000003</v>
      </c>
      <c r="V1174" s="15">
        <v>7.95</v>
      </c>
      <c r="W1174" s="12">
        <v>0.73167427407999996</v>
      </c>
      <c r="X1174" s="15"/>
      <c r="Y1174" s="15">
        <v>74.848556649000002</v>
      </c>
      <c r="Z1174" s="12"/>
      <c r="AA1174" s="15">
        <v>1.375</v>
      </c>
      <c r="AB1174" s="16">
        <f>AA1174*33.334</f>
        <v>45.834250000000004</v>
      </c>
      <c r="AD1174" s="16"/>
      <c r="AE1174" s="1">
        <v>1</v>
      </c>
    </row>
    <row r="1175" spans="1:31" x14ac:dyDescent="0.2">
      <c r="A1175" s="1">
        <v>1174</v>
      </c>
      <c r="B1175" s="1">
        <v>2015</v>
      </c>
      <c r="C1175" s="8" t="s">
        <v>31</v>
      </c>
      <c r="D1175" s="8" t="s">
        <v>402</v>
      </c>
      <c r="E1175" s="8" t="s">
        <v>472</v>
      </c>
      <c r="F1175" s="1" t="s">
        <v>32</v>
      </c>
      <c r="G1175" s="8">
        <v>116</v>
      </c>
      <c r="I1175" s="12">
        <v>7.67</v>
      </c>
      <c r="J1175" s="7">
        <v>21.914285714285715</v>
      </c>
      <c r="L1175" s="14">
        <v>3537</v>
      </c>
      <c r="N1175" s="14">
        <v>27121</v>
      </c>
      <c r="O1175" s="13">
        <v>34.299999999999997</v>
      </c>
      <c r="P1175" s="13">
        <v>6.7</v>
      </c>
      <c r="Q1175" s="13">
        <v>36.4</v>
      </c>
      <c r="R1175" s="13">
        <v>52.9</v>
      </c>
      <c r="S1175" s="8"/>
      <c r="T1175" s="13">
        <v>24</v>
      </c>
      <c r="U1175" s="13">
        <v>37</v>
      </c>
      <c r="V1175" s="13">
        <v>3.6</v>
      </c>
      <c r="W1175" s="7">
        <v>0.76</v>
      </c>
      <c r="X1175" s="13"/>
      <c r="Y1175" s="13">
        <v>74</v>
      </c>
      <c r="Z1175" s="7">
        <v>1.48</v>
      </c>
      <c r="AA1175" s="1" t="s">
        <v>89</v>
      </c>
      <c r="AB1175" s="16" t="s">
        <v>89</v>
      </c>
      <c r="AC1175" s="1" t="s">
        <v>89</v>
      </c>
      <c r="AD1175" s="16" t="s">
        <v>89</v>
      </c>
      <c r="AE1175" s="1">
        <v>1</v>
      </c>
    </row>
    <row r="1176" spans="1:31" x14ac:dyDescent="0.2">
      <c r="A1176" s="1">
        <v>1175</v>
      </c>
      <c r="B1176" s="1">
        <v>2015</v>
      </c>
      <c r="C1176" s="8" t="s">
        <v>31</v>
      </c>
      <c r="D1176" s="8" t="s">
        <v>874</v>
      </c>
      <c r="E1176" s="8" t="s">
        <v>362</v>
      </c>
      <c r="F1176" s="1" t="s">
        <v>32</v>
      </c>
      <c r="G1176" s="8">
        <v>117</v>
      </c>
      <c r="I1176" s="12">
        <v>8.65</v>
      </c>
      <c r="J1176" s="7">
        <v>24.714285714285715</v>
      </c>
      <c r="L1176" s="14">
        <v>3537</v>
      </c>
      <c r="N1176" s="14">
        <v>30591</v>
      </c>
      <c r="O1176" s="13">
        <v>34.299999999999997</v>
      </c>
      <c r="P1176" s="13">
        <v>7.1</v>
      </c>
      <c r="Q1176" s="13">
        <v>37</v>
      </c>
      <c r="R1176" s="13">
        <v>51.7</v>
      </c>
      <c r="S1176" s="8"/>
      <c r="T1176" s="13">
        <v>24.5</v>
      </c>
      <c r="U1176" s="13">
        <v>35.700000000000003</v>
      </c>
      <c r="V1176" s="13">
        <v>3.4</v>
      </c>
      <c r="W1176" s="7">
        <v>0.76</v>
      </c>
      <c r="X1176" s="13"/>
      <c r="Y1176" s="13">
        <v>73.900000000000006</v>
      </c>
      <c r="Z1176" s="7">
        <v>1.66</v>
      </c>
      <c r="AA1176" s="1" t="s">
        <v>89</v>
      </c>
      <c r="AB1176" s="16" t="s">
        <v>89</v>
      </c>
      <c r="AC1176" s="1" t="s">
        <v>89</v>
      </c>
      <c r="AD1176" s="16" t="s">
        <v>89</v>
      </c>
      <c r="AE1176" s="1">
        <v>1</v>
      </c>
    </row>
    <row r="1177" spans="1:31" x14ac:dyDescent="0.2">
      <c r="A1177" s="1">
        <v>1176</v>
      </c>
      <c r="B1177" s="1">
        <v>2009</v>
      </c>
      <c r="C1177" s="1" t="s">
        <v>31</v>
      </c>
      <c r="D1177" s="8" t="s">
        <v>71</v>
      </c>
      <c r="E1177" s="8" t="s">
        <v>131</v>
      </c>
      <c r="F1177" s="1" t="s">
        <v>32</v>
      </c>
      <c r="H1177" s="1" t="s">
        <v>34</v>
      </c>
      <c r="I1177" s="12">
        <v>9.07</v>
      </c>
      <c r="J1177" s="7">
        <v>25.9</v>
      </c>
      <c r="L1177" s="14">
        <v>3537</v>
      </c>
      <c r="M1177" s="1" t="s">
        <v>34</v>
      </c>
      <c r="N1177" s="14">
        <v>32069</v>
      </c>
      <c r="O1177" s="13">
        <v>31.4</v>
      </c>
      <c r="P1177" s="13">
        <v>9.4</v>
      </c>
      <c r="Q1177" s="13">
        <v>43.5</v>
      </c>
      <c r="R1177" s="13">
        <v>57.7</v>
      </c>
      <c r="S1177" s="13"/>
      <c r="T1177" s="15" t="s">
        <v>89</v>
      </c>
      <c r="U1177" s="13">
        <v>32.799999999999997</v>
      </c>
      <c r="V1177" s="13">
        <v>7.7</v>
      </c>
      <c r="W1177" s="12" t="s">
        <v>89</v>
      </c>
      <c r="X1177" s="15"/>
      <c r="Y1177" s="13">
        <v>74.599999999999994</v>
      </c>
      <c r="Z1177" s="7">
        <v>2.2799999999999998</v>
      </c>
      <c r="AB1177" s="16"/>
      <c r="AD1177" s="16"/>
      <c r="AE1177" s="1">
        <v>1</v>
      </c>
    </row>
    <row r="1178" spans="1:31" x14ac:dyDescent="0.2">
      <c r="A1178" s="1">
        <v>1177</v>
      </c>
      <c r="B1178" s="1">
        <v>2015</v>
      </c>
      <c r="C1178" s="8" t="s">
        <v>88</v>
      </c>
      <c r="D1178" s="8" t="s">
        <v>1023</v>
      </c>
      <c r="E1178" s="8" t="s">
        <v>386</v>
      </c>
      <c r="F1178" s="1" t="s">
        <v>32</v>
      </c>
      <c r="I1178" s="12">
        <v>6.15</v>
      </c>
      <c r="J1178" s="7">
        <v>17.571428571428573</v>
      </c>
      <c r="K1178" s="1" t="s">
        <v>34</v>
      </c>
      <c r="L1178" s="14">
        <v>3538</v>
      </c>
      <c r="N1178" s="14">
        <v>21800</v>
      </c>
      <c r="O1178" s="13">
        <v>30.9</v>
      </c>
      <c r="P1178" s="13">
        <v>9.3000000000000007</v>
      </c>
      <c r="Q1178" s="13">
        <v>44.1</v>
      </c>
      <c r="R1178" s="13">
        <v>50.9</v>
      </c>
      <c r="S1178" s="8"/>
      <c r="T1178" s="15" t="s">
        <v>89</v>
      </c>
      <c r="U1178" s="13">
        <v>26.1</v>
      </c>
      <c r="V1178" s="13">
        <v>6.7</v>
      </c>
      <c r="W1178" s="7">
        <v>0.69</v>
      </c>
      <c r="X1178" s="13"/>
      <c r="Y1178" s="13">
        <v>66.900000000000006</v>
      </c>
      <c r="Z1178" s="7">
        <v>1.38</v>
      </c>
      <c r="AA1178" s="13">
        <v>1.5</v>
      </c>
      <c r="AB1178" s="16">
        <f>AA1178*10</f>
        <v>15</v>
      </c>
      <c r="AC1178" s="13">
        <v>2</v>
      </c>
      <c r="AD1178" s="16">
        <f>AC1178*10</f>
        <v>20</v>
      </c>
      <c r="AE1178" s="1">
        <v>1</v>
      </c>
    </row>
    <row r="1179" spans="1:31" x14ac:dyDescent="0.2">
      <c r="A1179" s="1">
        <v>1178</v>
      </c>
      <c r="B1179" s="1">
        <v>2014</v>
      </c>
      <c r="C1179" s="1" t="s">
        <v>31</v>
      </c>
      <c r="D1179" s="1" t="s">
        <v>916</v>
      </c>
      <c r="E1179" s="1" t="s">
        <v>410</v>
      </c>
      <c r="F1179" s="1" t="s">
        <v>32</v>
      </c>
      <c r="G1179" s="1">
        <v>118</v>
      </c>
      <c r="I1179" s="12">
        <v>8.66</v>
      </c>
      <c r="J1179" s="12">
        <v>24.7</v>
      </c>
      <c r="K1179" s="1" t="s">
        <v>34</v>
      </c>
      <c r="L1179" s="16">
        <v>3538</v>
      </c>
      <c r="N1179" s="16">
        <v>30582</v>
      </c>
      <c r="O1179" s="15">
        <v>34</v>
      </c>
      <c r="P1179" s="15">
        <v>7.6</v>
      </c>
      <c r="Q1179" s="15">
        <v>36.700000000000003</v>
      </c>
      <c r="R1179" s="15">
        <v>56.6</v>
      </c>
      <c r="T1179" s="15"/>
      <c r="U1179" s="15">
        <v>37.4</v>
      </c>
      <c r="V1179" s="15">
        <v>5.2</v>
      </c>
      <c r="W1179" s="12">
        <v>0.75</v>
      </c>
      <c r="X1179" s="15"/>
      <c r="Y1179" s="15">
        <v>72.5</v>
      </c>
      <c r="Z1179" s="12">
        <v>1.79</v>
      </c>
      <c r="AB1179" s="16"/>
      <c r="AD1179" s="16"/>
      <c r="AE1179" s="1">
        <v>1</v>
      </c>
    </row>
    <row r="1180" spans="1:31" x14ac:dyDescent="0.2">
      <c r="A1180" s="1">
        <v>1179</v>
      </c>
      <c r="B1180" s="1">
        <v>2014</v>
      </c>
      <c r="C1180" s="1" t="s">
        <v>31</v>
      </c>
      <c r="D1180" s="28" t="s">
        <v>914</v>
      </c>
      <c r="E1180" s="1" t="s">
        <v>417</v>
      </c>
      <c r="F1180" s="1" t="s">
        <v>32</v>
      </c>
      <c r="G1180" s="1">
        <v>117</v>
      </c>
      <c r="I1180" s="12">
        <v>8.7799999999999994</v>
      </c>
      <c r="J1180" s="12">
        <v>25.1</v>
      </c>
      <c r="K1180" s="1" t="s">
        <v>34</v>
      </c>
      <c r="L1180" s="16">
        <v>3538</v>
      </c>
      <c r="N1180" s="16">
        <v>31120</v>
      </c>
      <c r="O1180" s="15">
        <v>31</v>
      </c>
      <c r="P1180" s="15">
        <v>7.3</v>
      </c>
      <c r="Q1180" s="15">
        <v>39.4</v>
      </c>
      <c r="R1180" s="15">
        <v>55.5</v>
      </c>
      <c r="T1180" s="15"/>
      <c r="U1180" s="15">
        <v>32.5</v>
      </c>
      <c r="V1180" s="15">
        <v>5.5</v>
      </c>
      <c r="W1180" s="12">
        <v>0.74</v>
      </c>
      <c r="X1180" s="15"/>
      <c r="Y1180" s="15">
        <v>71.3</v>
      </c>
      <c r="Z1180" s="12">
        <v>1.91</v>
      </c>
      <c r="AB1180" s="16"/>
      <c r="AD1180" s="16"/>
      <c r="AE1180" s="1">
        <v>1</v>
      </c>
    </row>
    <row r="1181" spans="1:31" x14ac:dyDescent="0.2">
      <c r="A1181" s="1">
        <v>1180</v>
      </c>
      <c r="B1181" s="1">
        <v>2013</v>
      </c>
      <c r="C1181" s="1" t="s">
        <v>31</v>
      </c>
      <c r="D1181" s="8" t="s">
        <v>291</v>
      </c>
      <c r="E1181" s="8" t="s">
        <v>349</v>
      </c>
      <c r="F1181" s="1" t="s">
        <v>32</v>
      </c>
      <c r="G1181" s="8">
        <v>117</v>
      </c>
      <c r="H1181" s="8"/>
      <c r="I1181" s="12">
        <v>8.59</v>
      </c>
      <c r="J1181" s="7">
        <v>24.542857142857098</v>
      </c>
      <c r="K1181" s="13" t="s">
        <v>34</v>
      </c>
      <c r="L1181" s="14">
        <v>3539</v>
      </c>
      <c r="M1181" s="14"/>
      <c r="N1181" s="14">
        <v>30415</v>
      </c>
      <c r="O1181" s="13">
        <v>33</v>
      </c>
      <c r="P1181" s="13">
        <v>7.6</v>
      </c>
      <c r="Q1181" s="13">
        <v>35.700000000000003</v>
      </c>
      <c r="R1181" s="13">
        <v>53.9</v>
      </c>
      <c r="S1181" s="13"/>
      <c r="T1181" s="13"/>
      <c r="U1181" s="13">
        <v>38.799999999999997</v>
      </c>
      <c r="V1181" s="13">
        <v>4.2</v>
      </c>
      <c r="W1181" s="7">
        <v>0.75</v>
      </c>
      <c r="X1181" s="15"/>
      <c r="Y1181" s="15"/>
      <c r="Z1181" s="7">
        <v>1.65</v>
      </c>
      <c r="AB1181" s="16"/>
      <c r="AD1181" s="16"/>
      <c r="AE1181" s="1">
        <v>1</v>
      </c>
    </row>
    <row r="1182" spans="1:31" x14ac:dyDescent="0.2">
      <c r="A1182" s="1">
        <v>1181</v>
      </c>
      <c r="B1182" s="1">
        <v>2015</v>
      </c>
      <c r="C1182" s="8" t="s">
        <v>31</v>
      </c>
      <c r="D1182" s="8" t="s">
        <v>37</v>
      </c>
      <c r="E1182" s="8" t="s">
        <v>371</v>
      </c>
      <c r="F1182" s="1" t="s">
        <v>32</v>
      </c>
      <c r="G1182" s="8">
        <v>113</v>
      </c>
      <c r="I1182" s="12">
        <v>8.61</v>
      </c>
      <c r="J1182" s="7">
        <v>24.6</v>
      </c>
      <c r="L1182" s="14">
        <v>3539</v>
      </c>
      <c r="N1182" s="14">
        <v>30510</v>
      </c>
      <c r="O1182" s="13">
        <v>34.700000000000003</v>
      </c>
      <c r="P1182" s="13">
        <v>6.9</v>
      </c>
      <c r="Q1182" s="13">
        <v>35.799999999999997</v>
      </c>
      <c r="R1182" s="13">
        <v>51.6</v>
      </c>
      <c r="S1182" s="8"/>
      <c r="T1182" s="13">
        <v>24.4</v>
      </c>
      <c r="U1182" s="13">
        <v>37.9</v>
      </c>
      <c r="V1182" s="13">
        <v>3.3</v>
      </c>
      <c r="W1182" s="7">
        <v>0.76</v>
      </c>
      <c r="X1182" s="13"/>
      <c r="Y1182" s="13">
        <v>73.900000000000006</v>
      </c>
      <c r="Z1182" s="7">
        <v>1.58</v>
      </c>
      <c r="AA1182" s="1" t="s">
        <v>89</v>
      </c>
      <c r="AB1182" s="16" t="s">
        <v>89</v>
      </c>
      <c r="AC1182" s="1" t="s">
        <v>89</v>
      </c>
      <c r="AD1182" s="16" t="s">
        <v>89</v>
      </c>
      <c r="AE1182" s="1">
        <v>1</v>
      </c>
    </row>
    <row r="1183" spans="1:31" x14ac:dyDescent="0.2">
      <c r="A1183" s="1">
        <v>1182</v>
      </c>
      <c r="B1183" s="1">
        <v>2009</v>
      </c>
      <c r="C1183" s="1" t="s">
        <v>31</v>
      </c>
      <c r="D1183" s="1" t="s">
        <v>805</v>
      </c>
      <c r="E1183" s="8" t="s">
        <v>121</v>
      </c>
      <c r="F1183" s="1" t="s">
        <v>32</v>
      </c>
      <c r="I1183" s="12">
        <v>6.8</v>
      </c>
      <c r="J1183" s="7">
        <v>19.428571428571399</v>
      </c>
      <c r="L1183" s="14">
        <v>3540</v>
      </c>
      <c r="N1183" s="14">
        <v>24127</v>
      </c>
      <c r="O1183" s="13">
        <v>29.4</v>
      </c>
      <c r="P1183" s="13">
        <v>9.1999999999999993</v>
      </c>
      <c r="Q1183" s="13">
        <v>41.4</v>
      </c>
      <c r="R1183" s="13">
        <v>58.8</v>
      </c>
      <c r="S1183" s="13"/>
      <c r="T1183" s="15" t="s">
        <v>89</v>
      </c>
      <c r="U1183" s="13">
        <v>35.4</v>
      </c>
      <c r="V1183" s="13">
        <v>6.9</v>
      </c>
      <c r="W1183" s="12" t="s">
        <v>89</v>
      </c>
      <c r="X1183" s="15"/>
      <c r="Y1183" s="13">
        <v>74.7</v>
      </c>
      <c r="Z1183" s="7">
        <v>1.65</v>
      </c>
      <c r="AB1183" s="16"/>
      <c r="AD1183" s="16"/>
      <c r="AE1183" s="1">
        <v>1</v>
      </c>
    </row>
    <row r="1184" spans="1:31" x14ac:dyDescent="0.2">
      <c r="A1184" s="1">
        <v>1183</v>
      </c>
      <c r="B1184" s="1">
        <v>2021</v>
      </c>
      <c r="C1184" s="1" t="s">
        <v>31</v>
      </c>
      <c r="D1184" s="19" t="s">
        <v>900</v>
      </c>
      <c r="E1184" s="1" t="s">
        <v>810</v>
      </c>
      <c r="F1184" s="1" t="s">
        <v>32</v>
      </c>
      <c r="G1184" s="1">
        <v>116</v>
      </c>
      <c r="H1184" s="1" t="s">
        <v>89</v>
      </c>
      <c r="I1184" s="12">
        <v>8.1860672070825</v>
      </c>
      <c r="J1184" s="12">
        <v>23.388763448999999</v>
      </c>
      <c r="K1184" s="1" t="s">
        <v>89</v>
      </c>
      <c r="L1184" s="16">
        <v>3541.6462619980002</v>
      </c>
      <c r="M1184" s="16" t="s">
        <v>89</v>
      </c>
      <c r="N1184" s="16">
        <v>28941.613169881999</v>
      </c>
      <c r="O1184" s="15">
        <v>35.654783299999998</v>
      </c>
      <c r="P1184" s="15">
        <v>7.6353476730000001</v>
      </c>
      <c r="Q1184" s="15">
        <v>34.645718313000003</v>
      </c>
      <c r="R1184" s="15">
        <v>61.716169737999998</v>
      </c>
      <c r="T1184" s="15">
        <v>18.972510755999998</v>
      </c>
      <c r="U1184" s="15">
        <v>45.402909870000002</v>
      </c>
      <c r="V1184" s="15">
        <v>5.9250526600000004</v>
      </c>
      <c r="W1184" s="12">
        <v>0.73294473868999999</v>
      </c>
      <c r="X1184" s="15"/>
      <c r="Y1184" s="15">
        <v>74.906574312999993</v>
      </c>
      <c r="Z1184" s="12"/>
      <c r="AA1184" s="15">
        <v>0.58578064399999996</v>
      </c>
      <c r="AB1184" s="16">
        <f>AA1184*33.334</f>
        <v>19.526411987096001</v>
      </c>
      <c r="AD1184" s="16"/>
      <c r="AE1184" s="1">
        <v>1</v>
      </c>
    </row>
    <row r="1185" spans="1:31" x14ac:dyDescent="0.2">
      <c r="A1185" s="1">
        <v>1184</v>
      </c>
      <c r="B1185" s="1">
        <v>2009</v>
      </c>
      <c r="C1185" s="1" t="s">
        <v>31</v>
      </c>
      <c r="D1185" s="1" t="s">
        <v>805</v>
      </c>
      <c r="E1185" s="8" t="s">
        <v>123</v>
      </c>
      <c r="F1185" s="1" t="s">
        <v>32</v>
      </c>
      <c r="I1185" s="12">
        <v>7.49</v>
      </c>
      <c r="J1185" s="7">
        <v>21.4</v>
      </c>
      <c r="L1185" s="14">
        <v>3542</v>
      </c>
      <c r="N1185" s="14">
        <v>26548</v>
      </c>
      <c r="O1185" s="13">
        <v>31.6</v>
      </c>
      <c r="P1185" s="13">
        <v>9.1</v>
      </c>
      <c r="Q1185" s="13">
        <v>41.2</v>
      </c>
      <c r="R1185" s="13">
        <v>58</v>
      </c>
      <c r="S1185" s="13"/>
      <c r="T1185" s="15" t="s">
        <v>89</v>
      </c>
      <c r="U1185" s="13">
        <v>36.1</v>
      </c>
      <c r="V1185" s="13">
        <v>6.7</v>
      </c>
      <c r="W1185" s="12" t="s">
        <v>89</v>
      </c>
      <c r="X1185" s="15"/>
      <c r="Y1185" s="13">
        <v>74.7</v>
      </c>
      <c r="Z1185" s="7">
        <v>1.79</v>
      </c>
      <c r="AB1185" s="16"/>
      <c r="AD1185" s="16"/>
      <c r="AE1185" s="1">
        <v>1</v>
      </c>
    </row>
    <row r="1186" spans="1:31" x14ac:dyDescent="0.2">
      <c r="A1186" s="1">
        <v>1185</v>
      </c>
      <c r="B1186" s="1">
        <v>2015</v>
      </c>
      <c r="C1186" s="8" t="s">
        <v>31</v>
      </c>
      <c r="D1186" s="8" t="s">
        <v>108</v>
      </c>
      <c r="E1186" s="8" t="s">
        <v>230</v>
      </c>
      <c r="F1186" s="1" t="s">
        <v>32</v>
      </c>
      <c r="G1186" s="8">
        <v>114</v>
      </c>
      <c r="I1186" s="12">
        <v>8.66</v>
      </c>
      <c r="J1186" s="7">
        <v>24.742857142857144</v>
      </c>
      <c r="K1186" s="1" t="s">
        <v>34</v>
      </c>
      <c r="L1186" s="14">
        <v>3543</v>
      </c>
      <c r="N1186" s="14">
        <v>30701</v>
      </c>
      <c r="O1186" s="13">
        <v>30.7</v>
      </c>
      <c r="P1186" s="13">
        <v>7.3</v>
      </c>
      <c r="Q1186" s="13">
        <v>39</v>
      </c>
      <c r="R1186" s="13">
        <v>52.2</v>
      </c>
      <c r="S1186" s="8"/>
      <c r="T1186" s="13">
        <v>25.8</v>
      </c>
      <c r="U1186" s="13">
        <v>33.799999999999997</v>
      </c>
      <c r="V1186" s="13">
        <v>4.0999999999999996</v>
      </c>
      <c r="W1186" s="7">
        <v>0.74</v>
      </c>
      <c r="X1186" s="13"/>
      <c r="Y1186" s="13">
        <v>74</v>
      </c>
      <c r="Z1186" s="7">
        <v>1.76</v>
      </c>
      <c r="AA1186" s="1" t="s">
        <v>89</v>
      </c>
      <c r="AB1186" s="16" t="s">
        <v>89</v>
      </c>
      <c r="AC1186" s="1" t="s">
        <v>89</v>
      </c>
      <c r="AD1186" s="16" t="s">
        <v>89</v>
      </c>
      <c r="AE1186" s="1">
        <v>1</v>
      </c>
    </row>
    <row r="1187" spans="1:31" x14ac:dyDescent="0.2">
      <c r="A1187" s="1">
        <v>1186</v>
      </c>
      <c r="B1187" s="1">
        <v>2015</v>
      </c>
      <c r="C1187" s="8" t="s">
        <v>31</v>
      </c>
      <c r="D1187" s="8" t="s">
        <v>125</v>
      </c>
      <c r="E1187" s="8" t="s">
        <v>429</v>
      </c>
      <c r="F1187" s="1" t="s">
        <v>32</v>
      </c>
      <c r="G1187" s="8">
        <v>117</v>
      </c>
      <c r="I1187" s="12">
        <v>8.86</v>
      </c>
      <c r="J1187" s="7">
        <v>25.314285714285713</v>
      </c>
      <c r="K1187" s="1" t="s">
        <v>34</v>
      </c>
      <c r="L1187" s="14">
        <v>3543</v>
      </c>
      <c r="N1187" s="14">
        <v>31402</v>
      </c>
      <c r="O1187" s="13">
        <v>33.4</v>
      </c>
      <c r="P1187" s="13">
        <v>7.3</v>
      </c>
      <c r="Q1187" s="13">
        <v>36.5</v>
      </c>
      <c r="R1187" s="13">
        <v>50.4</v>
      </c>
      <c r="S1187" s="8"/>
      <c r="T1187" s="13">
        <v>24.6</v>
      </c>
      <c r="U1187" s="13">
        <v>35.9</v>
      </c>
      <c r="V1187" s="13">
        <v>3.7</v>
      </c>
      <c r="W1187" s="7">
        <v>0.76</v>
      </c>
      <c r="X1187" s="13"/>
      <c r="Y1187" s="13">
        <v>73.900000000000006</v>
      </c>
      <c r="Z1187" s="7">
        <v>1.63</v>
      </c>
      <c r="AA1187" s="1" t="s">
        <v>89</v>
      </c>
      <c r="AB1187" s="16" t="s">
        <v>89</v>
      </c>
      <c r="AC1187" s="1" t="s">
        <v>89</v>
      </c>
      <c r="AD1187" s="16" t="s">
        <v>89</v>
      </c>
      <c r="AE1187" s="1">
        <v>1</v>
      </c>
    </row>
    <row r="1188" spans="1:31" x14ac:dyDescent="0.2">
      <c r="A1188" s="1">
        <v>1187</v>
      </c>
      <c r="B1188" s="1">
        <v>2009</v>
      </c>
      <c r="C1188" s="1" t="s">
        <v>31</v>
      </c>
      <c r="D1188" s="1" t="s">
        <v>916</v>
      </c>
      <c r="E1188" s="8" t="s">
        <v>118</v>
      </c>
      <c r="F1188" s="1" t="s">
        <v>32</v>
      </c>
      <c r="I1188" s="12">
        <v>8.1199999999999992</v>
      </c>
      <c r="J1188" s="7">
        <v>23.2</v>
      </c>
      <c r="L1188" s="14">
        <v>3544</v>
      </c>
      <c r="N1188" s="14">
        <v>28777</v>
      </c>
      <c r="O1188" s="13">
        <v>29.6</v>
      </c>
      <c r="P1188" s="13">
        <v>8.9</v>
      </c>
      <c r="Q1188" s="13">
        <v>43.1</v>
      </c>
      <c r="R1188" s="13">
        <v>58.4</v>
      </c>
      <c r="S1188" s="13"/>
      <c r="T1188" s="15" t="s">
        <v>89</v>
      </c>
      <c r="U1188" s="13">
        <v>34.4</v>
      </c>
      <c r="V1188" s="13">
        <v>5.9</v>
      </c>
      <c r="W1188" s="12" t="s">
        <v>89</v>
      </c>
      <c r="X1188" s="15"/>
      <c r="Y1188" s="13">
        <v>74.8</v>
      </c>
      <c r="Z1188" s="7">
        <v>2.0499999999999998</v>
      </c>
      <c r="AB1188" s="16"/>
      <c r="AD1188" s="16"/>
      <c r="AE1188" s="1">
        <v>1</v>
      </c>
    </row>
    <row r="1189" spans="1:31" x14ac:dyDescent="0.2">
      <c r="A1189" s="1">
        <v>1188</v>
      </c>
      <c r="B1189" s="1">
        <v>2016</v>
      </c>
      <c r="C1189" s="1" t="s">
        <v>31</v>
      </c>
      <c r="D1189" s="8" t="s">
        <v>37</v>
      </c>
      <c r="E1189" s="8" t="s">
        <v>505</v>
      </c>
      <c r="F1189" s="1" t="s">
        <v>32</v>
      </c>
      <c r="G1189" s="8">
        <v>111</v>
      </c>
      <c r="H1189" s="1" t="s">
        <v>34</v>
      </c>
      <c r="I1189" s="12">
        <v>10.02</v>
      </c>
      <c r="J1189" s="7">
        <v>28.6</v>
      </c>
      <c r="K1189" s="1" t="s">
        <v>34</v>
      </c>
      <c r="L1189" s="14">
        <v>3544</v>
      </c>
      <c r="M1189" s="1" t="s">
        <v>34</v>
      </c>
      <c r="N1189" s="14">
        <v>35571</v>
      </c>
      <c r="O1189" s="13">
        <v>33.799999999999997</v>
      </c>
      <c r="P1189" s="13">
        <v>8.8000000000000007</v>
      </c>
      <c r="Q1189" s="13">
        <v>39.799999999999997</v>
      </c>
      <c r="R1189" s="13">
        <v>56.2</v>
      </c>
      <c r="S1189" s="13"/>
      <c r="T1189" s="13">
        <v>22.5</v>
      </c>
      <c r="U1189" s="13">
        <v>35.1</v>
      </c>
      <c r="V1189" s="13">
        <v>3.2</v>
      </c>
      <c r="W1189" s="7">
        <v>0.75</v>
      </c>
      <c r="X1189" s="13"/>
      <c r="Y1189" s="13">
        <v>73</v>
      </c>
      <c r="Z1189" s="7">
        <v>2.23</v>
      </c>
      <c r="AA1189" s="15" t="s">
        <v>89</v>
      </c>
      <c r="AB1189" s="16"/>
      <c r="AD1189" s="16"/>
      <c r="AE1189" s="1">
        <v>1</v>
      </c>
    </row>
    <row r="1190" spans="1:31" x14ac:dyDescent="0.2">
      <c r="A1190" s="1">
        <v>1189</v>
      </c>
      <c r="B1190" s="1">
        <v>2009</v>
      </c>
      <c r="C1190" s="1" t="s">
        <v>31</v>
      </c>
      <c r="D1190" s="28" t="s">
        <v>914</v>
      </c>
      <c r="E1190" s="8" t="s">
        <v>42</v>
      </c>
      <c r="F1190" s="1" t="s">
        <v>32</v>
      </c>
      <c r="I1190" s="12">
        <v>6.66</v>
      </c>
      <c r="J1190" s="7">
        <v>19.0285714285714</v>
      </c>
      <c r="L1190" s="14">
        <v>3545</v>
      </c>
      <c r="N1190" s="14">
        <v>23642</v>
      </c>
      <c r="O1190" s="13">
        <v>26.9</v>
      </c>
      <c r="P1190" s="13">
        <v>9.3000000000000007</v>
      </c>
      <c r="Q1190" s="13">
        <v>41.6</v>
      </c>
      <c r="R1190" s="13">
        <v>58.5</v>
      </c>
      <c r="S1190" s="13"/>
      <c r="T1190" s="15" t="s">
        <v>89</v>
      </c>
      <c r="U1190" s="13">
        <v>36.1</v>
      </c>
      <c r="V1190" s="13">
        <v>6.3</v>
      </c>
      <c r="W1190" s="12" t="s">
        <v>89</v>
      </c>
      <c r="X1190" s="15"/>
      <c r="Y1190" s="13">
        <v>74.8</v>
      </c>
      <c r="Z1190" s="7">
        <v>1.62</v>
      </c>
      <c r="AB1190" s="16"/>
      <c r="AD1190" s="16"/>
      <c r="AE1190" s="1">
        <v>1</v>
      </c>
    </row>
    <row r="1191" spans="1:31" x14ac:dyDescent="0.2">
      <c r="A1191" s="1">
        <v>1190</v>
      </c>
      <c r="B1191" s="1">
        <v>2015</v>
      </c>
      <c r="C1191" s="8" t="s">
        <v>31</v>
      </c>
      <c r="D1191" s="8" t="s">
        <v>291</v>
      </c>
      <c r="E1191" s="8" t="s">
        <v>499</v>
      </c>
      <c r="F1191" s="1" t="s">
        <v>32</v>
      </c>
      <c r="G1191" s="8">
        <v>120</v>
      </c>
      <c r="I1191" s="12">
        <v>9.36</v>
      </c>
      <c r="J1191" s="7">
        <v>26.742857142857144</v>
      </c>
      <c r="K1191" s="1" t="s">
        <v>34</v>
      </c>
      <c r="L1191" s="14">
        <v>3545</v>
      </c>
      <c r="N1191" s="14">
        <v>33160</v>
      </c>
      <c r="O1191" s="13">
        <v>33.5</v>
      </c>
      <c r="P1191" s="13">
        <v>7.3</v>
      </c>
      <c r="Q1191" s="13">
        <v>37.299999999999997</v>
      </c>
      <c r="R1191" s="13">
        <v>50.8</v>
      </c>
      <c r="S1191" s="8"/>
      <c r="T1191" s="13">
        <v>25.5</v>
      </c>
      <c r="U1191" s="13">
        <v>36.1</v>
      </c>
      <c r="V1191" s="13">
        <v>3.3</v>
      </c>
      <c r="W1191" s="7">
        <v>0.75</v>
      </c>
      <c r="X1191" s="13"/>
      <c r="Y1191" s="13">
        <v>73.900000000000006</v>
      </c>
      <c r="Z1191" s="7">
        <v>1.78</v>
      </c>
      <c r="AA1191" s="1" t="s">
        <v>89</v>
      </c>
      <c r="AB1191" s="16" t="s">
        <v>89</v>
      </c>
      <c r="AC1191" s="1" t="s">
        <v>89</v>
      </c>
      <c r="AD1191" s="16" t="s">
        <v>89</v>
      </c>
      <c r="AE1191" s="1">
        <v>1</v>
      </c>
    </row>
    <row r="1192" spans="1:31" x14ac:dyDescent="0.2">
      <c r="A1192" s="1">
        <v>1191</v>
      </c>
      <c r="B1192" s="1">
        <v>2020</v>
      </c>
      <c r="C1192" s="1" t="s">
        <v>31</v>
      </c>
      <c r="D1192" s="1" t="s">
        <v>774</v>
      </c>
      <c r="E1192" s="1" t="s">
        <v>776</v>
      </c>
      <c r="F1192" s="1" t="s">
        <v>32</v>
      </c>
      <c r="G1192" s="1">
        <v>112</v>
      </c>
      <c r="H1192" s="1" t="s">
        <v>754</v>
      </c>
      <c r="I1192" s="12">
        <v>8.2867581122294993</v>
      </c>
      <c r="J1192" s="12">
        <v>23.671094097000001</v>
      </c>
      <c r="K1192" s="1" t="s">
        <v>34</v>
      </c>
      <c r="L1192" s="16">
        <v>3545.0245378049999</v>
      </c>
      <c r="M1192" s="16" t="s">
        <v>34</v>
      </c>
      <c r="N1192" s="16">
        <v>29390.170708385998</v>
      </c>
      <c r="O1192" s="10">
        <v>33.547078599999999</v>
      </c>
      <c r="P1192" s="15">
        <v>8.1624999999999996</v>
      </c>
      <c r="Q1192" s="15">
        <v>44.99</v>
      </c>
      <c r="R1192" s="15">
        <v>48.356729623</v>
      </c>
      <c r="S1192" s="15"/>
      <c r="T1192" s="15">
        <v>24.725000000000001</v>
      </c>
      <c r="U1192" s="15">
        <v>25.965</v>
      </c>
      <c r="V1192" s="15">
        <v>6.7332304000000001</v>
      </c>
      <c r="W1192" s="12">
        <v>0.73171042499999994</v>
      </c>
      <c r="X1192" s="15"/>
      <c r="Y1192" s="15">
        <v>75.555115017000006</v>
      </c>
      <c r="Z1192" s="12"/>
      <c r="AA1192" s="15">
        <v>1.375</v>
      </c>
      <c r="AB1192" s="16">
        <f>AA1192*33.334</f>
        <v>45.834250000000004</v>
      </c>
      <c r="AD1192" s="16"/>
      <c r="AE1192" s="1">
        <v>1</v>
      </c>
    </row>
    <row r="1193" spans="1:31" x14ac:dyDescent="0.2">
      <c r="A1193" s="1">
        <v>1192</v>
      </c>
      <c r="B1193" s="1">
        <v>2020</v>
      </c>
      <c r="C1193" s="1" t="s">
        <v>31</v>
      </c>
      <c r="D1193" s="1" t="s">
        <v>402</v>
      </c>
      <c r="E1193" s="1" t="s">
        <v>760</v>
      </c>
      <c r="F1193" s="1" t="s">
        <v>32</v>
      </c>
      <c r="G1193" s="1">
        <v>115</v>
      </c>
      <c r="H1193" s="1" t="s">
        <v>754</v>
      </c>
      <c r="I1193" s="12">
        <v>8.286850807015</v>
      </c>
      <c r="J1193" s="12">
        <v>23.671358939000001</v>
      </c>
      <c r="K1193" s="1" t="s">
        <v>34</v>
      </c>
      <c r="L1193" s="16">
        <v>3545.6746009650001</v>
      </c>
      <c r="M1193" s="16" t="s">
        <v>34</v>
      </c>
      <c r="N1193" s="16">
        <v>29398.771175664999</v>
      </c>
      <c r="O1193" s="10">
        <v>31.433035399999998</v>
      </c>
      <c r="P1193" s="15">
        <v>9.0850000000000009</v>
      </c>
      <c r="Q1193" s="15">
        <v>44.478749999999998</v>
      </c>
      <c r="R1193" s="15">
        <v>51.710479622999998</v>
      </c>
      <c r="S1193" s="15"/>
      <c r="T1193" s="15">
        <v>23.463750000000001</v>
      </c>
      <c r="U1193" s="15">
        <v>25.911249999999999</v>
      </c>
      <c r="V1193" s="15">
        <v>7.3244803999999997</v>
      </c>
      <c r="W1193" s="12">
        <v>0.728866499</v>
      </c>
      <c r="X1193" s="15"/>
      <c r="Y1193" s="15">
        <v>76.020465074000001</v>
      </c>
      <c r="Z1193" s="12"/>
      <c r="AA1193" s="15">
        <v>1.2073927149999999</v>
      </c>
      <c r="AB1193" s="16">
        <f>AA1193*33.334</f>
        <v>40.24722876181</v>
      </c>
      <c r="AD1193" s="16"/>
      <c r="AE1193" s="1">
        <v>1</v>
      </c>
    </row>
    <row r="1194" spans="1:31" x14ac:dyDescent="0.2">
      <c r="A1194" s="1">
        <v>1193</v>
      </c>
      <c r="B1194" s="1">
        <v>2015</v>
      </c>
      <c r="C1194" s="8" t="s">
        <v>31</v>
      </c>
      <c r="D1194" s="8" t="s">
        <v>391</v>
      </c>
      <c r="E1194" s="8" t="s">
        <v>494</v>
      </c>
      <c r="F1194" s="1" t="s">
        <v>32</v>
      </c>
      <c r="G1194" s="8">
        <v>113</v>
      </c>
      <c r="I1194" s="12">
        <v>8.9600000000000009</v>
      </c>
      <c r="J1194" s="7">
        <v>25.600000000000005</v>
      </c>
      <c r="K1194" s="1" t="s">
        <v>34</v>
      </c>
      <c r="L1194" s="14">
        <v>3546</v>
      </c>
      <c r="N1194" s="14">
        <v>31796</v>
      </c>
      <c r="O1194" s="13">
        <v>34.6</v>
      </c>
      <c r="P1194" s="13">
        <v>6.7</v>
      </c>
      <c r="Q1194" s="13">
        <v>35.4</v>
      </c>
      <c r="R1194" s="13">
        <v>52.5</v>
      </c>
      <c r="S1194" s="8"/>
      <c r="T1194" s="13">
        <v>23.9</v>
      </c>
      <c r="U1194" s="13">
        <v>39.6</v>
      </c>
      <c r="V1194" s="13">
        <v>3</v>
      </c>
      <c r="W1194" s="7">
        <v>0.77</v>
      </c>
      <c r="X1194" s="13"/>
      <c r="Y1194" s="13">
        <v>74.099999999999994</v>
      </c>
      <c r="Z1194" s="7">
        <v>1.65</v>
      </c>
      <c r="AA1194" s="1" t="s">
        <v>89</v>
      </c>
      <c r="AB1194" s="16" t="s">
        <v>89</v>
      </c>
      <c r="AC1194" s="1" t="s">
        <v>89</v>
      </c>
      <c r="AD1194" s="16" t="s">
        <v>89</v>
      </c>
      <c r="AE1194" s="1">
        <v>1</v>
      </c>
    </row>
    <row r="1195" spans="1:31" x14ac:dyDescent="0.2">
      <c r="A1195" s="1">
        <v>1194</v>
      </c>
      <c r="B1195" s="1">
        <v>2016</v>
      </c>
      <c r="C1195" s="1" t="s">
        <v>88</v>
      </c>
      <c r="D1195" s="8" t="s">
        <v>246</v>
      </c>
      <c r="E1195" s="8" t="s">
        <v>575</v>
      </c>
      <c r="F1195" s="1" t="s">
        <v>32</v>
      </c>
      <c r="I1195" s="12">
        <v>6.8</v>
      </c>
      <c r="J1195" s="7">
        <v>19.428571428571399</v>
      </c>
      <c r="K1195" s="1" t="s">
        <v>34</v>
      </c>
      <c r="L1195" s="5">
        <v>3547</v>
      </c>
      <c r="N1195" s="5">
        <v>24144.3</v>
      </c>
      <c r="O1195" s="6">
        <v>26.675000000000001</v>
      </c>
      <c r="P1195" s="6">
        <v>7.2850000000000001</v>
      </c>
      <c r="Q1195" s="6">
        <v>46.715000000000003</v>
      </c>
      <c r="R1195" s="6">
        <v>56.6</v>
      </c>
      <c r="S1195" s="6"/>
      <c r="T1195" s="6">
        <v>30.05</v>
      </c>
      <c r="U1195" s="6">
        <v>19.614999999999998</v>
      </c>
      <c r="V1195" s="6">
        <v>13.1225</v>
      </c>
      <c r="W1195" s="7">
        <v>0.68</v>
      </c>
      <c r="X1195" s="13"/>
      <c r="Y1195" s="6">
        <v>67.8</v>
      </c>
      <c r="Z1195" s="3">
        <v>1.7925567899999999</v>
      </c>
      <c r="AA1195" s="6">
        <v>2.5</v>
      </c>
      <c r="AB1195" s="16">
        <f>AA1195*10</f>
        <v>25</v>
      </c>
      <c r="AC1195" s="6">
        <v>2</v>
      </c>
      <c r="AD1195" s="16">
        <f>AC1195*10</f>
        <v>20</v>
      </c>
      <c r="AE1195" s="1">
        <v>1</v>
      </c>
    </row>
    <row r="1196" spans="1:31" x14ac:dyDescent="0.2">
      <c r="A1196" s="1">
        <v>1195</v>
      </c>
      <c r="B1196" s="1">
        <v>2017</v>
      </c>
      <c r="C1196" s="1" t="s">
        <v>31</v>
      </c>
      <c r="D1196" s="1" t="s">
        <v>916</v>
      </c>
      <c r="E1196" s="8" t="s">
        <v>414</v>
      </c>
      <c r="F1196" s="1" t="s">
        <v>32</v>
      </c>
      <c r="G1196" s="1">
        <v>124</v>
      </c>
      <c r="I1196" s="12">
        <v>8.5519719300000006</v>
      </c>
      <c r="J1196" s="3">
        <v>24.434205500000001</v>
      </c>
      <c r="K1196" s="1" t="s">
        <v>34</v>
      </c>
      <c r="L1196" s="5">
        <v>3547</v>
      </c>
      <c r="N1196" s="5">
        <v>30303.573799999998</v>
      </c>
      <c r="O1196" s="6">
        <v>30.3583587</v>
      </c>
      <c r="P1196" s="6">
        <v>6.5750000000000002</v>
      </c>
      <c r="Q1196" s="6">
        <v>40.229999999999997</v>
      </c>
      <c r="R1196" s="6">
        <v>53.292499999999997</v>
      </c>
      <c r="S1196" s="3"/>
      <c r="T1196" s="6">
        <v>24.5</v>
      </c>
      <c r="U1196" s="6">
        <v>35.869999999999997</v>
      </c>
      <c r="V1196" s="6">
        <v>2.97</v>
      </c>
      <c r="W1196" s="3">
        <v>0.78592815000000005</v>
      </c>
      <c r="X1196" s="6"/>
      <c r="Y1196" s="6">
        <v>72.602500000000006</v>
      </c>
      <c r="Z1196" s="3">
        <v>1.8337412099999999</v>
      </c>
      <c r="AB1196" s="16"/>
      <c r="AD1196" s="16"/>
      <c r="AE1196" s="1">
        <v>1</v>
      </c>
    </row>
    <row r="1197" spans="1:31" x14ac:dyDescent="0.2">
      <c r="A1197" s="1">
        <v>1196</v>
      </c>
      <c r="B1197" s="1">
        <v>2012</v>
      </c>
      <c r="C1197" s="1" t="s">
        <v>31</v>
      </c>
      <c r="D1197" s="1" t="s">
        <v>914</v>
      </c>
      <c r="E1197" s="1" t="s">
        <v>208</v>
      </c>
      <c r="F1197" s="1" t="s">
        <v>32</v>
      </c>
      <c r="I1197" s="12">
        <v>9.42</v>
      </c>
      <c r="J1197" s="12">
        <v>26.9</v>
      </c>
      <c r="L1197" s="16">
        <v>3547</v>
      </c>
      <c r="N1197" s="16">
        <v>33454</v>
      </c>
      <c r="O1197" s="15">
        <v>32.5</v>
      </c>
      <c r="P1197" s="15">
        <v>7.1</v>
      </c>
      <c r="Q1197" s="15">
        <v>42.4</v>
      </c>
      <c r="R1197" s="15">
        <v>60.9</v>
      </c>
      <c r="T1197" s="15"/>
      <c r="U1197" s="15">
        <v>36.1</v>
      </c>
      <c r="V1197" s="15">
        <v>5.3</v>
      </c>
      <c r="W1197" s="12">
        <v>0.74</v>
      </c>
      <c r="X1197" s="15"/>
      <c r="Y1197" s="15"/>
      <c r="Z1197" s="12">
        <v>2.4300000000000002</v>
      </c>
      <c r="AB1197" s="16"/>
      <c r="AD1197" s="16"/>
      <c r="AE1197" s="1">
        <v>1</v>
      </c>
    </row>
    <row r="1198" spans="1:31" x14ac:dyDescent="0.2">
      <c r="A1198" s="1">
        <v>1197</v>
      </c>
      <c r="B1198" s="1">
        <v>2020</v>
      </c>
      <c r="C1198" s="1" t="s">
        <v>31</v>
      </c>
      <c r="D1198" s="1" t="s">
        <v>916</v>
      </c>
      <c r="E1198" s="1" t="s">
        <v>503</v>
      </c>
      <c r="F1198" s="1" t="s">
        <v>32</v>
      </c>
      <c r="H1198" s="1" t="s">
        <v>754</v>
      </c>
      <c r="I1198" s="12">
        <v>8.6197474418780011</v>
      </c>
      <c r="J1198" s="12">
        <v>24.622492181999998</v>
      </c>
      <c r="K1198" s="1" t="s">
        <v>34</v>
      </c>
      <c r="L1198" s="16">
        <v>3548.2333290850002</v>
      </c>
      <c r="M1198" s="16" t="s">
        <v>34</v>
      </c>
      <c r="N1198" s="16">
        <v>30531.974623925998</v>
      </c>
      <c r="O1198" s="10">
        <v>30.000251800000001</v>
      </c>
      <c r="P1198" s="15">
        <v>8.2524999999999995</v>
      </c>
      <c r="Q1198" s="15">
        <v>46.73</v>
      </c>
      <c r="R1198" s="15">
        <v>51.501729623000003</v>
      </c>
      <c r="S1198" s="15"/>
      <c r="T1198" s="15">
        <v>25.982500000000002</v>
      </c>
      <c r="U1198" s="15">
        <v>24.2925</v>
      </c>
      <c r="V1198" s="15">
        <v>6.8657304000000003</v>
      </c>
      <c r="W1198" s="12">
        <v>0.72943618499999996</v>
      </c>
      <c r="X1198" s="15"/>
      <c r="Y1198" s="15">
        <v>76.152364500000004</v>
      </c>
      <c r="Z1198" s="12"/>
      <c r="AA1198" s="15">
        <v>0.875</v>
      </c>
      <c r="AB1198" s="16">
        <f>AA1198*33.334</f>
        <v>29.167250000000003</v>
      </c>
      <c r="AD1198" s="16"/>
      <c r="AE1198" s="1">
        <v>1</v>
      </c>
    </row>
    <row r="1199" spans="1:31" x14ac:dyDescent="0.2">
      <c r="A1199" s="1">
        <v>1198</v>
      </c>
      <c r="B1199" s="1">
        <v>2021</v>
      </c>
      <c r="C1199" s="1" t="s">
        <v>31</v>
      </c>
      <c r="D1199" s="19" t="s">
        <v>900</v>
      </c>
      <c r="E1199" s="1" t="s">
        <v>810</v>
      </c>
      <c r="F1199" s="1" t="s">
        <v>83</v>
      </c>
      <c r="G1199" s="1">
        <v>116</v>
      </c>
      <c r="I1199" s="12">
        <v>5.3783952119705001</v>
      </c>
      <c r="J1199" s="12">
        <v>15.366843463</v>
      </c>
      <c r="K1199" s="1" t="s">
        <v>89</v>
      </c>
      <c r="L1199" s="16">
        <v>3548.2904840000001</v>
      </c>
      <c r="N1199" s="16">
        <v>19072.512595599001</v>
      </c>
      <c r="O1199" s="15">
        <v>40.820935800000001</v>
      </c>
      <c r="P1199" s="15">
        <v>9.0435873769999997</v>
      </c>
      <c r="Q1199" s="15">
        <v>18.962499999999999</v>
      </c>
      <c r="R1199" s="15">
        <v>33.452500000000001</v>
      </c>
      <c r="U1199" s="15">
        <v>40.39</v>
      </c>
      <c r="V1199" s="15">
        <v>8.0250000000000004</v>
      </c>
      <c r="W1199" s="12">
        <v>0.73348763972999997</v>
      </c>
      <c r="X1199" s="15"/>
      <c r="Y1199" s="15">
        <v>74.934065626999995</v>
      </c>
      <c r="Z1199" s="12"/>
      <c r="AA1199" s="15">
        <v>0.25</v>
      </c>
      <c r="AB1199" s="16">
        <f>AA1199*33.334</f>
        <v>8.3335000000000008</v>
      </c>
      <c r="AD1199" s="16"/>
      <c r="AE1199" s="1">
        <v>1</v>
      </c>
    </row>
    <row r="1200" spans="1:31" x14ac:dyDescent="0.2">
      <c r="A1200" s="1">
        <v>1199</v>
      </c>
      <c r="B1200" s="1">
        <v>2009</v>
      </c>
      <c r="C1200" s="1" t="s">
        <v>31</v>
      </c>
      <c r="D1200" s="28" t="s">
        <v>914</v>
      </c>
      <c r="E1200" s="8" t="s">
        <v>119</v>
      </c>
      <c r="F1200" s="1" t="s">
        <v>32</v>
      </c>
      <c r="I1200" s="12">
        <v>7.1</v>
      </c>
      <c r="J1200" s="7">
        <v>20.285714285714299</v>
      </c>
      <c r="L1200" s="14">
        <v>3549</v>
      </c>
      <c r="N1200" s="14">
        <v>25183</v>
      </c>
      <c r="O1200" s="13">
        <v>29.8</v>
      </c>
      <c r="P1200" s="13">
        <v>9.4</v>
      </c>
      <c r="Q1200" s="13">
        <v>40.4</v>
      </c>
      <c r="R1200" s="13">
        <v>57.1</v>
      </c>
      <c r="S1200" s="13"/>
      <c r="T1200" s="15" t="s">
        <v>89</v>
      </c>
      <c r="U1200" s="13">
        <v>37.5</v>
      </c>
      <c r="V1200" s="13">
        <v>5.8</v>
      </c>
      <c r="W1200" s="12" t="s">
        <v>89</v>
      </c>
      <c r="X1200" s="15"/>
      <c r="Y1200" s="13">
        <v>74.599999999999994</v>
      </c>
      <c r="Z1200" s="7">
        <v>1.63</v>
      </c>
      <c r="AB1200" s="16"/>
      <c r="AD1200" s="16"/>
      <c r="AE1200" s="1">
        <v>1</v>
      </c>
    </row>
    <row r="1201" spans="1:31" x14ac:dyDescent="0.2">
      <c r="A1201" s="1">
        <v>1200</v>
      </c>
      <c r="B1201" s="1">
        <v>2017</v>
      </c>
      <c r="C1201" s="1" t="s">
        <v>31</v>
      </c>
      <c r="D1201" s="1" t="s">
        <v>916</v>
      </c>
      <c r="E1201" s="8">
        <v>1778</v>
      </c>
      <c r="F1201" s="1" t="s">
        <v>32</v>
      </c>
      <c r="G1201" s="1">
        <v>115</v>
      </c>
      <c r="H1201" s="1" t="s">
        <v>34</v>
      </c>
      <c r="I1201" s="12">
        <v>8.91</v>
      </c>
      <c r="J1201" s="3">
        <v>25.45</v>
      </c>
      <c r="K1201" s="1" t="s">
        <v>34</v>
      </c>
      <c r="L1201" s="5">
        <v>3550</v>
      </c>
      <c r="N1201" s="5">
        <v>31629.338</v>
      </c>
      <c r="O1201" s="6">
        <v>29.712820300000001</v>
      </c>
      <c r="P1201" s="6">
        <v>7.4649999999999999</v>
      </c>
      <c r="Q1201" s="6">
        <v>38.797499999999999</v>
      </c>
      <c r="R1201" s="6">
        <v>53.435000000000002</v>
      </c>
      <c r="S1201" s="3"/>
      <c r="T1201" s="6">
        <v>24.62</v>
      </c>
      <c r="U1201" s="6">
        <v>35.027500000000003</v>
      </c>
      <c r="V1201" s="6">
        <v>4.0999999999999996</v>
      </c>
      <c r="W1201" s="3">
        <v>0.77283864999999996</v>
      </c>
      <c r="X1201" s="6"/>
      <c r="Y1201" s="6">
        <v>71.547499999999999</v>
      </c>
      <c r="Z1201" s="3">
        <v>1.8415087999999999</v>
      </c>
      <c r="AB1201" s="16"/>
      <c r="AD1201" s="16"/>
      <c r="AE1201" s="1">
        <v>1</v>
      </c>
    </row>
    <row r="1202" spans="1:31" ht="17" x14ac:dyDescent="0.2">
      <c r="A1202" s="1">
        <v>1201</v>
      </c>
      <c r="B1202" s="1">
        <v>2019</v>
      </c>
      <c r="C1202" s="1" t="s">
        <v>31</v>
      </c>
      <c r="D1202" s="22" t="s">
        <v>917</v>
      </c>
      <c r="E1202" s="9" t="s">
        <v>729</v>
      </c>
      <c r="F1202" s="1" t="s">
        <v>83</v>
      </c>
      <c r="I1202" s="12">
        <v>5.375</v>
      </c>
      <c r="J1202" s="3">
        <v>15.355</v>
      </c>
      <c r="L1202" s="5">
        <v>3550.5</v>
      </c>
      <c r="N1202" s="5">
        <v>19094.224999999999</v>
      </c>
      <c r="O1202" s="6">
        <v>39.2425</v>
      </c>
      <c r="P1202" s="6">
        <v>9.6050000000000004</v>
      </c>
      <c r="Q1202" s="6">
        <v>34.244999999999997</v>
      </c>
      <c r="R1202" s="6">
        <v>57.215000000000003</v>
      </c>
      <c r="S1202" s="3"/>
      <c r="T1202" s="6">
        <v>19.727499999999999</v>
      </c>
      <c r="U1202" s="6">
        <v>42.572499999999998</v>
      </c>
      <c r="V1202" s="6">
        <v>6.7975000000000003</v>
      </c>
      <c r="W1202" s="3">
        <v>0.73704999999999998</v>
      </c>
      <c r="X1202" s="6"/>
      <c r="Y1202" s="6">
        <v>71.082499999999996</v>
      </c>
      <c r="Z1202" s="3">
        <v>1.0525</v>
      </c>
      <c r="AB1202" s="16"/>
      <c r="AD1202" s="16"/>
      <c r="AE1202" s="1">
        <v>1</v>
      </c>
    </row>
    <row r="1203" spans="1:31" x14ac:dyDescent="0.2">
      <c r="A1203" s="1">
        <v>1202</v>
      </c>
      <c r="B1203" s="1">
        <v>2017</v>
      </c>
      <c r="C1203" s="1" t="s">
        <v>31</v>
      </c>
      <c r="D1203" s="8" t="s">
        <v>125</v>
      </c>
      <c r="E1203" s="8" t="s">
        <v>618</v>
      </c>
      <c r="F1203" s="1" t="s">
        <v>32</v>
      </c>
      <c r="G1203" s="1">
        <v>117</v>
      </c>
      <c r="I1203" s="12">
        <v>8.2060551000000004</v>
      </c>
      <c r="J1203" s="3">
        <v>23.445871700000001</v>
      </c>
      <c r="K1203" s="1" t="s">
        <v>34</v>
      </c>
      <c r="L1203" s="5">
        <v>3551</v>
      </c>
      <c r="N1203" s="5">
        <v>29142.391199999998</v>
      </c>
      <c r="O1203" s="6">
        <v>31.903677999999999</v>
      </c>
      <c r="P1203" s="6">
        <v>6.9349999999999996</v>
      </c>
      <c r="Q1203" s="6">
        <v>38.787500000000001</v>
      </c>
      <c r="R1203" s="6">
        <v>55.777500000000003</v>
      </c>
      <c r="S1203" s="3"/>
      <c r="T1203" s="6">
        <v>23.175000000000001</v>
      </c>
      <c r="U1203" s="6">
        <v>37.077500000000001</v>
      </c>
      <c r="V1203" s="6">
        <v>3.3050000000000002</v>
      </c>
      <c r="W1203" s="7">
        <v>0.78801690000000013</v>
      </c>
      <c r="X1203" s="13"/>
      <c r="Y1203" s="6">
        <v>72.77</v>
      </c>
      <c r="Z1203" s="3">
        <v>1.77119045</v>
      </c>
      <c r="AB1203" s="16"/>
      <c r="AD1203" s="16"/>
      <c r="AE1203" s="1">
        <v>1</v>
      </c>
    </row>
    <row r="1204" spans="1:31" x14ac:dyDescent="0.2">
      <c r="A1204" s="1">
        <v>1203</v>
      </c>
      <c r="B1204" s="1">
        <v>2009</v>
      </c>
      <c r="C1204" s="1" t="s">
        <v>31</v>
      </c>
      <c r="D1204" s="8" t="s">
        <v>37</v>
      </c>
      <c r="E1204" s="8" t="s">
        <v>40</v>
      </c>
      <c r="F1204" s="1" t="s">
        <v>32</v>
      </c>
      <c r="I1204" s="12">
        <v>7.99</v>
      </c>
      <c r="J1204" s="7">
        <v>22.828571428571401</v>
      </c>
      <c r="L1204" s="14">
        <v>3552</v>
      </c>
      <c r="N1204" s="14">
        <v>28404</v>
      </c>
      <c r="O1204" s="13">
        <v>27.9</v>
      </c>
      <c r="P1204" s="13">
        <v>9</v>
      </c>
      <c r="Q1204" s="13">
        <v>42.7</v>
      </c>
      <c r="R1204" s="13">
        <v>59.7</v>
      </c>
      <c r="S1204" s="13"/>
      <c r="T1204" s="15" t="s">
        <v>89</v>
      </c>
      <c r="U1204" s="13">
        <v>33.200000000000003</v>
      </c>
      <c r="V1204" s="13">
        <v>8.6999999999999993</v>
      </c>
      <c r="W1204" s="12" t="s">
        <v>89</v>
      </c>
      <c r="X1204" s="15"/>
      <c r="Y1204" s="13">
        <v>75</v>
      </c>
      <c r="Z1204" s="7">
        <v>2.0299999999999998</v>
      </c>
      <c r="AB1204" s="16"/>
      <c r="AD1204" s="16"/>
      <c r="AE1204" s="1">
        <v>1</v>
      </c>
    </row>
    <row r="1205" spans="1:31" x14ac:dyDescent="0.2">
      <c r="A1205" s="1">
        <v>1204</v>
      </c>
      <c r="B1205" s="1">
        <v>2015</v>
      </c>
      <c r="C1205" s="8" t="s">
        <v>31</v>
      </c>
      <c r="D1205" s="8" t="s">
        <v>402</v>
      </c>
      <c r="E1205" s="8" t="s">
        <v>471</v>
      </c>
      <c r="F1205" s="1" t="s">
        <v>32</v>
      </c>
      <c r="G1205" s="8">
        <v>114</v>
      </c>
      <c r="I1205" s="12">
        <v>8.4499999999999993</v>
      </c>
      <c r="J1205" s="7">
        <v>24.142857142857142</v>
      </c>
      <c r="K1205" s="1" t="s">
        <v>34</v>
      </c>
      <c r="L1205" s="14">
        <v>3552</v>
      </c>
      <c r="N1205" s="14">
        <v>30003</v>
      </c>
      <c r="O1205" s="13">
        <v>34.5</v>
      </c>
      <c r="P1205" s="13">
        <v>6.8</v>
      </c>
      <c r="Q1205" s="13">
        <v>36.700000000000003</v>
      </c>
      <c r="R1205" s="13">
        <v>53.4</v>
      </c>
      <c r="S1205" s="8"/>
      <c r="T1205" s="13">
        <v>23.8</v>
      </c>
      <c r="U1205" s="13">
        <v>37.5</v>
      </c>
      <c r="V1205" s="13">
        <v>3.5</v>
      </c>
      <c r="W1205" s="7">
        <v>0.76</v>
      </c>
      <c r="X1205" s="13"/>
      <c r="Y1205" s="13">
        <v>74.2</v>
      </c>
      <c r="Z1205" s="7">
        <v>1.65</v>
      </c>
      <c r="AA1205" s="1" t="s">
        <v>89</v>
      </c>
      <c r="AB1205" s="16" t="s">
        <v>89</v>
      </c>
      <c r="AC1205" s="1" t="s">
        <v>89</v>
      </c>
      <c r="AD1205" s="16" t="s">
        <v>89</v>
      </c>
      <c r="AE1205" s="1">
        <v>1</v>
      </c>
    </row>
    <row r="1206" spans="1:31" x14ac:dyDescent="0.2">
      <c r="A1206" s="1">
        <v>1205</v>
      </c>
      <c r="B1206" s="1">
        <v>2021</v>
      </c>
      <c r="C1206" s="1" t="s">
        <v>31</v>
      </c>
      <c r="D1206" s="19" t="s">
        <v>900</v>
      </c>
      <c r="E1206" s="1" t="s">
        <v>811</v>
      </c>
      <c r="F1206" s="1" t="s">
        <v>32</v>
      </c>
      <c r="G1206" s="1">
        <v>119</v>
      </c>
      <c r="H1206" s="1" t="s">
        <v>89</v>
      </c>
      <c r="I1206" s="12">
        <v>8.6166567814859985</v>
      </c>
      <c r="J1206" s="12">
        <v>24.619019376000001</v>
      </c>
      <c r="K1206" s="1" t="s">
        <v>34</v>
      </c>
      <c r="L1206" s="16">
        <v>3552.8962619980002</v>
      </c>
      <c r="M1206" s="16" t="s">
        <v>89</v>
      </c>
      <c r="N1206" s="16">
        <v>30520.487351209998</v>
      </c>
      <c r="O1206" s="15">
        <v>39.445047899999999</v>
      </c>
      <c r="P1206" s="15">
        <v>7.5578476730000004</v>
      </c>
      <c r="Q1206" s="15">
        <v>35.178218313000002</v>
      </c>
      <c r="R1206" s="15">
        <v>62.571169738000002</v>
      </c>
      <c r="T1206" s="15">
        <v>19.645010756000001</v>
      </c>
      <c r="U1206" s="15">
        <v>45.205409869999997</v>
      </c>
      <c r="V1206" s="15">
        <v>6.1025526599999997</v>
      </c>
      <c r="W1206" s="12">
        <v>0.73386973869000005</v>
      </c>
      <c r="X1206" s="15"/>
      <c r="Y1206" s="15">
        <v>75.121574312999996</v>
      </c>
      <c r="Z1206" s="12"/>
      <c r="AA1206" s="15">
        <v>0.71078064399999996</v>
      </c>
      <c r="AB1206" s="16">
        <f>AA1206*33.334</f>
        <v>23.693161987096001</v>
      </c>
      <c r="AD1206" s="16"/>
      <c r="AE1206" s="1">
        <v>1</v>
      </c>
    </row>
    <row r="1207" spans="1:31" x14ac:dyDescent="0.2">
      <c r="A1207" s="1">
        <v>1206</v>
      </c>
      <c r="B1207" s="1">
        <v>2018</v>
      </c>
      <c r="C1207" s="1" t="s">
        <v>31</v>
      </c>
      <c r="D1207" s="1" t="s">
        <v>108</v>
      </c>
      <c r="E1207" s="1" t="s">
        <v>666</v>
      </c>
      <c r="F1207" s="1" t="s">
        <v>32</v>
      </c>
      <c r="G1207" s="1">
        <v>116</v>
      </c>
      <c r="H1207" s="1" t="s">
        <v>34</v>
      </c>
      <c r="I1207" s="12">
        <v>8.5</v>
      </c>
      <c r="J1207" s="3">
        <v>24.3</v>
      </c>
      <c r="K1207" s="1" t="s">
        <v>34</v>
      </c>
      <c r="L1207" s="5">
        <v>3554</v>
      </c>
      <c r="M1207" s="1" t="s">
        <v>34</v>
      </c>
      <c r="N1207" s="5">
        <v>30186</v>
      </c>
      <c r="O1207" s="6">
        <v>32.842500000000001</v>
      </c>
      <c r="P1207" s="18">
        <v>7.8650000000000002</v>
      </c>
      <c r="Q1207" s="6">
        <v>39.83</v>
      </c>
      <c r="R1207" s="6">
        <v>59.7</v>
      </c>
      <c r="S1207" s="3"/>
      <c r="T1207" s="6">
        <v>23.885000000000002</v>
      </c>
      <c r="U1207" s="6">
        <v>37.5</v>
      </c>
      <c r="V1207" s="6">
        <v>5.1124999999999998</v>
      </c>
      <c r="W1207" s="3">
        <v>0.747</v>
      </c>
      <c r="X1207" s="6"/>
      <c r="Y1207" s="6">
        <v>72</v>
      </c>
      <c r="Z1207" s="3">
        <v>2.02</v>
      </c>
      <c r="AB1207" s="16"/>
      <c r="AD1207" s="16"/>
      <c r="AE1207" s="1">
        <v>1</v>
      </c>
    </row>
    <row r="1208" spans="1:31" x14ac:dyDescent="0.2">
      <c r="A1208" s="1">
        <v>1207</v>
      </c>
      <c r="B1208" s="1">
        <v>2009</v>
      </c>
      <c r="C1208" s="1" t="s">
        <v>31</v>
      </c>
      <c r="D1208" s="28" t="s">
        <v>914</v>
      </c>
      <c r="E1208" s="8" t="s">
        <v>105</v>
      </c>
      <c r="F1208" s="1" t="s">
        <v>32</v>
      </c>
      <c r="I1208" s="12">
        <v>7.42</v>
      </c>
      <c r="J1208" s="7">
        <v>21.2</v>
      </c>
      <c r="L1208" s="14">
        <v>3555</v>
      </c>
      <c r="N1208" s="14">
        <v>26393</v>
      </c>
      <c r="O1208" s="13">
        <v>27.2</v>
      </c>
      <c r="P1208" s="13">
        <v>9.5</v>
      </c>
      <c r="Q1208" s="13">
        <v>41.1</v>
      </c>
      <c r="R1208" s="13">
        <v>57.7</v>
      </c>
      <c r="S1208" s="13"/>
      <c r="T1208" s="15" t="s">
        <v>89</v>
      </c>
      <c r="U1208" s="13">
        <v>35.6</v>
      </c>
      <c r="V1208" s="13">
        <v>6.9</v>
      </c>
      <c r="W1208" s="12" t="s">
        <v>89</v>
      </c>
      <c r="X1208" s="15"/>
      <c r="Y1208" s="13">
        <v>74.8</v>
      </c>
      <c r="Z1208" s="7">
        <v>1.76</v>
      </c>
      <c r="AB1208" s="16"/>
      <c r="AD1208" s="16"/>
      <c r="AE1208" s="1">
        <v>1</v>
      </c>
    </row>
    <row r="1209" spans="1:31" x14ac:dyDescent="0.2">
      <c r="A1209" s="1">
        <v>1208</v>
      </c>
      <c r="B1209" s="1">
        <v>2009</v>
      </c>
      <c r="C1209" s="1" t="s">
        <v>31</v>
      </c>
      <c r="D1209" s="1" t="s">
        <v>805</v>
      </c>
      <c r="E1209" s="8" t="s">
        <v>122</v>
      </c>
      <c r="F1209" s="1" t="s">
        <v>32</v>
      </c>
      <c r="I1209" s="12">
        <v>7.7</v>
      </c>
      <c r="J1209" s="7">
        <v>22</v>
      </c>
      <c r="L1209" s="14">
        <v>3555</v>
      </c>
      <c r="N1209" s="14">
        <v>27380</v>
      </c>
      <c r="O1209" s="13">
        <v>30.6</v>
      </c>
      <c r="P1209" s="13">
        <v>9.1999999999999993</v>
      </c>
      <c r="Q1209" s="13">
        <v>40.5</v>
      </c>
      <c r="R1209" s="13">
        <v>57.7</v>
      </c>
      <c r="S1209" s="13"/>
      <c r="T1209" s="15" t="s">
        <v>89</v>
      </c>
      <c r="U1209" s="13">
        <v>36.9</v>
      </c>
      <c r="V1209" s="13">
        <v>6.3</v>
      </c>
      <c r="W1209" s="12" t="s">
        <v>89</v>
      </c>
      <c r="X1209" s="15"/>
      <c r="Y1209" s="13">
        <v>74.8</v>
      </c>
      <c r="Z1209" s="7">
        <v>1.8</v>
      </c>
      <c r="AB1209" s="16"/>
      <c r="AD1209" s="16"/>
      <c r="AE1209" s="1">
        <v>1</v>
      </c>
    </row>
    <row r="1210" spans="1:31" x14ac:dyDescent="0.2">
      <c r="A1210" s="1">
        <v>1209</v>
      </c>
      <c r="B1210" s="1">
        <v>2013</v>
      </c>
      <c r="C1210" s="1" t="s">
        <v>31</v>
      </c>
      <c r="D1210" s="8" t="s">
        <v>291</v>
      </c>
      <c r="E1210" s="8" t="s">
        <v>326</v>
      </c>
      <c r="F1210" s="1" t="s">
        <v>32</v>
      </c>
      <c r="G1210" s="8">
        <v>115</v>
      </c>
      <c r="H1210" s="8"/>
      <c r="I1210" s="12">
        <v>8.14</v>
      </c>
      <c r="J1210" s="7">
        <v>23.257142857142899</v>
      </c>
      <c r="K1210" s="13"/>
      <c r="L1210" s="14">
        <v>3555</v>
      </c>
      <c r="M1210" s="14"/>
      <c r="N1210" s="14">
        <v>27303</v>
      </c>
      <c r="O1210" s="13">
        <v>29</v>
      </c>
      <c r="P1210" s="13">
        <v>8.5</v>
      </c>
      <c r="Q1210" s="13">
        <v>41.2</v>
      </c>
      <c r="R1210" s="13">
        <v>54.1</v>
      </c>
      <c r="S1210" s="13"/>
      <c r="T1210" s="13"/>
      <c r="U1210" s="13">
        <v>32.700000000000003</v>
      </c>
      <c r="V1210" s="13">
        <v>4.7</v>
      </c>
      <c r="W1210" s="7">
        <v>0.72</v>
      </c>
      <c r="X1210" s="15"/>
      <c r="Y1210" s="15"/>
      <c r="Z1210" s="7">
        <v>1.81</v>
      </c>
      <c r="AB1210" s="16"/>
      <c r="AD1210" s="16"/>
      <c r="AE1210" s="1">
        <v>1</v>
      </c>
    </row>
    <row r="1211" spans="1:31" x14ac:dyDescent="0.2">
      <c r="A1211" s="1">
        <v>1210</v>
      </c>
      <c r="B1211" s="1">
        <v>2017</v>
      </c>
      <c r="C1211" s="1" t="s">
        <v>31</v>
      </c>
      <c r="D1211" s="8" t="s">
        <v>125</v>
      </c>
      <c r="E1211" s="8" t="s">
        <v>617</v>
      </c>
      <c r="F1211" s="1" t="s">
        <v>32</v>
      </c>
      <c r="G1211" s="1">
        <v>116</v>
      </c>
      <c r="I1211" s="12">
        <v>8.4233772699999996</v>
      </c>
      <c r="J1211" s="3">
        <v>24.066792199999998</v>
      </c>
      <c r="K1211" s="1" t="s">
        <v>34</v>
      </c>
      <c r="L1211" s="5">
        <v>3555</v>
      </c>
      <c r="N1211" s="5">
        <v>29881.249299999999</v>
      </c>
      <c r="O1211" s="6">
        <v>31.2340646</v>
      </c>
      <c r="P1211" s="6">
        <v>7.2649999999999997</v>
      </c>
      <c r="Q1211" s="6">
        <v>40.912500000000001</v>
      </c>
      <c r="R1211" s="6">
        <v>55.935000000000002</v>
      </c>
      <c r="S1211" s="3"/>
      <c r="T1211" s="6">
        <v>23.84</v>
      </c>
      <c r="U1211" s="6">
        <v>37.457500000000003</v>
      </c>
      <c r="V1211" s="6">
        <v>2.89</v>
      </c>
      <c r="W1211" s="7">
        <v>0.78055310000000011</v>
      </c>
      <c r="X1211" s="13"/>
      <c r="Y1211" s="6">
        <v>72.17</v>
      </c>
      <c r="Z1211" s="3">
        <v>1.9357410799999999</v>
      </c>
      <c r="AB1211" s="16"/>
      <c r="AD1211" s="16"/>
      <c r="AE1211" s="1">
        <v>1</v>
      </c>
    </row>
    <row r="1212" spans="1:31" x14ac:dyDescent="0.2">
      <c r="A1212" s="1">
        <v>1211</v>
      </c>
      <c r="B1212" s="1">
        <v>2015</v>
      </c>
      <c r="C1212" s="8" t="s">
        <v>31</v>
      </c>
      <c r="D1212" s="1" t="s">
        <v>916</v>
      </c>
      <c r="E1212" s="8" t="s">
        <v>413</v>
      </c>
      <c r="F1212" s="1" t="s">
        <v>83</v>
      </c>
      <c r="I1212" s="12">
        <v>7.1</v>
      </c>
      <c r="J1212" s="7">
        <v>20.285714285714285</v>
      </c>
      <c r="L1212" s="14">
        <v>3556</v>
      </c>
      <c r="N1212" s="14">
        <v>25272</v>
      </c>
      <c r="O1212" s="13">
        <v>33.200000000000003</v>
      </c>
      <c r="P1212" s="13">
        <v>6.6</v>
      </c>
      <c r="Q1212" s="13">
        <v>37.6</v>
      </c>
      <c r="R1212" s="13">
        <v>51.8</v>
      </c>
      <c r="S1212" s="8"/>
      <c r="T1212" s="13">
        <v>23.6</v>
      </c>
      <c r="U1212" s="13">
        <v>38</v>
      </c>
      <c r="V1212" s="13">
        <v>4.9000000000000004</v>
      </c>
      <c r="W1212" s="7">
        <v>0.76</v>
      </c>
      <c r="X1212" s="13"/>
      <c r="Y1212" s="13">
        <v>73.099999999999994</v>
      </c>
      <c r="Z1212" s="7">
        <v>1.38</v>
      </c>
      <c r="AA1212" s="18">
        <v>1.875</v>
      </c>
      <c r="AB1212" s="16">
        <f>AA1212*10</f>
        <v>18.75</v>
      </c>
      <c r="AC1212" s="15" t="s">
        <v>89</v>
      </c>
      <c r="AD1212" s="16"/>
      <c r="AE1212" s="1">
        <v>1</v>
      </c>
    </row>
    <row r="1213" spans="1:31" x14ac:dyDescent="0.2">
      <c r="A1213" s="1">
        <v>1212</v>
      </c>
      <c r="B1213" s="1">
        <v>2015</v>
      </c>
      <c r="C1213" s="8" t="s">
        <v>31</v>
      </c>
      <c r="D1213" s="8" t="s">
        <v>402</v>
      </c>
      <c r="E1213" s="8" t="s">
        <v>478</v>
      </c>
      <c r="F1213" s="1" t="s">
        <v>32</v>
      </c>
      <c r="G1213" s="8">
        <v>117</v>
      </c>
      <c r="I1213" s="12">
        <v>7.96</v>
      </c>
      <c r="J1213" s="7">
        <v>22.742857142857144</v>
      </c>
      <c r="K1213" s="1" t="s">
        <v>34</v>
      </c>
      <c r="L1213" s="14">
        <v>3558</v>
      </c>
      <c r="N1213" s="14">
        <v>28347</v>
      </c>
      <c r="O1213" s="13">
        <v>31.8</v>
      </c>
      <c r="P1213" s="13">
        <v>7</v>
      </c>
      <c r="Q1213" s="13">
        <v>37.799999999999997</v>
      </c>
      <c r="R1213" s="13">
        <v>51.2</v>
      </c>
      <c r="S1213" s="8"/>
      <c r="T1213" s="13">
        <v>25.4</v>
      </c>
      <c r="U1213" s="13">
        <v>35.799999999999997</v>
      </c>
      <c r="V1213" s="13">
        <v>3.5</v>
      </c>
      <c r="W1213" s="7">
        <v>0.75</v>
      </c>
      <c r="X1213" s="13"/>
      <c r="Y1213" s="13">
        <v>74.099999999999994</v>
      </c>
      <c r="Z1213" s="7">
        <v>1.53</v>
      </c>
      <c r="AA1213" s="1" t="s">
        <v>89</v>
      </c>
      <c r="AB1213" s="16" t="s">
        <v>89</v>
      </c>
      <c r="AC1213" s="1" t="s">
        <v>89</v>
      </c>
      <c r="AD1213" s="16" t="s">
        <v>89</v>
      </c>
      <c r="AE1213" s="1">
        <v>1</v>
      </c>
    </row>
    <row r="1214" spans="1:31" x14ac:dyDescent="0.2">
      <c r="A1214" s="1">
        <v>1213</v>
      </c>
      <c r="B1214" s="1">
        <v>2008</v>
      </c>
      <c r="C1214" s="1" t="s">
        <v>31</v>
      </c>
      <c r="D1214" s="8" t="s">
        <v>37</v>
      </c>
      <c r="E1214" s="8" t="s">
        <v>39</v>
      </c>
      <c r="F1214" s="8" t="s">
        <v>32</v>
      </c>
      <c r="G1214" s="8"/>
      <c r="H1214" s="8"/>
      <c r="I1214" s="12">
        <v>8.0500000000000007</v>
      </c>
      <c r="J1214" s="7">
        <v>23.000000000000004</v>
      </c>
      <c r="K1214" s="13"/>
      <c r="L1214" s="14">
        <v>3558</v>
      </c>
      <c r="M1214" s="8"/>
      <c r="N1214" s="14">
        <v>28630</v>
      </c>
      <c r="O1214" s="13">
        <v>30</v>
      </c>
      <c r="P1214" s="13">
        <v>8.5</v>
      </c>
      <c r="Q1214" s="13">
        <v>43.1</v>
      </c>
      <c r="R1214" s="13">
        <v>68.400000000000006</v>
      </c>
      <c r="S1214" s="13"/>
      <c r="T1214" s="13"/>
      <c r="U1214" s="13">
        <v>30.1</v>
      </c>
      <c r="V1214" s="13"/>
      <c r="W1214" s="13"/>
      <c r="X1214" s="15"/>
      <c r="Y1214" s="13">
        <v>75.599999999999994</v>
      </c>
      <c r="Z1214" s="7">
        <v>2.38</v>
      </c>
      <c r="AB1214" s="16"/>
      <c r="AD1214" s="16"/>
      <c r="AE1214" s="1">
        <v>1</v>
      </c>
    </row>
    <row r="1215" spans="1:31" x14ac:dyDescent="0.2">
      <c r="A1215" s="1">
        <v>1214</v>
      </c>
      <c r="B1215" s="1">
        <v>2015</v>
      </c>
      <c r="C1215" s="8" t="s">
        <v>31</v>
      </c>
      <c r="D1215" s="8" t="s">
        <v>874</v>
      </c>
      <c r="E1215" s="8" t="s">
        <v>408</v>
      </c>
      <c r="F1215" s="1" t="s">
        <v>32</v>
      </c>
      <c r="G1215" s="8">
        <v>117</v>
      </c>
      <c r="I1215" s="12">
        <v>8.3800000000000008</v>
      </c>
      <c r="J1215" s="7">
        <v>23.942857142857147</v>
      </c>
      <c r="K1215" s="1" t="s">
        <v>34</v>
      </c>
      <c r="L1215" s="14">
        <v>3558</v>
      </c>
      <c r="N1215" s="14">
        <v>29789</v>
      </c>
      <c r="O1215" s="13">
        <v>32.700000000000003</v>
      </c>
      <c r="P1215" s="13">
        <v>7</v>
      </c>
      <c r="Q1215" s="13">
        <v>37.5</v>
      </c>
      <c r="R1215" s="13">
        <v>51.3</v>
      </c>
      <c r="S1215" s="8"/>
      <c r="T1215" s="13">
        <v>24.5</v>
      </c>
      <c r="U1215" s="13">
        <v>35.200000000000003</v>
      </c>
      <c r="V1215" s="13">
        <v>3.6</v>
      </c>
      <c r="W1215" s="7">
        <v>0.75</v>
      </c>
      <c r="X1215" s="13"/>
      <c r="Y1215" s="13">
        <v>74.099999999999994</v>
      </c>
      <c r="Z1215" s="7">
        <v>1.61</v>
      </c>
      <c r="AA1215" s="1" t="s">
        <v>89</v>
      </c>
      <c r="AB1215" s="16" t="s">
        <v>89</v>
      </c>
      <c r="AC1215" s="1" t="s">
        <v>89</v>
      </c>
      <c r="AD1215" s="16" t="s">
        <v>89</v>
      </c>
      <c r="AE1215" s="1">
        <v>1</v>
      </c>
    </row>
    <row r="1216" spans="1:31" x14ac:dyDescent="0.2">
      <c r="A1216" s="1">
        <v>1215</v>
      </c>
      <c r="B1216" s="1">
        <v>2012</v>
      </c>
      <c r="C1216" s="1" t="s">
        <v>31</v>
      </c>
      <c r="D1216" s="8" t="s">
        <v>874</v>
      </c>
      <c r="E1216" s="1" t="s">
        <v>202</v>
      </c>
      <c r="F1216" s="1" t="s">
        <v>32</v>
      </c>
      <c r="H1216" s="1" t="s">
        <v>34</v>
      </c>
      <c r="I1216" s="12">
        <v>9.9499999999999993</v>
      </c>
      <c r="J1216" s="12">
        <v>28.4</v>
      </c>
      <c r="L1216" s="16">
        <v>3558</v>
      </c>
      <c r="N1216" s="16">
        <v>35395</v>
      </c>
      <c r="O1216" s="15">
        <v>33.700000000000003</v>
      </c>
      <c r="P1216" s="15">
        <v>7.7</v>
      </c>
      <c r="Q1216" s="15">
        <v>41.8</v>
      </c>
      <c r="R1216" s="15">
        <v>62</v>
      </c>
      <c r="T1216" s="15"/>
      <c r="U1216" s="15">
        <v>36.700000000000003</v>
      </c>
      <c r="V1216" s="15">
        <v>4.7</v>
      </c>
      <c r="W1216" s="12">
        <v>0.75</v>
      </c>
      <c r="X1216" s="15"/>
      <c r="Y1216" s="15"/>
      <c r="Z1216" s="12">
        <v>2.58</v>
      </c>
      <c r="AB1216" s="16"/>
      <c r="AD1216" s="16"/>
      <c r="AE1216" s="1">
        <v>1</v>
      </c>
    </row>
    <row r="1217" spans="1:31" x14ac:dyDescent="0.2">
      <c r="A1217" s="1">
        <v>1216</v>
      </c>
      <c r="B1217" s="1">
        <v>2016</v>
      </c>
      <c r="C1217" s="1" t="s">
        <v>31</v>
      </c>
      <c r="D1217" s="8" t="s">
        <v>555</v>
      </c>
      <c r="E1217" s="8" t="s">
        <v>556</v>
      </c>
      <c r="F1217" s="1" t="s">
        <v>32</v>
      </c>
      <c r="G1217" s="8">
        <v>112</v>
      </c>
      <c r="I1217" s="12">
        <v>8.17</v>
      </c>
      <c r="J1217" s="7">
        <v>23.342857142857099</v>
      </c>
      <c r="K1217" s="1" t="s">
        <v>34</v>
      </c>
      <c r="L1217" s="14">
        <v>3559</v>
      </c>
      <c r="N1217" s="14">
        <v>29165</v>
      </c>
      <c r="O1217" s="13">
        <v>30.3</v>
      </c>
      <c r="P1217" s="13">
        <v>7.6</v>
      </c>
      <c r="Q1217" s="13">
        <v>39.6</v>
      </c>
      <c r="R1217" s="13">
        <v>53.6</v>
      </c>
      <c r="S1217" s="13"/>
      <c r="T1217" s="13">
        <v>23</v>
      </c>
      <c r="U1217" s="13">
        <v>37.299999999999997</v>
      </c>
      <c r="V1217" s="13">
        <v>3.2</v>
      </c>
      <c r="W1217" s="7">
        <v>0.74</v>
      </c>
      <c r="X1217" s="13"/>
      <c r="Y1217" s="13">
        <v>72.3</v>
      </c>
      <c r="Z1217" s="7">
        <v>1.72</v>
      </c>
      <c r="AA1217" s="15" t="s">
        <v>89</v>
      </c>
      <c r="AB1217" s="16"/>
      <c r="AD1217" s="16"/>
      <c r="AE1217" s="1">
        <v>1</v>
      </c>
    </row>
    <row r="1218" spans="1:31" x14ac:dyDescent="0.2">
      <c r="A1218" s="1">
        <v>1217</v>
      </c>
      <c r="B1218" s="1">
        <v>2008</v>
      </c>
      <c r="C1218" s="1" t="s">
        <v>31</v>
      </c>
      <c r="D1218" s="8" t="s">
        <v>37</v>
      </c>
      <c r="E1218" s="8" t="s">
        <v>41</v>
      </c>
      <c r="F1218" s="8" t="s">
        <v>32</v>
      </c>
      <c r="G1218" s="8"/>
      <c r="H1218" s="8"/>
      <c r="I1218" s="12">
        <v>9.81</v>
      </c>
      <c r="J1218" s="7">
        <v>28.028571428571432</v>
      </c>
      <c r="K1218" s="13"/>
      <c r="L1218" s="14">
        <v>3560</v>
      </c>
      <c r="M1218" s="14"/>
      <c r="N1218" s="14">
        <v>34940</v>
      </c>
      <c r="O1218" s="13">
        <v>35</v>
      </c>
      <c r="P1218" s="13">
        <v>7.9</v>
      </c>
      <c r="Q1218" s="13">
        <v>41.9</v>
      </c>
      <c r="R1218" s="13">
        <v>72.7</v>
      </c>
      <c r="S1218" s="13"/>
      <c r="T1218" s="13"/>
      <c r="U1218" s="13">
        <v>32.9</v>
      </c>
      <c r="V1218" s="13"/>
      <c r="W1218" s="13"/>
      <c r="X1218" s="15"/>
      <c r="Y1218" s="13">
        <v>76.2</v>
      </c>
      <c r="Z1218" s="7">
        <v>2.98</v>
      </c>
      <c r="AB1218" s="16"/>
      <c r="AD1218" s="16"/>
      <c r="AE1218" s="1">
        <v>1</v>
      </c>
    </row>
    <row r="1219" spans="1:31" x14ac:dyDescent="0.2">
      <c r="A1219" s="1">
        <v>1218</v>
      </c>
      <c r="B1219" s="1">
        <v>2017</v>
      </c>
      <c r="C1219" s="1" t="s">
        <v>31</v>
      </c>
      <c r="D1219" s="1" t="s">
        <v>916</v>
      </c>
      <c r="E1219" s="8" t="s">
        <v>503</v>
      </c>
      <c r="F1219" s="1" t="s">
        <v>32</v>
      </c>
      <c r="G1219" s="1">
        <v>118</v>
      </c>
      <c r="H1219" s="1" t="s">
        <v>34</v>
      </c>
      <c r="I1219" s="12">
        <v>8.89</v>
      </c>
      <c r="J1219" s="3">
        <v>25.41</v>
      </c>
      <c r="K1219" s="1" t="s">
        <v>34</v>
      </c>
      <c r="L1219" s="5">
        <v>3561</v>
      </c>
      <c r="N1219" s="5">
        <v>31577.3904</v>
      </c>
      <c r="O1219" s="6">
        <v>30.2711252</v>
      </c>
      <c r="P1219" s="6">
        <v>7.21</v>
      </c>
      <c r="Q1219" s="6">
        <v>39.875</v>
      </c>
      <c r="R1219" s="6">
        <v>54.7425</v>
      </c>
      <c r="S1219" s="3"/>
      <c r="T1219" s="6">
        <v>23.85</v>
      </c>
      <c r="U1219" s="6">
        <v>35.08</v>
      </c>
      <c r="V1219" s="6">
        <v>3.34</v>
      </c>
      <c r="W1219" s="3">
        <v>0.78581674999999995</v>
      </c>
      <c r="X1219" s="6"/>
      <c r="Y1219" s="6">
        <v>72.592500000000001</v>
      </c>
      <c r="Z1219" s="3">
        <v>1.9388298900000001</v>
      </c>
      <c r="AB1219" s="16"/>
      <c r="AD1219" s="16"/>
      <c r="AE1219" s="1">
        <v>1</v>
      </c>
    </row>
    <row r="1220" spans="1:31" x14ac:dyDescent="0.2">
      <c r="A1220" s="1">
        <v>1219</v>
      </c>
      <c r="B1220" s="1">
        <v>2012</v>
      </c>
      <c r="C1220" s="1" t="s">
        <v>31</v>
      </c>
      <c r="D1220" s="8" t="s">
        <v>874</v>
      </c>
      <c r="E1220" s="1" t="s">
        <v>282</v>
      </c>
      <c r="F1220" s="1" t="s">
        <v>32</v>
      </c>
      <c r="I1220" s="12">
        <v>9.15</v>
      </c>
      <c r="J1220" s="12">
        <v>26.1</v>
      </c>
      <c r="L1220" s="16">
        <v>3561</v>
      </c>
      <c r="N1220" s="16">
        <v>32568</v>
      </c>
      <c r="O1220" s="15">
        <v>33.9</v>
      </c>
      <c r="P1220" s="15">
        <v>7.5</v>
      </c>
      <c r="Q1220" s="15">
        <v>41.5</v>
      </c>
      <c r="R1220" s="15">
        <v>61.6</v>
      </c>
      <c r="T1220" s="15"/>
      <c r="U1220" s="15">
        <v>36.299999999999997</v>
      </c>
      <c r="V1220" s="15">
        <v>4.8</v>
      </c>
      <c r="W1220" s="12">
        <v>0.77500000000000002</v>
      </c>
      <c r="X1220" s="15"/>
      <c r="Y1220" s="15"/>
      <c r="Z1220" s="12">
        <v>2.34</v>
      </c>
      <c r="AB1220" s="16"/>
      <c r="AD1220" s="16"/>
      <c r="AE1220" s="1">
        <v>1</v>
      </c>
    </row>
    <row r="1221" spans="1:31" x14ac:dyDescent="0.2">
      <c r="A1221" s="1">
        <v>1220</v>
      </c>
      <c r="B1221" s="1">
        <v>2010</v>
      </c>
      <c r="C1221" s="1" t="s">
        <v>31</v>
      </c>
      <c r="D1221" s="8" t="s">
        <v>71</v>
      </c>
      <c r="E1221" s="8" t="s">
        <v>182</v>
      </c>
      <c r="F1221" s="1" t="s">
        <v>32</v>
      </c>
      <c r="I1221" s="12">
        <v>9.75</v>
      </c>
      <c r="J1221" s="7">
        <v>27.8571428571429</v>
      </c>
      <c r="L1221" s="14">
        <v>3561</v>
      </c>
      <c r="N1221" s="14">
        <v>34681</v>
      </c>
      <c r="O1221" s="13">
        <v>30.2</v>
      </c>
      <c r="P1221" s="13">
        <v>10.1</v>
      </c>
      <c r="Q1221" s="13">
        <v>40</v>
      </c>
      <c r="R1221" s="13">
        <v>57.5</v>
      </c>
      <c r="S1221" s="13"/>
      <c r="T1221" s="15"/>
      <c r="U1221" s="13">
        <v>37.6</v>
      </c>
      <c r="V1221" s="13">
        <v>6.5</v>
      </c>
      <c r="W1221" s="12"/>
      <c r="X1221" s="15"/>
      <c r="Y1221" s="13">
        <v>72.7</v>
      </c>
      <c r="Z1221" s="7">
        <v>2.23</v>
      </c>
      <c r="AB1221" s="16"/>
      <c r="AD1221" s="16"/>
      <c r="AE1221" s="1">
        <v>1</v>
      </c>
    </row>
    <row r="1222" spans="1:31" x14ac:dyDescent="0.2">
      <c r="A1222" s="1">
        <v>1221</v>
      </c>
      <c r="B1222" s="1">
        <v>2013</v>
      </c>
      <c r="C1222" s="1" t="s">
        <v>31</v>
      </c>
      <c r="D1222" s="1" t="s">
        <v>805</v>
      </c>
      <c r="E1222" s="8" t="s">
        <v>367</v>
      </c>
      <c r="F1222" s="1" t="s">
        <v>32</v>
      </c>
      <c r="G1222" s="8">
        <v>114</v>
      </c>
      <c r="H1222" s="8"/>
      <c r="I1222" s="12">
        <v>8.6300000000000008</v>
      </c>
      <c r="J1222" s="7">
        <v>24.657142857142901</v>
      </c>
      <c r="K1222" s="13" t="s">
        <v>34</v>
      </c>
      <c r="L1222" s="14">
        <v>3562</v>
      </c>
      <c r="M1222" s="8"/>
      <c r="N1222" s="14">
        <v>30741</v>
      </c>
      <c r="O1222" s="13">
        <v>29.7</v>
      </c>
      <c r="P1222" s="13">
        <v>7.9</v>
      </c>
      <c r="Q1222" s="13">
        <v>36</v>
      </c>
      <c r="R1222" s="13">
        <v>51.4</v>
      </c>
      <c r="S1222" s="13" t="s">
        <v>89</v>
      </c>
      <c r="T1222" s="13"/>
      <c r="U1222" s="13">
        <v>38.799999999999997</v>
      </c>
      <c r="V1222" s="13">
        <v>3.9</v>
      </c>
      <c r="W1222" s="7">
        <v>0.76</v>
      </c>
      <c r="X1222" s="15" t="s">
        <v>89</v>
      </c>
      <c r="Y1222" s="15" t="s">
        <v>89</v>
      </c>
      <c r="Z1222" s="7">
        <v>1.6</v>
      </c>
      <c r="AB1222" s="16"/>
      <c r="AD1222" s="16"/>
      <c r="AE1222" s="1">
        <v>1</v>
      </c>
    </row>
    <row r="1223" spans="1:31" x14ac:dyDescent="0.2">
      <c r="A1223" s="1">
        <v>1222</v>
      </c>
      <c r="B1223" s="1">
        <v>2011</v>
      </c>
      <c r="C1223" s="1" t="s">
        <v>31</v>
      </c>
      <c r="D1223" s="1" t="s">
        <v>805</v>
      </c>
      <c r="E1223" s="1" t="s">
        <v>211</v>
      </c>
      <c r="F1223" s="1" t="s">
        <v>32</v>
      </c>
      <c r="H1223" s="1" t="s">
        <v>34</v>
      </c>
      <c r="I1223" s="12">
        <v>9.43</v>
      </c>
      <c r="J1223" s="12">
        <v>32.700000000000003</v>
      </c>
      <c r="L1223" s="16">
        <v>3562</v>
      </c>
      <c r="N1223" s="16">
        <v>33594</v>
      </c>
      <c r="O1223" s="15">
        <v>30.2</v>
      </c>
      <c r="P1223" s="15">
        <v>7.8</v>
      </c>
      <c r="Q1223" s="15">
        <v>43.6</v>
      </c>
      <c r="R1223" s="15">
        <v>63.8</v>
      </c>
      <c r="T1223" s="15"/>
      <c r="U1223" s="15">
        <v>34.299999999999997</v>
      </c>
      <c r="V1223" s="15">
        <v>5</v>
      </c>
      <c r="W1223" s="12"/>
      <c r="X1223" s="15"/>
      <c r="Y1223" s="15">
        <v>70.400000000000006</v>
      </c>
      <c r="Z1223" s="12">
        <v>2.62</v>
      </c>
      <c r="AB1223" s="16"/>
      <c r="AD1223" s="16"/>
      <c r="AE1223" s="1">
        <v>1</v>
      </c>
    </row>
    <row r="1224" spans="1:31" x14ac:dyDescent="0.2">
      <c r="A1224" s="1">
        <v>1223</v>
      </c>
      <c r="B1224" s="1">
        <v>2021</v>
      </c>
      <c r="C1224" s="1" t="s">
        <v>88</v>
      </c>
      <c r="D1224" s="1" t="s">
        <v>246</v>
      </c>
      <c r="E1224" s="1" t="s">
        <v>845</v>
      </c>
      <c r="F1224" s="1" t="s">
        <v>83</v>
      </c>
      <c r="H1224" s="1" t="s">
        <v>89</v>
      </c>
      <c r="I1224" s="12">
        <v>5.6663127896215002</v>
      </c>
      <c r="J1224" s="12">
        <v>16.189465113000001</v>
      </c>
      <c r="K1224" s="1" t="s">
        <v>34</v>
      </c>
      <c r="L1224" s="16">
        <v>3562.25</v>
      </c>
      <c r="N1224" s="16">
        <v>20306.263059318</v>
      </c>
      <c r="O1224" s="15">
        <v>30.5062827</v>
      </c>
      <c r="P1224" s="15">
        <v>8.6950000000000003</v>
      </c>
      <c r="Q1224" s="15">
        <v>45.462499999999999</v>
      </c>
      <c r="R1224" s="15">
        <v>57.255000000000003</v>
      </c>
      <c r="U1224" s="15">
        <v>17.864999999999998</v>
      </c>
      <c r="V1224" s="15">
        <v>10.904999999999999</v>
      </c>
      <c r="W1224" s="12">
        <v>0.74252499999999999</v>
      </c>
      <c r="X1224" s="15"/>
      <c r="Y1224" s="15">
        <v>68.297499999999999</v>
      </c>
      <c r="Z1224" s="12"/>
      <c r="AA1224" s="15">
        <v>0.625</v>
      </c>
      <c r="AB1224" s="16">
        <f>AA1224*33.334</f>
        <v>20.833750000000002</v>
      </c>
      <c r="AC1224" s="1">
        <v>0</v>
      </c>
      <c r="AD1224" s="16">
        <f>AC1224*33.334</f>
        <v>0</v>
      </c>
      <c r="AE1224" s="1">
        <v>1</v>
      </c>
    </row>
    <row r="1225" spans="1:31" x14ac:dyDescent="0.2">
      <c r="A1225" s="1">
        <v>1224</v>
      </c>
      <c r="B1225" s="1">
        <v>2008</v>
      </c>
      <c r="C1225" s="1" t="s">
        <v>31</v>
      </c>
      <c r="D1225" s="8" t="s">
        <v>56</v>
      </c>
      <c r="E1225" s="8" t="s">
        <v>57</v>
      </c>
      <c r="F1225" s="8" t="s">
        <v>32</v>
      </c>
      <c r="G1225" s="8"/>
      <c r="H1225" s="8"/>
      <c r="I1225" s="12">
        <v>9.31</v>
      </c>
      <c r="J1225" s="7">
        <v>26.6</v>
      </c>
      <c r="K1225" s="13"/>
      <c r="L1225" s="14">
        <v>3563</v>
      </c>
      <c r="M1225" s="14"/>
      <c r="N1225" s="14">
        <v>33169</v>
      </c>
      <c r="O1225" s="13">
        <v>32.4</v>
      </c>
      <c r="P1225" s="13">
        <v>9</v>
      </c>
      <c r="Q1225" s="13">
        <v>43.5</v>
      </c>
      <c r="R1225" s="13">
        <v>70.7</v>
      </c>
      <c r="S1225" s="13"/>
      <c r="T1225" s="13"/>
      <c r="U1225" s="13">
        <v>30</v>
      </c>
      <c r="V1225" s="13"/>
      <c r="W1225" s="13"/>
      <c r="X1225" s="15"/>
      <c r="Y1225" s="13">
        <v>76.099999999999994</v>
      </c>
      <c r="Z1225" s="7">
        <v>2.87</v>
      </c>
      <c r="AB1225" s="16"/>
      <c r="AD1225" s="16"/>
      <c r="AE1225" s="1">
        <v>1</v>
      </c>
    </row>
    <row r="1226" spans="1:31" x14ac:dyDescent="0.2">
      <c r="A1226" s="1">
        <v>1225</v>
      </c>
      <c r="B1226" s="1">
        <v>2016</v>
      </c>
      <c r="C1226" s="1" t="s">
        <v>31</v>
      </c>
      <c r="D1226" s="28" t="s">
        <v>914</v>
      </c>
      <c r="E1226" s="8" t="s">
        <v>541</v>
      </c>
      <c r="F1226" s="1" t="s">
        <v>32</v>
      </c>
      <c r="G1226" s="8">
        <v>117</v>
      </c>
      <c r="I1226" s="12">
        <v>8.5</v>
      </c>
      <c r="J1226" s="7">
        <v>24.285714285714299</v>
      </c>
      <c r="K1226" s="1" t="s">
        <v>34</v>
      </c>
      <c r="L1226" s="14">
        <v>3564</v>
      </c>
      <c r="N1226" s="14">
        <v>30142</v>
      </c>
      <c r="O1226" s="13">
        <v>34.799999999999997</v>
      </c>
      <c r="P1226" s="13">
        <v>7.6</v>
      </c>
      <c r="Q1226" s="13">
        <v>38.299999999999997</v>
      </c>
      <c r="R1226" s="13">
        <v>55.9</v>
      </c>
      <c r="S1226" s="13"/>
      <c r="T1226" s="13">
        <v>21.4</v>
      </c>
      <c r="U1226" s="13">
        <v>39.5</v>
      </c>
      <c r="V1226" s="13">
        <v>2.8</v>
      </c>
      <c r="W1226" s="7">
        <v>0.76</v>
      </c>
      <c r="X1226" s="13"/>
      <c r="Y1226" s="13">
        <v>73.900000000000006</v>
      </c>
      <c r="Z1226" s="7">
        <v>1.84</v>
      </c>
      <c r="AA1226" s="15" t="s">
        <v>89</v>
      </c>
      <c r="AB1226" s="16"/>
      <c r="AD1226" s="16"/>
      <c r="AE1226" s="1">
        <v>1</v>
      </c>
    </row>
    <row r="1227" spans="1:31" x14ac:dyDescent="0.2">
      <c r="A1227" s="1">
        <v>1226</v>
      </c>
      <c r="B1227" s="1">
        <v>2009</v>
      </c>
      <c r="C1227" s="1" t="s">
        <v>31</v>
      </c>
      <c r="D1227" s="8" t="s">
        <v>108</v>
      </c>
      <c r="E1227" s="8" t="s">
        <v>128</v>
      </c>
      <c r="F1227" s="1" t="s">
        <v>32</v>
      </c>
      <c r="I1227" s="12">
        <v>7.44</v>
      </c>
      <c r="J1227" s="7">
        <v>21.257142857142899</v>
      </c>
      <c r="L1227" s="14">
        <v>3566</v>
      </c>
      <c r="N1227" s="14">
        <v>26521</v>
      </c>
      <c r="O1227" s="13">
        <v>29.3</v>
      </c>
      <c r="P1227" s="13">
        <v>9</v>
      </c>
      <c r="Q1227" s="13">
        <v>41.2</v>
      </c>
      <c r="R1227" s="13">
        <v>58.7</v>
      </c>
      <c r="S1227" s="13"/>
      <c r="T1227" s="13" t="s">
        <v>89</v>
      </c>
      <c r="U1227" s="13">
        <v>37.200000000000003</v>
      </c>
      <c r="V1227" s="13">
        <v>5.7</v>
      </c>
      <c r="W1227" s="7" t="s">
        <v>89</v>
      </c>
      <c r="X1227" s="13"/>
      <c r="Y1227" s="13">
        <v>75.099999999999994</v>
      </c>
      <c r="Z1227" s="7">
        <v>1.8</v>
      </c>
      <c r="AB1227" s="16"/>
      <c r="AD1227" s="16"/>
      <c r="AE1227" s="1">
        <v>1</v>
      </c>
    </row>
    <row r="1228" spans="1:31" x14ac:dyDescent="0.2">
      <c r="A1228" s="1">
        <v>1227</v>
      </c>
      <c r="B1228" s="1">
        <v>2009</v>
      </c>
      <c r="C1228" s="1" t="s">
        <v>31</v>
      </c>
      <c r="D1228" s="8" t="s">
        <v>874</v>
      </c>
      <c r="E1228" s="8" t="s">
        <v>115</v>
      </c>
      <c r="F1228" s="1" t="s">
        <v>32</v>
      </c>
      <c r="I1228" s="12">
        <v>8.42</v>
      </c>
      <c r="J1228" s="7">
        <v>24.0571428571429</v>
      </c>
      <c r="L1228" s="14">
        <v>3566</v>
      </c>
      <c r="N1228" s="14">
        <v>30056</v>
      </c>
      <c r="O1228" s="13">
        <v>31.9</v>
      </c>
      <c r="P1228" s="13">
        <v>9.4</v>
      </c>
      <c r="Q1228" s="13">
        <v>40.1</v>
      </c>
      <c r="R1228" s="13">
        <v>56.8</v>
      </c>
      <c r="S1228" s="13"/>
      <c r="T1228" s="15" t="s">
        <v>89</v>
      </c>
      <c r="U1228" s="13">
        <v>38.700000000000003</v>
      </c>
      <c r="V1228" s="13">
        <v>5.0999999999999996</v>
      </c>
      <c r="W1228" s="12" t="s">
        <v>89</v>
      </c>
      <c r="X1228" s="15"/>
      <c r="Y1228" s="13">
        <v>74.8</v>
      </c>
      <c r="Z1228" s="7">
        <v>1.92</v>
      </c>
      <c r="AB1228" s="16"/>
      <c r="AD1228" s="16"/>
      <c r="AE1228" s="1">
        <v>1</v>
      </c>
    </row>
    <row r="1229" spans="1:31" x14ac:dyDescent="0.2">
      <c r="A1229" s="1">
        <v>1228</v>
      </c>
      <c r="B1229" s="1">
        <v>2015</v>
      </c>
      <c r="C1229" s="8" t="s">
        <v>31</v>
      </c>
      <c r="D1229" s="28" t="s">
        <v>914</v>
      </c>
      <c r="E1229" s="8" t="s">
        <v>365</v>
      </c>
      <c r="F1229" s="1" t="s">
        <v>32</v>
      </c>
      <c r="G1229" s="8">
        <v>119</v>
      </c>
      <c r="I1229" s="12">
        <v>8.83</v>
      </c>
      <c r="J1229" s="7">
        <v>25.228571428571431</v>
      </c>
      <c r="K1229" s="1" t="s">
        <v>34</v>
      </c>
      <c r="L1229" s="14">
        <v>3566</v>
      </c>
      <c r="N1229" s="14">
        <v>31410</v>
      </c>
      <c r="O1229" s="13">
        <v>33.1</v>
      </c>
      <c r="P1229" s="13">
        <v>6.7</v>
      </c>
      <c r="Q1229" s="13">
        <v>36.200000000000003</v>
      </c>
      <c r="R1229" s="13">
        <v>49.8</v>
      </c>
      <c r="S1229" s="8"/>
      <c r="T1229" s="13">
        <v>24.9</v>
      </c>
      <c r="U1229" s="13">
        <v>38.200000000000003</v>
      </c>
      <c r="V1229" s="13">
        <v>3.1</v>
      </c>
      <c r="W1229" s="7">
        <v>0.76</v>
      </c>
      <c r="X1229" s="13"/>
      <c r="Y1229" s="13">
        <v>74.099999999999994</v>
      </c>
      <c r="Z1229" s="7">
        <v>1.6</v>
      </c>
      <c r="AA1229" s="1" t="s">
        <v>89</v>
      </c>
      <c r="AB1229" s="16" t="s">
        <v>89</v>
      </c>
      <c r="AC1229" s="1" t="s">
        <v>89</v>
      </c>
      <c r="AD1229" s="16" t="s">
        <v>89</v>
      </c>
      <c r="AE1229" s="1">
        <v>1</v>
      </c>
    </row>
    <row r="1230" spans="1:31" x14ac:dyDescent="0.2">
      <c r="A1230" s="1">
        <v>1229</v>
      </c>
      <c r="B1230" s="1">
        <v>2021</v>
      </c>
      <c r="C1230" s="1" t="s">
        <v>31</v>
      </c>
      <c r="D1230" s="1" t="s">
        <v>555</v>
      </c>
      <c r="E1230" s="1" t="s">
        <v>828</v>
      </c>
      <c r="F1230" s="1" t="s">
        <v>32</v>
      </c>
      <c r="G1230" s="1">
        <v>115</v>
      </c>
      <c r="H1230" s="1" t="s">
        <v>89</v>
      </c>
      <c r="I1230" s="12">
        <v>8.329425620088001</v>
      </c>
      <c r="J1230" s="12">
        <v>23.798358915000001</v>
      </c>
      <c r="K1230" s="1" t="s">
        <v>34</v>
      </c>
      <c r="L1230" s="16">
        <v>3566.1645233129998</v>
      </c>
      <c r="M1230" s="16" t="s">
        <v>89</v>
      </c>
      <c r="N1230" s="16">
        <v>29719.487926721002</v>
      </c>
      <c r="O1230" s="15">
        <v>37.748578199999997</v>
      </c>
      <c r="P1230" s="15">
        <v>7.4323311529999998</v>
      </c>
      <c r="Q1230" s="15">
        <v>34.605762038999998</v>
      </c>
      <c r="R1230" s="15">
        <v>62.747289371999997</v>
      </c>
      <c r="T1230" s="15">
        <v>19.029949211999998</v>
      </c>
      <c r="U1230" s="15">
        <v>46.400517555</v>
      </c>
      <c r="V1230" s="15">
        <v>5.7769918320000002</v>
      </c>
      <c r="W1230" s="12">
        <v>0.73579397764999999</v>
      </c>
      <c r="X1230" s="15"/>
      <c r="Y1230" s="15">
        <v>75.277985225999998</v>
      </c>
      <c r="Z1230" s="12"/>
      <c r="AA1230" s="15">
        <v>0.29398352999999999</v>
      </c>
      <c r="AB1230" s="16">
        <f>AA1230*33.334</f>
        <v>9.7996469890200011</v>
      </c>
      <c r="AD1230" s="16"/>
      <c r="AE1230" s="1">
        <v>1</v>
      </c>
    </row>
    <row r="1231" spans="1:31" x14ac:dyDescent="0.2">
      <c r="A1231" s="1">
        <v>1230</v>
      </c>
      <c r="B1231" s="1">
        <v>2016</v>
      </c>
      <c r="C1231" s="1" t="s">
        <v>31</v>
      </c>
      <c r="D1231" s="8" t="s">
        <v>37</v>
      </c>
      <c r="E1231" s="8" t="s">
        <v>551</v>
      </c>
      <c r="F1231" s="1" t="s">
        <v>32</v>
      </c>
      <c r="G1231" s="8">
        <v>117</v>
      </c>
      <c r="H1231" s="1" t="s">
        <v>34</v>
      </c>
      <c r="I1231" s="12">
        <v>10.07</v>
      </c>
      <c r="J1231" s="7">
        <v>28.8</v>
      </c>
      <c r="K1231" s="1" t="s">
        <v>34</v>
      </c>
      <c r="L1231" s="14">
        <v>3570</v>
      </c>
      <c r="M1231" s="1" t="s">
        <v>34</v>
      </c>
      <c r="N1231" s="14">
        <v>35897</v>
      </c>
      <c r="O1231" s="13">
        <v>34.9</v>
      </c>
      <c r="P1231" s="13">
        <v>8.1</v>
      </c>
      <c r="Q1231" s="13">
        <v>36.700000000000003</v>
      </c>
      <c r="R1231" s="13">
        <v>56</v>
      </c>
      <c r="S1231" s="13"/>
      <c r="T1231" s="13">
        <v>21.6</v>
      </c>
      <c r="U1231" s="13">
        <v>41</v>
      </c>
      <c r="V1231" s="13">
        <v>2.7</v>
      </c>
      <c r="W1231" s="7">
        <v>0.76</v>
      </c>
      <c r="X1231" s="13"/>
      <c r="Y1231" s="13">
        <v>74</v>
      </c>
      <c r="Z1231" s="7">
        <v>2.0699999999999998</v>
      </c>
      <c r="AA1231" s="15" t="s">
        <v>89</v>
      </c>
      <c r="AB1231" s="16"/>
      <c r="AD1231" s="16"/>
      <c r="AE1231" s="1">
        <v>1</v>
      </c>
    </row>
    <row r="1232" spans="1:31" x14ac:dyDescent="0.2">
      <c r="A1232" s="1">
        <v>1231</v>
      </c>
      <c r="B1232" s="1">
        <v>2008</v>
      </c>
      <c r="C1232" s="1" t="s">
        <v>31</v>
      </c>
      <c r="D1232" s="8" t="s">
        <v>37</v>
      </c>
      <c r="E1232" s="8" t="s">
        <v>38</v>
      </c>
      <c r="F1232" s="8" t="s">
        <v>32</v>
      </c>
      <c r="G1232" s="8"/>
      <c r="H1232" s="8"/>
      <c r="I1232" s="12">
        <v>9.09</v>
      </c>
      <c r="J1232" s="7">
        <v>25.971428571428572</v>
      </c>
      <c r="K1232" s="13"/>
      <c r="L1232" s="14">
        <v>3572</v>
      </c>
      <c r="M1232" s="14"/>
      <c r="N1232" s="14">
        <v>32407</v>
      </c>
      <c r="O1232" s="13">
        <v>32.5</v>
      </c>
      <c r="P1232" s="13">
        <v>9.1999999999999993</v>
      </c>
      <c r="Q1232" s="13">
        <v>42.8</v>
      </c>
      <c r="R1232" s="13">
        <v>71.400000000000006</v>
      </c>
      <c r="S1232" s="13"/>
      <c r="T1232" s="13"/>
      <c r="U1232" s="13">
        <v>29.1</v>
      </c>
      <c r="V1232" s="13"/>
      <c r="W1232" s="13"/>
      <c r="X1232" s="15"/>
      <c r="Y1232" s="13">
        <v>76.099999999999994</v>
      </c>
      <c r="Z1232" s="7">
        <v>2.79</v>
      </c>
      <c r="AB1232" s="16"/>
      <c r="AD1232" s="16"/>
      <c r="AE1232" s="1">
        <v>1</v>
      </c>
    </row>
    <row r="1233" spans="1:31" x14ac:dyDescent="0.2">
      <c r="A1233" s="1">
        <v>1232</v>
      </c>
      <c r="B1233" s="1">
        <v>2018</v>
      </c>
      <c r="C1233" s="1" t="s">
        <v>31</v>
      </c>
      <c r="D1233" s="1" t="s">
        <v>402</v>
      </c>
      <c r="E1233" s="1" t="s">
        <v>657</v>
      </c>
      <c r="F1233" s="1" t="s">
        <v>32</v>
      </c>
      <c r="G1233" s="1">
        <v>115</v>
      </c>
      <c r="H1233" s="1" t="s">
        <v>34</v>
      </c>
      <c r="I1233" s="12">
        <v>8.4</v>
      </c>
      <c r="J1233" s="3">
        <v>23.9</v>
      </c>
      <c r="K1233" s="1" t="s">
        <v>34</v>
      </c>
      <c r="L1233" s="5">
        <v>3572.8</v>
      </c>
      <c r="M1233" s="1" t="s">
        <v>34</v>
      </c>
      <c r="N1233" s="5">
        <v>29891</v>
      </c>
      <c r="O1233" s="6">
        <v>34.832500000000003</v>
      </c>
      <c r="P1233" s="18">
        <v>8.1999999999999993</v>
      </c>
      <c r="Q1233" s="6">
        <v>36.417499999999997</v>
      </c>
      <c r="R1233" s="6">
        <v>59.6</v>
      </c>
      <c r="S1233" s="3"/>
      <c r="T1233" s="6">
        <v>21.97</v>
      </c>
      <c r="U1233" s="6">
        <v>40.700000000000003</v>
      </c>
      <c r="V1233" s="6">
        <v>4.085</v>
      </c>
      <c r="W1233" s="3">
        <v>0.75599999999999989</v>
      </c>
      <c r="X1233" s="6"/>
      <c r="Y1233" s="6">
        <v>72.7</v>
      </c>
      <c r="Z1233" s="3">
        <v>1.81443069</v>
      </c>
      <c r="AB1233" s="16"/>
      <c r="AD1233" s="16"/>
      <c r="AE1233" s="1">
        <v>1</v>
      </c>
    </row>
    <row r="1234" spans="1:31" x14ac:dyDescent="0.2">
      <c r="A1234" s="1">
        <v>1233</v>
      </c>
      <c r="B1234" s="1">
        <v>2016</v>
      </c>
      <c r="C1234" s="1" t="s">
        <v>88</v>
      </c>
      <c r="D1234" s="8" t="s">
        <v>187</v>
      </c>
      <c r="E1234" s="8" t="s">
        <v>561</v>
      </c>
      <c r="F1234" s="1" t="s">
        <v>32</v>
      </c>
      <c r="I1234" s="12">
        <v>6.8250000000000002</v>
      </c>
      <c r="J1234" s="7">
        <v>19.5</v>
      </c>
      <c r="K1234" s="1" t="s">
        <v>34</v>
      </c>
      <c r="L1234" s="5">
        <v>3573</v>
      </c>
      <c r="N1234" s="5">
        <v>24338.55</v>
      </c>
      <c r="O1234" s="6">
        <v>26.285</v>
      </c>
      <c r="P1234" s="6">
        <v>7.4474999999999998</v>
      </c>
      <c r="Q1234" s="6">
        <v>46.45</v>
      </c>
      <c r="R1234" s="6">
        <v>53.17</v>
      </c>
      <c r="S1234" s="6"/>
      <c r="T1234" s="6">
        <v>28.982500000000002</v>
      </c>
      <c r="U1234" s="6">
        <v>21.6</v>
      </c>
      <c r="V1234" s="6">
        <v>13.157500000000001</v>
      </c>
      <c r="W1234" s="7">
        <v>0.7</v>
      </c>
      <c r="X1234" s="13"/>
      <c r="Y1234" s="6">
        <v>67.599999999999994</v>
      </c>
      <c r="Z1234" s="3">
        <v>1.70003247</v>
      </c>
      <c r="AA1234" s="13">
        <v>1.5</v>
      </c>
      <c r="AB1234" s="16">
        <f>AA1234*10</f>
        <v>15</v>
      </c>
      <c r="AC1234" s="13">
        <v>0.5</v>
      </c>
      <c r="AD1234" s="16">
        <f>AC1234*10</f>
        <v>5</v>
      </c>
      <c r="AE1234" s="1">
        <v>1</v>
      </c>
    </row>
    <row r="1235" spans="1:31" x14ac:dyDescent="0.2">
      <c r="A1235" s="1">
        <v>1234</v>
      </c>
      <c r="B1235" s="1">
        <v>2015</v>
      </c>
      <c r="C1235" s="8" t="s">
        <v>31</v>
      </c>
      <c r="D1235" s="8" t="s">
        <v>108</v>
      </c>
      <c r="E1235" s="8" t="s">
        <v>431</v>
      </c>
      <c r="F1235" s="1" t="s">
        <v>32</v>
      </c>
      <c r="G1235" s="8">
        <v>116</v>
      </c>
      <c r="I1235" s="12">
        <v>9.2100000000000009</v>
      </c>
      <c r="J1235" s="7">
        <v>26.314285714285717</v>
      </c>
      <c r="K1235" s="1" t="s">
        <v>34</v>
      </c>
      <c r="L1235" s="14">
        <v>3573</v>
      </c>
      <c r="N1235" s="14">
        <v>32950</v>
      </c>
      <c r="O1235" s="13">
        <v>34.299999999999997</v>
      </c>
      <c r="P1235" s="13">
        <v>7</v>
      </c>
      <c r="Q1235" s="13">
        <v>36</v>
      </c>
      <c r="R1235" s="13">
        <v>52.7</v>
      </c>
      <c r="S1235" s="8"/>
      <c r="T1235" s="13">
        <v>23.2</v>
      </c>
      <c r="U1235" s="13">
        <v>36.1</v>
      </c>
      <c r="V1235" s="13">
        <v>4.3</v>
      </c>
      <c r="W1235" s="7">
        <v>0.76</v>
      </c>
      <c r="X1235" s="13"/>
      <c r="Y1235" s="13">
        <v>74.400000000000006</v>
      </c>
      <c r="Z1235" s="7">
        <v>1.74</v>
      </c>
      <c r="AA1235" s="1" t="s">
        <v>89</v>
      </c>
      <c r="AB1235" s="16" t="s">
        <v>89</v>
      </c>
      <c r="AC1235" s="1" t="s">
        <v>89</v>
      </c>
      <c r="AD1235" s="16" t="s">
        <v>89</v>
      </c>
      <c r="AE1235" s="1">
        <v>1</v>
      </c>
    </row>
    <row r="1236" spans="1:31" x14ac:dyDescent="0.2">
      <c r="A1236" s="1">
        <v>1235</v>
      </c>
      <c r="B1236" s="1">
        <v>2009</v>
      </c>
      <c r="C1236" s="1" t="s">
        <v>31</v>
      </c>
      <c r="D1236" s="1" t="s">
        <v>805</v>
      </c>
      <c r="E1236" s="8" t="s">
        <v>50</v>
      </c>
      <c r="F1236" s="1" t="s">
        <v>83</v>
      </c>
      <c r="I1236" s="12">
        <v>8.85</v>
      </c>
      <c r="J1236" s="7">
        <v>25.3</v>
      </c>
      <c r="K1236" s="1" t="s">
        <v>34</v>
      </c>
      <c r="L1236" s="14">
        <v>3574</v>
      </c>
      <c r="M1236" s="14"/>
      <c r="N1236" s="14">
        <v>31667</v>
      </c>
      <c r="O1236" s="13">
        <v>34.799999999999997</v>
      </c>
      <c r="P1236" s="13">
        <v>9.3699999999999992</v>
      </c>
      <c r="Q1236" s="13">
        <v>36.200000000000003</v>
      </c>
      <c r="R1236" s="13">
        <v>57.7</v>
      </c>
      <c r="S1236" s="8"/>
      <c r="T1236" s="13">
        <v>21.7</v>
      </c>
      <c r="U1236" s="13">
        <v>43.3</v>
      </c>
      <c r="V1236" s="15"/>
      <c r="W1236" s="7" t="s">
        <v>89</v>
      </c>
      <c r="X1236" s="13"/>
      <c r="Y1236" s="13">
        <v>75.5</v>
      </c>
      <c r="Z1236" s="7">
        <v>1.85</v>
      </c>
      <c r="AB1236" s="16"/>
      <c r="AD1236" s="16"/>
      <c r="AE1236" s="1">
        <v>1</v>
      </c>
    </row>
    <row r="1237" spans="1:31" x14ac:dyDescent="0.2">
      <c r="A1237" s="1">
        <v>1236</v>
      </c>
      <c r="B1237" s="1">
        <v>2010</v>
      </c>
      <c r="C1237" s="1" t="s">
        <v>31</v>
      </c>
      <c r="D1237" s="8" t="s">
        <v>37</v>
      </c>
      <c r="E1237" s="8" t="s">
        <v>40</v>
      </c>
      <c r="F1237" s="1" t="s">
        <v>32</v>
      </c>
      <c r="I1237" s="12">
        <v>9.42</v>
      </c>
      <c r="J1237" s="7">
        <v>26.9142857142857</v>
      </c>
      <c r="L1237" s="14">
        <v>3574</v>
      </c>
      <c r="N1237" s="14">
        <v>33735</v>
      </c>
      <c r="O1237" s="13">
        <v>31.7</v>
      </c>
      <c r="P1237" s="13">
        <v>9.6</v>
      </c>
      <c r="Q1237" s="13">
        <v>39.5</v>
      </c>
      <c r="R1237" s="13">
        <v>57.1</v>
      </c>
      <c r="S1237" s="13"/>
      <c r="T1237" s="15"/>
      <c r="U1237" s="13">
        <v>37.700000000000003</v>
      </c>
      <c r="V1237" s="13">
        <v>6.7</v>
      </c>
      <c r="W1237" s="12"/>
      <c r="X1237" s="15"/>
      <c r="Y1237" s="13">
        <v>72.8</v>
      </c>
      <c r="Z1237" s="7">
        <v>2.13</v>
      </c>
      <c r="AB1237" s="16"/>
      <c r="AD1237" s="16"/>
      <c r="AE1237" s="1">
        <v>1</v>
      </c>
    </row>
    <row r="1238" spans="1:31" ht="17" x14ac:dyDescent="0.2">
      <c r="A1238" s="1">
        <v>1237</v>
      </c>
      <c r="B1238" s="1">
        <v>2019</v>
      </c>
      <c r="C1238" s="1" t="s">
        <v>31</v>
      </c>
      <c r="D1238" s="1" t="s">
        <v>916</v>
      </c>
      <c r="E1238" s="9" t="s">
        <v>707</v>
      </c>
      <c r="F1238" s="1" t="s">
        <v>83</v>
      </c>
      <c r="I1238" s="12">
        <v>5.7</v>
      </c>
      <c r="J1238" s="3">
        <v>16.285</v>
      </c>
      <c r="L1238" s="5">
        <v>3576</v>
      </c>
      <c r="N1238" s="5">
        <v>20390.5</v>
      </c>
      <c r="O1238" s="6">
        <v>42.204999999999998</v>
      </c>
      <c r="P1238" s="6">
        <v>9.1325000000000003</v>
      </c>
      <c r="Q1238" s="6">
        <v>29.295000000000002</v>
      </c>
      <c r="R1238" s="6">
        <v>61.042499999999997</v>
      </c>
      <c r="S1238" s="3"/>
      <c r="T1238" s="6">
        <v>16.147500000000001</v>
      </c>
      <c r="U1238" s="6">
        <v>47.74</v>
      </c>
      <c r="V1238" s="6">
        <v>8.1549999999999994</v>
      </c>
      <c r="W1238" s="3">
        <v>0.75522499999999992</v>
      </c>
      <c r="X1238" s="6"/>
      <c r="Y1238" s="6">
        <v>72.712500000000006</v>
      </c>
      <c r="Z1238" s="3">
        <v>1.02</v>
      </c>
      <c r="AB1238" s="16"/>
      <c r="AD1238" s="16"/>
      <c r="AE1238" s="1">
        <v>1</v>
      </c>
    </row>
    <row r="1239" spans="1:31" x14ac:dyDescent="0.2">
      <c r="A1239" s="1">
        <v>1238</v>
      </c>
      <c r="B1239" s="1">
        <v>2008</v>
      </c>
      <c r="C1239" s="1" t="s">
        <v>31</v>
      </c>
      <c r="D1239" s="8" t="s">
        <v>54</v>
      </c>
      <c r="E1239" s="8" t="s">
        <v>55</v>
      </c>
      <c r="F1239" s="8" t="s">
        <v>32</v>
      </c>
      <c r="G1239" s="8"/>
      <c r="H1239" s="8"/>
      <c r="I1239" s="12">
        <v>8.56</v>
      </c>
      <c r="J1239" s="7">
        <v>24.457142857142859</v>
      </c>
      <c r="K1239" s="13"/>
      <c r="L1239" s="14">
        <v>3576</v>
      </c>
      <c r="M1239" s="14"/>
      <c r="N1239" s="14">
        <v>30611</v>
      </c>
      <c r="O1239" s="13">
        <v>28.3</v>
      </c>
      <c r="P1239" s="13">
        <v>8.5</v>
      </c>
      <c r="Q1239" s="13">
        <v>39.4</v>
      </c>
      <c r="R1239" s="13">
        <v>67.2</v>
      </c>
      <c r="S1239" s="13"/>
      <c r="T1239" s="13"/>
      <c r="U1239" s="13">
        <v>33.799999999999997</v>
      </c>
      <c r="V1239" s="13"/>
      <c r="W1239" s="13"/>
      <c r="X1239" s="15"/>
      <c r="Y1239" s="13">
        <v>75.5</v>
      </c>
      <c r="Z1239" s="7">
        <v>2.2599999999999998</v>
      </c>
      <c r="AB1239" s="16"/>
      <c r="AD1239" s="16"/>
      <c r="AE1239" s="1">
        <v>1</v>
      </c>
    </row>
    <row r="1240" spans="1:31" x14ac:dyDescent="0.2">
      <c r="A1240" s="1">
        <v>1239</v>
      </c>
      <c r="B1240" s="1">
        <v>2015</v>
      </c>
      <c r="C1240" s="8" t="s">
        <v>31</v>
      </c>
      <c r="D1240" s="8" t="s">
        <v>402</v>
      </c>
      <c r="E1240" s="8" t="s">
        <v>470</v>
      </c>
      <c r="F1240" s="1" t="s">
        <v>32</v>
      </c>
      <c r="G1240" s="8">
        <v>116</v>
      </c>
      <c r="I1240" s="12">
        <v>8.58</v>
      </c>
      <c r="J1240" s="7">
        <v>24.514285714285716</v>
      </c>
      <c r="K1240" s="1" t="s">
        <v>34</v>
      </c>
      <c r="L1240" s="14">
        <v>3576</v>
      </c>
      <c r="N1240" s="14">
        <v>30644</v>
      </c>
      <c r="O1240" s="13">
        <v>34.5</v>
      </c>
      <c r="P1240" s="13">
        <v>6.7</v>
      </c>
      <c r="Q1240" s="13">
        <v>35.700000000000003</v>
      </c>
      <c r="R1240" s="13">
        <v>52.4</v>
      </c>
      <c r="S1240" s="8"/>
      <c r="T1240" s="13">
        <v>23</v>
      </c>
      <c r="U1240" s="13">
        <v>36.6</v>
      </c>
      <c r="V1240" s="13">
        <v>4.2</v>
      </c>
      <c r="W1240" s="7">
        <v>0.76</v>
      </c>
      <c r="X1240" s="13"/>
      <c r="Y1240" s="13">
        <v>74.5</v>
      </c>
      <c r="Z1240" s="7">
        <v>1.61</v>
      </c>
      <c r="AA1240" s="1" t="s">
        <v>89</v>
      </c>
      <c r="AB1240" s="16" t="s">
        <v>89</v>
      </c>
      <c r="AC1240" s="1" t="s">
        <v>89</v>
      </c>
      <c r="AD1240" s="16" t="s">
        <v>89</v>
      </c>
      <c r="AE1240" s="1">
        <v>1</v>
      </c>
    </row>
    <row r="1241" spans="1:31" x14ac:dyDescent="0.2">
      <c r="A1241" s="1">
        <v>1240</v>
      </c>
      <c r="B1241" s="1">
        <v>2010</v>
      </c>
      <c r="C1241" s="1" t="s">
        <v>31</v>
      </c>
      <c r="D1241" s="8" t="s">
        <v>108</v>
      </c>
      <c r="E1241" s="8" t="s">
        <v>180</v>
      </c>
      <c r="F1241" s="1" t="s">
        <v>32</v>
      </c>
      <c r="I1241" s="12">
        <v>10.220000000000001</v>
      </c>
      <c r="J1241" s="7">
        <v>29.2</v>
      </c>
      <c r="L1241" s="14">
        <v>3576</v>
      </c>
      <c r="N1241" s="14">
        <v>36581</v>
      </c>
      <c r="O1241" s="13">
        <v>32</v>
      </c>
      <c r="P1241" s="13">
        <v>9.4</v>
      </c>
      <c r="Q1241" s="13">
        <v>40.4</v>
      </c>
      <c r="R1241" s="13">
        <v>57.9</v>
      </c>
      <c r="S1241" s="13"/>
      <c r="T1241" s="15"/>
      <c r="U1241" s="13">
        <v>39.1</v>
      </c>
      <c r="V1241" s="13">
        <v>5.5</v>
      </c>
      <c r="W1241" s="12"/>
      <c r="X1241" s="15"/>
      <c r="Y1241" s="13">
        <v>72.400000000000006</v>
      </c>
      <c r="Z1241" s="7">
        <v>2.4</v>
      </c>
      <c r="AB1241" s="16"/>
      <c r="AD1241" s="16"/>
      <c r="AE1241" s="1">
        <v>1</v>
      </c>
    </row>
    <row r="1242" spans="1:31" x14ac:dyDescent="0.2">
      <c r="A1242" s="1">
        <v>1241</v>
      </c>
      <c r="B1242" s="1">
        <v>2016</v>
      </c>
      <c r="C1242" s="1" t="s">
        <v>88</v>
      </c>
      <c r="D1242" s="8" t="s">
        <v>187</v>
      </c>
      <c r="E1242" s="8" t="s">
        <v>562</v>
      </c>
      <c r="F1242" s="1" t="s">
        <v>32</v>
      </c>
      <c r="I1242" s="12">
        <v>7.0750000000000002</v>
      </c>
      <c r="J1242" s="7">
        <v>20.214285714285701</v>
      </c>
      <c r="L1242" s="5">
        <v>3577</v>
      </c>
      <c r="N1242" s="5">
        <v>25343.224999999999</v>
      </c>
      <c r="O1242" s="6">
        <v>26.425000000000001</v>
      </c>
      <c r="P1242" s="6">
        <v>7.19</v>
      </c>
      <c r="Q1242" s="6">
        <v>47.267499999999998</v>
      </c>
      <c r="R1242" s="6">
        <v>56.1</v>
      </c>
      <c r="S1242" s="6"/>
      <c r="T1242" s="6">
        <v>29.18</v>
      </c>
      <c r="U1242" s="6">
        <v>21.745000000000001</v>
      </c>
      <c r="V1242" s="6">
        <v>13.0525</v>
      </c>
      <c r="W1242" s="7">
        <v>0.69</v>
      </c>
      <c r="X1242" s="13"/>
      <c r="Y1242" s="6">
        <v>68.099999999999994</v>
      </c>
      <c r="Z1242" s="3">
        <v>1.8757682899999999</v>
      </c>
      <c r="AA1242" s="13">
        <v>1.5</v>
      </c>
      <c r="AB1242" s="16">
        <f>AA1242*10</f>
        <v>15</v>
      </c>
      <c r="AC1242" s="13">
        <v>0.75</v>
      </c>
      <c r="AD1242" s="16">
        <f>AC1242*10</f>
        <v>7.5</v>
      </c>
      <c r="AE1242" s="1">
        <v>1</v>
      </c>
    </row>
    <row r="1243" spans="1:31" x14ac:dyDescent="0.2">
      <c r="A1243" s="1">
        <v>1242</v>
      </c>
      <c r="B1243" s="1">
        <v>2014</v>
      </c>
      <c r="C1243" s="1" t="s">
        <v>31</v>
      </c>
      <c r="D1243" s="1" t="s">
        <v>291</v>
      </c>
      <c r="E1243" s="1" t="s">
        <v>439</v>
      </c>
      <c r="F1243" s="1" t="s">
        <v>32</v>
      </c>
      <c r="G1243" s="1">
        <v>116</v>
      </c>
      <c r="I1243" s="12">
        <v>9.6199999999999992</v>
      </c>
      <c r="J1243" s="12">
        <v>27.5</v>
      </c>
      <c r="K1243" s="1" t="s">
        <v>34</v>
      </c>
      <c r="L1243" s="16">
        <v>3577</v>
      </c>
      <c r="M1243" s="1" t="s">
        <v>34</v>
      </c>
      <c r="N1243" s="16">
        <v>34316</v>
      </c>
      <c r="O1243" s="15">
        <v>32.200000000000003</v>
      </c>
      <c r="P1243" s="15">
        <v>7.6</v>
      </c>
      <c r="Q1243" s="15">
        <v>40.299999999999997</v>
      </c>
      <c r="R1243" s="15">
        <v>59.9</v>
      </c>
      <c r="T1243" s="15"/>
      <c r="U1243" s="15">
        <v>31.3</v>
      </c>
      <c r="V1243" s="15">
        <v>5.7</v>
      </c>
      <c r="W1243" s="12">
        <v>0.74</v>
      </c>
      <c r="X1243" s="15"/>
      <c r="Y1243" s="15">
        <v>71.400000000000006</v>
      </c>
      <c r="Z1243" s="12">
        <v>2.3199999999999998</v>
      </c>
      <c r="AB1243" s="16"/>
      <c r="AD1243" s="16"/>
      <c r="AE1243" s="1">
        <v>1</v>
      </c>
    </row>
    <row r="1244" spans="1:31" x14ac:dyDescent="0.2">
      <c r="A1244" s="1">
        <v>1243</v>
      </c>
      <c r="B1244" s="1">
        <v>2014</v>
      </c>
      <c r="C1244" s="1" t="s">
        <v>31</v>
      </c>
      <c r="D1244" s="28" t="s">
        <v>914</v>
      </c>
      <c r="E1244" s="1" t="s">
        <v>418</v>
      </c>
      <c r="F1244" s="1" t="s">
        <v>32</v>
      </c>
      <c r="G1244" s="1">
        <v>119</v>
      </c>
      <c r="I1244" s="12">
        <v>9.6300000000000008</v>
      </c>
      <c r="J1244" s="12">
        <v>27.5</v>
      </c>
      <c r="K1244" s="1" t="s">
        <v>34</v>
      </c>
      <c r="L1244" s="16">
        <v>3578</v>
      </c>
      <c r="M1244" s="1" t="s">
        <v>34</v>
      </c>
      <c r="N1244" s="16">
        <v>34467</v>
      </c>
      <c r="O1244" s="15">
        <v>33.4</v>
      </c>
      <c r="P1244" s="15">
        <v>7.7</v>
      </c>
      <c r="Q1244" s="15">
        <v>34.9</v>
      </c>
      <c r="R1244" s="15">
        <v>54.2</v>
      </c>
      <c r="T1244" s="15"/>
      <c r="U1244" s="15">
        <v>38.5</v>
      </c>
      <c r="V1244" s="15">
        <v>5.2</v>
      </c>
      <c r="W1244" s="12">
        <v>0.76</v>
      </c>
      <c r="X1244" s="15"/>
      <c r="Y1244" s="15">
        <v>72.900000000000006</v>
      </c>
      <c r="Z1244" s="12">
        <v>1.82</v>
      </c>
      <c r="AB1244" s="16"/>
      <c r="AD1244" s="16"/>
      <c r="AE1244" s="1">
        <v>1</v>
      </c>
    </row>
    <row r="1245" spans="1:31" x14ac:dyDescent="0.2">
      <c r="A1245" s="1">
        <v>1244</v>
      </c>
      <c r="B1245" s="1">
        <v>2016</v>
      </c>
      <c r="C1245" s="1" t="s">
        <v>31</v>
      </c>
      <c r="D1245" s="8" t="s">
        <v>125</v>
      </c>
      <c r="E1245" s="8" t="s">
        <v>547</v>
      </c>
      <c r="F1245" s="1" t="s">
        <v>32</v>
      </c>
      <c r="G1245" s="8">
        <v>113</v>
      </c>
      <c r="I1245" s="12">
        <v>8.5</v>
      </c>
      <c r="J1245" s="7">
        <v>24.3</v>
      </c>
      <c r="K1245" s="1" t="s">
        <v>34</v>
      </c>
      <c r="L1245" s="14">
        <v>3579</v>
      </c>
      <c r="N1245" s="14">
        <v>30433</v>
      </c>
      <c r="O1245" s="13">
        <v>31</v>
      </c>
      <c r="P1245" s="13">
        <v>8.1999999999999993</v>
      </c>
      <c r="Q1245" s="13">
        <v>39.1</v>
      </c>
      <c r="R1245" s="13">
        <v>54.5</v>
      </c>
      <c r="S1245" s="13"/>
      <c r="T1245" s="13">
        <v>23.2</v>
      </c>
      <c r="U1245" s="13">
        <v>35.299999999999997</v>
      </c>
      <c r="V1245" s="13">
        <v>3.5</v>
      </c>
      <c r="W1245" s="7">
        <v>0.75</v>
      </c>
      <c r="X1245" s="13"/>
      <c r="Y1245" s="13">
        <v>72.8</v>
      </c>
      <c r="Z1245" s="7">
        <v>1.81</v>
      </c>
      <c r="AA1245" s="15" t="s">
        <v>89</v>
      </c>
      <c r="AB1245" s="16"/>
      <c r="AD1245" s="16"/>
      <c r="AE1245" s="1">
        <v>1</v>
      </c>
    </row>
    <row r="1246" spans="1:31" x14ac:dyDescent="0.2">
      <c r="A1246" s="1">
        <v>1245</v>
      </c>
      <c r="B1246" s="1">
        <v>2017</v>
      </c>
      <c r="C1246" s="1" t="s">
        <v>31</v>
      </c>
      <c r="D1246" s="8" t="s">
        <v>402</v>
      </c>
      <c r="E1246" s="8" t="s">
        <v>596</v>
      </c>
      <c r="F1246" s="1" t="s">
        <v>32</v>
      </c>
      <c r="G1246" s="1">
        <v>115</v>
      </c>
      <c r="I1246" s="12">
        <v>8.7323594700000005</v>
      </c>
      <c r="J1246" s="3">
        <v>24.9495985</v>
      </c>
      <c r="K1246" s="1" t="s">
        <v>34</v>
      </c>
      <c r="L1246" s="5">
        <v>3579</v>
      </c>
      <c r="N1246" s="5">
        <v>31299.756399999998</v>
      </c>
      <c r="O1246" s="6">
        <v>30.623818199999999</v>
      </c>
      <c r="P1246" s="6">
        <v>7.0774999999999997</v>
      </c>
      <c r="Q1246" s="6">
        <v>38.19</v>
      </c>
      <c r="R1246" s="6">
        <v>54.012500000000003</v>
      </c>
      <c r="S1246" s="3"/>
      <c r="T1246" s="6">
        <v>23.5825</v>
      </c>
      <c r="U1246" s="6">
        <v>38.33</v>
      </c>
      <c r="V1246" s="6">
        <v>2.8075000000000001</v>
      </c>
      <c r="W1246" s="3">
        <v>0.78481414999999999</v>
      </c>
      <c r="X1246" s="6"/>
      <c r="Y1246" s="6">
        <v>72.510000000000005</v>
      </c>
      <c r="Z1246" s="3">
        <v>1.7954245600000001</v>
      </c>
      <c r="AB1246" s="16"/>
      <c r="AD1246" s="16"/>
      <c r="AE1246" s="1">
        <v>1</v>
      </c>
    </row>
    <row r="1247" spans="1:31" x14ac:dyDescent="0.2">
      <c r="A1247" s="1">
        <v>1246</v>
      </c>
      <c r="B1247" s="1">
        <v>2010</v>
      </c>
      <c r="C1247" s="1" t="s">
        <v>31</v>
      </c>
      <c r="D1247" s="1" t="s">
        <v>916</v>
      </c>
      <c r="E1247" s="8" t="s">
        <v>166</v>
      </c>
      <c r="F1247" s="1" t="s">
        <v>32</v>
      </c>
      <c r="I1247" s="12">
        <v>9.75</v>
      </c>
      <c r="J1247" s="7">
        <v>27.8571428571429</v>
      </c>
      <c r="L1247" s="14">
        <v>3579</v>
      </c>
      <c r="N1247" s="14">
        <v>34872</v>
      </c>
      <c r="O1247" s="13">
        <v>28.4</v>
      </c>
      <c r="P1247" s="13">
        <v>8.9</v>
      </c>
      <c r="Q1247" s="13">
        <v>41.6</v>
      </c>
      <c r="R1247" s="13">
        <v>56.9</v>
      </c>
      <c r="S1247" s="13"/>
      <c r="T1247" s="15"/>
      <c r="U1247" s="13">
        <v>36.6</v>
      </c>
      <c r="V1247" s="13">
        <v>5.4</v>
      </c>
      <c r="W1247" s="12"/>
      <c r="X1247" s="15"/>
      <c r="Y1247" s="13">
        <v>72.5</v>
      </c>
      <c r="Z1247" s="7">
        <v>2.31</v>
      </c>
      <c r="AB1247" s="16"/>
      <c r="AD1247" s="16"/>
      <c r="AE1247" s="1">
        <v>1</v>
      </c>
    </row>
    <row r="1248" spans="1:31" x14ac:dyDescent="0.2">
      <c r="A1248" s="1">
        <v>1247</v>
      </c>
      <c r="B1248" s="1">
        <v>2021</v>
      </c>
      <c r="C1248" s="1" t="s">
        <v>31</v>
      </c>
      <c r="D1248" s="1" t="s">
        <v>815</v>
      </c>
      <c r="E1248" s="1" t="s">
        <v>817</v>
      </c>
      <c r="F1248" s="1" t="s">
        <v>32</v>
      </c>
      <c r="G1248" s="1">
        <v>113</v>
      </c>
      <c r="H1248" s="1" t="s">
        <v>89</v>
      </c>
      <c r="I1248" s="12">
        <v>7.5111244981440004</v>
      </c>
      <c r="J1248" s="12">
        <v>21.460355709000002</v>
      </c>
      <c r="K1248" s="1" t="s">
        <v>34</v>
      </c>
      <c r="L1248" s="16">
        <v>3580.2376543119999</v>
      </c>
      <c r="M1248" s="16" t="s">
        <v>89</v>
      </c>
      <c r="N1248" s="16">
        <v>26825.071568314001</v>
      </c>
      <c r="O1248" s="15">
        <v>35.778803599999996</v>
      </c>
      <c r="P1248" s="15">
        <v>7.7125049900000002</v>
      </c>
      <c r="Q1248" s="15">
        <v>36.192371195</v>
      </c>
      <c r="R1248" s="15">
        <v>65.972874241</v>
      </c>
      <c r="T1248" s="15">
        <v>20.073704589999998</v>
      </c>
      <c r="U1248" s="15">
        <v>40.925722489999998</v>
      </c>
      <c r="V1248" s="15">
        <v>6.6970181609999999</v>
      </c>
      <c r="W1248" s="12">
        <v>0.73491634698999997</v>
      </c>
      <c r="X1248" s="15"/>
      <c r="Y1248" s="15">
        <v>75.838772383000006</v>
      </c>
      <c r="Z1248" s="12"/>
      <c r="AA1248" s="15">
        <v>0.399373851</v>
      </c>
      <c r="AB1248" s="16">
        <f>AA1248*33.334</f>
        <v>13.312727949234</v>
      </c>
      <c r="AD1248" s="16"/>
      <c r="AE1248" s="1">
        <v>1</v>
      </c>
    </row>
    <row r="1249" spans="1:31" x14ac:dyDescent="0.2">
      <c r="A1249" s="1">
        <v>1248</v>
      </c>
      <c r="B1249" s="1">
        <v>2009</v>
      </c>
      <c r="C1249" s="1" t="s">
        <v>31</v>
      </c>
      <c r="D1249" s="1" t="s">
        <v>916</v>
      </c>
      <c r="E1249" s="8">
        <v>1777</v>
      </c>
      <c r="F1249" s="1" t="s">
        <v>32</v>
      </c>
      <c r="I1249" s="12">
        <v>7.47</v>
      </c>
      <c r="J1249" s="7">
        <v>21.342857142857099</v>
      </c>
      <c r="L1249" s="14">
        <v>3583</v>
      </c>
      <c r="N1249" s="14">
        <v>26767</v>
      </c>
      <c r="O1249" s="13">
        <v>29.1</v>
      </c>
      <c r="P1249" s="13">
        <v>9.8000000000000007</v>
      </c>
      <c r="Q1249" s="13">
        <v>40.4</v>
      </c>
      <c r="R1249" s="13">
        <v>57.6</v>
      </c>
      <c r="S1249" s="13"/>
      <c r="T1249" s="15" t="s">
        <v>89</v>
      </c>
      <c r="U1249" s="13">
        <v>36.9</v>
      </c>
      <c r="V1249" s="13">
        <v>7.1</v>
      </c>
      <c r="W1249" s="12" t="s">
        <v>89</v>
      </c>
      <c r="X1249" s="15"/>
      <c r="Y1249" s="13">
        <v>75.099999999999994</v>
      </c>
      <c r="Z1249" s="7">
        <v>1.74</v>
      </c>
      <c r="AB1249" s="16"/>
      <c r="AD1249" s="16"/>
      <c r="AE1249" s="1">
        <v>1</v>
      </c>
    </row>
    <row r="1250" spans="1:31" x14ac:dyDescent="0.2">
      <c r="A1250" s="1">
        <v>1249</v>
      </c>
      <c r="B1250" s="1">
        <v>2015</v>
      </c>
      <c r="C1250" s="8" t="s">
        <v>31</v>
      </c>
      <c r="D1250" s="8" t="s">
        <v>125</v>
      </c>
      <c r="E1250" s="8" t="s">
        <v>488</v>
      </c>
      <c r="F1250" s="1" t="s">
        <v>32</v>
      </c>
      <c r="G1250" s="8">
        <v>114</v>
      </c>
      <c r="I1250" s="12">
        <v>8.2100000000000009</v>
      </c>
      <c r="J1250" s="7">
        <v>23.457142857142863</v>
      </c>
      <c r="K1250" s="1" t="s">
        <v>34</v>
      </c>
      <c r="L1250" s="14">
        <v>3583</v>
      </c>
      <c r="N1250" s="14">
        <v>29408</v>
      </c>
      <c r="O1250" s="13">
        <v>35</v>
      </c>
      <c r="P1250" s="13">
        <v>6.9</v>
      </c>
      <c r="Q1250" s="13">
        <v>34.799999999999997</v>
      </c>
      <c r="R1250" s="13">
        <v>53.1</v>
      </c>
      <c r="S1250" s="8"/>
      <c r="T1250" s="13">
        <v>22.3</v>
      </c>
      <c r="U1250" s="13">
        <v>39.4</v>
      </c>
      <c r="V1250" s="13">
        <v>3.6</v>
      </c>
      <c r="W1250" s="7">
        <v>0.77</v>
      </c>
      <c r="X1250" s="13"/>
      <c r="Y1250" s="13">
        <v>74.599999999999994</v>
      </c>
      <c r="Z1250" s="7">
        <v>1.52</v>
      </c>
      <c r="AA1250" s="1" t="s">
        <v>89</v>
      </c>
      <c r="AB1250" s="16" t="s">
        <v>89</v>
      </c>
      <c r="AC1250" s="1" t="s">
        <v>89</v>
      </c>
      <c r="AD1250" s="16" t="s">
        <v>89</v>
      </c>
      <c r="AE1250" s="1">
        <v>1</v>
      </c>
    </row>
    <row r="1251" spans="1:31" x14ac:dyDescent="0.2">
      <c r="A1251" s="1">
        <v>1250</v>
      </c>
      <c r="B1251" s="1">
        <v>2010</v>
      </c>
      <c r="C1251" s="1" t="s">
        <v>31</v>
      </c>
      <c r="D1251" s="8" t="s">
        <v>125</v>
      </c>
      <c r="E1251" s="8" t="s">
        <v>175</v>
      </c>
      <c r="F1251" s="1" t="s">
        <v>32</v>
      </c>
      <c r="I1251" s="12">
        <v>8.4700000000000006</v>
      </c>
      <c r="J1251" s="7">
        <v>24.2</v>
      </c>
      <c r="L1251" s="14">
        <v>3583</v>
      </c>
      <c r="N1251" s="14">
        <v>30327</v>
      </c>
      <c r="O1251" s="13">
        <v>28.2</v>
      </c>
      <c r="P1251" s="13">
        <v>9.6</v>
      </c>
      <c r="Q1251" s="13">
        <v>41.3</v>
      </c>
      <c r="R1251" s="13">
        <v>57.7</v>
      </c>
      <c r="S1251" s="13"/>
      <c r="T1251" s="15"/>
      <c r="U1251" s="13">
        <v>37.200000000000003</v>
      </c>
      <c r="V1251" s="13">
        <v>5.0999999999999996</v>
      </c>
      <c r="W1251" s="12"/>
      <c r="X1251" s="15"/>
      <c r="Y1251" s="13">
        <v>73</v>
      </c>
      <c r="Z1251" s="7">
        <v>2.02</v>
      </c>
      <c r="AB1251" s="16"/>
      <c r="AD1251" s="16"/>
      <c r="AE1251" s="1">
        <v>1</v>
      </c>
    </row>
    <row r="1252" spans="1:31" x14ac:dyDescent="0.2">
      <c r="A1252" s="1">
        <v>1251</v>
      </c>
      <c r="B1252" s="1">
        <v>2010</v>
      </c>
      <c r="C1252" s="1" t="s">
        <v>31</v>
      </c>
      <c r="D1252" s="8" t="s">
        <v>125</v>
      </c>
      <c r="E1252" s="8" t="s">
        <v>172</v>
      </c>
      <c r="F1252" s="1" t="s">
        <v>32</v>
      </c>
      <c r="I1252" s="12">
        <v>9.67</v>
      </c>
      <c r="J1252" s="7">
        <v>27.628571428571401</v>
      </c>
      <c r="L1252" s="14">
        <v>3583</v>
      </c>
      <c r="N1252" s="14">
        <v>34686</v>
      </c>
      <c r="O1252" s="13">
        <v>29.8</v>
      </c>
      <c r="P1252" s="13">
        <v>9.3000000000000007</v>
      </c>
      <c r="Q1252" s="13">
        <v>39.200000000000003</v>
      </c>
      <c r="R1252" s="13">
        <v>57.3</v>
      </c>
      <c r="S1252" s="13"/>
      <c r="T1252" s="15"/>
      <c r="U1252" s="13">
        <v>40.6</v>
      </c>
      <c r="V1252" s="13">
        <v>4.9000000000000004</v>
      </c>
      <c r="W1252" s="12"/>
      <c r="X1252" s="15"/>
      <c r="Y1252" s="13">
        <v>73.2</v>
      </c>
      <c r="Z1252" s="7">
        <v>2.17</v>
      </c>
      <c r="AB1252" s="16"/>
      <c r="AD1252" s="16"/>
      <c r="AE1252" s="1">
        <v>1</v>
      </c>
    </row>
    <row r="1253" spans="1:31" x14ac:dyDescent="0.2">
      <c r="A1253" s="1">
        <v>1252</v>
      </c>
      <c r="B1253" s="1">
        <v>2017</v>
      </c>
      <c r="C1253" s="1" t="s">
        <v>88</v>
      </c>
      <c r="D1253" s="1" t="s">
        <v>1023</v>
      </c>
      <c r="E1253" s="1" t="s">
        <v>635</v>
      </c>
      <c r="F1253" s="1" t="s">
        <v>32</v>
      </c>
      <c r="I1253" s="12">
        <v>3.9865050599999998</v>
      </c>
      <c r="J1253" s="3">
        <v>11.390014499999999</v>
      </c>
      <c r="K1253" s="1" t="s">
        <v>34</v>
      </c>
      <c r="L1253" s="5">
        <v>3585</v>
      </c>
      <c r="N1253" s="5">
        <v>14268.1751</v>
      </c>
      <c r="O1253" s="6">
        <v>29.346774799999999</v>
      </c>
      <c r="P1253" s="6">
        <v>6.2</v>
      </c>
      <c r="Q1253" s="6">
        <v>43.892499999999998</v>
      </c>
      <c r="R1253" s="15">
        <v>51.185000000000002</v>
      </c>
      <c r="S1253" s="15">
        <v>16.899999999999999</v>
      </c>
      <c r="U1253" s="6">
        <v>29.9</v>
      </c>
      <c r="V1253" s="6">
        <v>7.5</v>
      </c>
      <c r="W1253" s="3">
        <v>0.69200000000000006</v>
      </c>
      <c r="X1253" s="6"/>
      <c r="Y1253" s="15">
        <v>67.599999999999994</v>
      </c>
      <c r="Z1253" s="3">
        <v>0.91172463000000004</v>
      </c>
      <c r="AB1253" s="16"/>
      <c r="AD1253" s="16"/>
      <c r="AE1253" s="1">
        <v>1</v>
      </c>
    </row>
    <row r="1254" spans="1:31" x14ac:dyDescent="0.2">
      <c r="A1254" s="1">
        <v>1253</v>
      </c>
      <c r="B1254" s="1">
        <v>2009</v>
      </c>
      <c r="C1254" s="1" t="s">
        <v>31</v>
      </c>
      <c r="D1254" s="8" t="s">
        <v>125</v>
      </c>
      <c r="E1254" s="8" t="s">
        <v>126</v>
      </c>
      <c r="F1254" s="1" t="s">
        <v>32</v>
      </c>
      <c r="I1254" s="12">
        <v>7.77</v>
      </c>
      <c r="J1254" s="7">
        <v>22.2</v>
      </c>
      <c r="L1254" s="14">
        <v>3585</v>
      </c>
      <c r="N1254" s="14">
        <v>27847</v>
      </c>
      <c r="O1254" s="13">
        <v>28.1</v>
      </c>
      <c r="P1254" s="13">
        <v>9.4</v>
      </c>
      <c r="Q1254" s="13">
        <v>40.6</v>
      </c>
      <c r="R1254" s="13">
        <v>57.7</v>
      </c>
      <c r="S1254" s="13"/>
      <c r="T1254" s="15" t="s">
        <v>89</v>
      </c>
      <c r="U1254" s="13">
        <v>37.299999999999997</v>
      </c>
      <c r="V1254" s="13">
        <v>7.1</v>
      </c>
      <c r="W1254" s="12" t="s">
        <v>89</v>
      </c>
      <c r="X1254" s="15"/>
      <c r="Y1254" s="13">
        <v>75.099999999999994</v>
      </c>
      <c r="Z1254" s="7">
        <v>1.82</v>
      </c>
      <c r="AB1254" s="16"/>
      <c r="AD1254" s="16"/>
      <c r="AE1254" s="1">
        <v>1</v>
      </c>
    </row>
    <row r="1255" spans="1:31" x14ac:dyDescent="0.2">
      <c r="A1255" s="1">
        <v>1254</v>
      </c>
      <c r="B1255" s="1">
        <v>2010</v>
      </c>
      <c r="C1255" s="1" t="s">
        <v>31</v>
      </c>
      <c r="D1255" s="28" t="s">
        <v>914</v>
      </c>
      <c r="E1255" s="8" t="s">
        <v>155</v>
      </c>
      <c r="F1255" s="1" t="s">
        <v>32</v>
      </c>
      <c r="I1255" s="12">
        <v>6.17</v>
      </c>
      <c r="J1255" s="7">
        <v>17.628571428571401</v>
      </c>
      <c r="L1255" s="14">
        <v>3587</v>
      </c>
      <c r="N1255" s="14">
        <v>22250</v>
      </c>
      <c r="O1255" s="13">
        <v>30.5</v>
      </c>
      <c r="P1255" s="13">
        <v>9.6</v>
      </c>
      <c r="Q1255" s="13">
        <v>38.799999999999997</v>
      </c>
      <c r="R1255" s="13">
        <v>57.2</v>
      </c>
      <c r="S1255" s="13"/>
      <c r="T1255" s="15"/>
      <c r="U1255" s="13">
        <v>39.9</v>
      </c>
      <c r="V1255" s="13">
        <v>5.4</v>
      </c>
      <c r="W1255" s="12"/>
      <c r="X1255" s="15"/>
      <c r="Y1255" s="13">
        <v>72.900000000000006</v>
      </c>
      <c r="Z1255" s="7">
        <v>1.36</v>
      </c>
      <c r="AB1255" s="16"/>
      <c r="AD1255" s="16"/>
      <c r="AE1255" s="1">
        <v>1</v>
      </c>
    </row>
    <row r="1256" spans="1:31" ht="17" x14ac:dyDescent="0.2">
      <c r="A1256" s="1">
        <v>1255</v>
      </c>
      <c r="B1256" s="1">
        <v>2019</v>
      </c>
      <c r="C1256" s="1" t="s">
        <v>31</v>
      </c>
      <c r="D1256" s="9" t="s">
        <v>555</v>
      </c>
      <c r="E1256" s="9" t="s">
        <v>708</v>
      </c>
      <c r="F1256" s="1" t="s">
        <v>83</v>
      </c>
      <c r="G1256" s="1">
        <v>117</v>
      </c>
      <c r="I1256" s="12">
        <v>6.2750000000000004</v>
      </c>
      <c r="J1256" s="3">
        <v>17.927499999999998</v>
      </c>
      <c r="L1256" s="5">
        <v>3587</v>
      </c>
      <c r="N1256" s="5">
        <v>22527.525000000001</v>
      </c>
      <c r="O1256" s="6">
        <v>35.832500000000003</v>
      </c>
      <c r="P1256" s="6">
        <v>9.35</v>
      </c>
      <c r="Q1256" s="6">
        <v>32.877499999999998</v>
      </c>
      <c r="R1256" s="6">
        <v>62.467500000000001</v>
      </c>
      <c r="S1256" s="3"/>
      <c r="T1256" s="6">
        <v>17.829999999999998</v>
      </c>
      <c r="U1256" s="6">
        <v>43.3</v>
      </c>
      <c r="V1256" s="6">
        <v>7.4749999999999996</v>
      </c>
      <c r="W1256" s="3">
        <v>0.74117500000000003</v>
      </c>
      <c r="X1256" s="6"/>
      <c r="Y1256" s="6">
        <v>71.452500000000001</v>
      </c>
      <c r="Z1256" s="3">
        <v>1.2825</v>
      </c>
      <c r="AB1256" s="16"/>
      <c r="AD1256" s="16"/>
      <c r="AE1256" s="1">
        <v>1</v>
      </c>
    </row>
    <row r="1257" spans="1:31" x14ac:dyDescent="0.2">
      <c r="A1257" s="1">
        <v>1256</v>
      </c>
      <c r="B1257" s="1">
        <v>2015</v>
      </c>
      <c r="C1257" s="8" t="s">
        <v>31</v>
      </c>
      <c r="D1257" s="1" t="s">
        <v>805</v>
      </c>
      <c r="E1257" s="8" t="s">
        <v>483</v>
      </c>
      <c r="F1257" s="1" t="s">
        <v>32</v>
      </c>
      <c r="G1257" s="8">
        <v>117</v>
      </c>
      <c r="I1257" s="12">
        <v>7.62</v>
      </c>
      <c r="J1257" s="7">
        <v>21.771428571428572</v>
      </c>
      <c r="K1257" s="1" t="s">
        <v>34</v>
      </c>
      <c r="L1257" s="14">
        <v>3587</v>
      </c>
      <c r="N1257" s="14">
        <v>27418</v>
      </c>
      <c r="O1257" s="13">
        <v>31.7</v>
      </c>
      <c r="P1257" s="13">
        <v>7</v>
      </c>
      <c r="Q1257" s="13">
        <v>36.1</v>
      </c>
      <c r="R1257" s="13">
        <v>49.8</v>
      </c>
      <c r="S1257" s="8"/>
      <c r="T1257" s="13">
        <v>24.7</v>
      </c>
      <c r="U1257" s="13">
        <v>37.799999999999997</v>
      </c>
      <c r="V1257" s="13">
        <v>3.1</v>
      </c>
      <c r="W1257" s="7">
        <v>0.75</v>
      </c>
      <c r="X1257" s="13"/>
      <c r="Y1257" s="13">
        <v>74.3</v>
      </c>
      <c r="Z1257" s="7">
        <v>1.36</v>
      </c>
      <c r="AA1257" s="1" t="s">
        <v>89</v>
      </c>
      <c r="AB1257" s="16" t="s">
        <v>89</v>
      </c>
      <c r="AC1257" s="1" t="s">
        <v>89</v>
      </c>
      <c r="AD1257" s="16" t="s">
        <v>89</v>
      </c>
      <c r="AE1257" s="1">
        <v>1</v>
      </c>
    </row>
    <row r="1258" spans="1:31" ht="17" x14ac:dyDescent="0.2">
      <c r="A1258" s="1">
        <v>1257</v>
      </c>
      <c r="B1258" s="1">
        <v>2019</v>
      </c>
      <c r="C1258" s="1" t="s">
        <v>31</v>
      </c>
      <c r="D1258" s="9" t="s">
        <v>719</v>
      </c>
      <c r="E1258" s="9" t="s">
        <v>720</v>
      </c>
      <c r="F1258" s="1" t="s">
        <v>83</v>
      </c>
      <c r="I1258" s="12">
        <v>5.9749999999999996</v>
      </c>
      <c r="J1258" s="3">
        <v>17.07</v>
      </c>
      <c r="L1258" s="5">
        <v>3588.75</v>
      </c>
      <c r="N1258" s="5">
        <v>21464.075000000001</v>
      </c>
      <c r="O1258" s="6">
        <v>36.112499999999997</v>
      </c>
      <c r="P1258" s="6">
        <v>9.25</v>
      </c>
      <c r="Q1258" s="6">
        <v>35.744999999999997</v>
      </c>
      <c r="R1258" s="6">
        <v>59.13</v>
      </c>
      <c r="S1258" s="3"/>
      <c r="T1258" s="6">
        <v>20.092500000000001</v>
      </c>
      <c r="U1258" s="6">
        <v>40.25</v>
      </c>
      <c r="V1258" s="6">
        <v>7.9024999999999999</v>
      </c>
      <c r="W1258" s="3">
        <v>0.74267499999999997</v>
      </c>
      <c r="X1258" s="6"/>
      <c r="Y1258" s="6">
        <v>71.587500000000006</v>
      </c>
      <c r="Z1258" s="3">
        <v>1.2549999999999999</v>
      </c>
      <c r="AB1258" s="16"/>
      <c r="AD1258" s="16"/>
      <c r="AE1258" s="1">
        <v>1</v>
      </c>
    </row>
    <row r="1259" spans="1:31" x14ac:dyDescent="0.2">
      <c r="A1259" s="1">
        <v>1258</v>
      </c>
      <c r="B1259" s="1">
        <v>2016</v>
      </c>
      <c r="C1259" s="1" t="s">
        <v>31</v>
      </c>
      <c r="D1259" s="8" t="s">
        <v>125</v>
      </c>
      <c r="E1259" s="8" t="s">
        <v>545</v>
      </c>
      <c r="F1259" s="1" t="s">
        <v>32</v>
      </c>
      <c r="G1259" s="8">
        <v>114</v>
      </c>
      <c r="I1259" s="12">
        <v>8.9700000000000006</v>
      </c>
      <c r="J1259" s="7">
        <v>25.628571428571401</v>
      </c>
      <c r="K1259" s="1" t="s">
        <v>34</v>
      </c>
      <c r="L1259" s="14">
        <v>3589</v>
      </c>
      <c r="M1259" s="1" t="s">
        <v>34</v>
      </c>
      <c r="N1259" s="14">
        <v>32364</v>
      </c>
      <c r="O1259" s="13">
        <v>33.799999999999997</v>
      </c>
      <c r="P1259" s="13">
        <v>7.5</v>
      </c>
      <c r="Q1259" s="13">
        <v>38.1</v>
      </c>
      <c r="R1259" s="13">
        <v>57.5</v>
      </c>
      <c r="S1259" s="13"/>
      <c r="T1259" s="13">
        <v>22.3</v>
      </c>
      <c r="U1259" s="13">
        <v>37.6</v>
      </c>
      <c r="V1259" s="13">
        <v>3.4</v>
      </c>
      <c r="W1259" s="7">
        <v>0.76</v>
      </c>
      <c r="X1259" s="13"/>
      <c r="Y1259" s="13">
        <v>73.599999999999994</v>
      </c>
      <c r="Z1259" s="7">
        <v>1.93</v>
      </c>
      <c r="AA1259" s="15" t="s">
        <v>89</v>
      </c>
      <c r="AB1259" s="16"/>
      <c r="AD1259" s="16"/>
      <c r="AE1259" s="1">
        <v>1</v>
      </c>
    </row>
    <row r="1260" spans="1:31" x14ac:dyDescent="0.2">
      <c r="A1260" s="1">
        <v>1259</v>
      </c>
      <c r="B1260" s="1">
        <v>2015</v>
      </c>
      <c r="C1260" s="8" t="s">
        <v>31</v>
      </c>
      <c r="D1260" s="8" t="s">
        <v>874</v>
      </c>
      <c r="E1260" s="8" t="s">
        <v>480</v>
      </c>
      <c r="F1260" s="1" t="s">
        <v>32</v>
      </c>
      <c r="G1260" s="8">
        <v>118</v>
      </c>
      <c r="I1260" s="12">
        <v>9.0299999999999994</v>
      </c>
      <c r="J1260" s="7">
        <v>25.8</v>
      </c>
      <c r="K1260" s="1" t="s">
        <v>34</v>
      </c>
      <c r="L1260" s="14">
        <v>3589</v>
      </c>
      <c r="N1260" s="14">
        <v>32427</v>
      </c>
      <c r="O1260" s="13">
        <v>32.200000000000003</v>
      </c>
      <c r="P1260" s="13">
        <v>6.9</v>
      </c>
      <c r="Q1260" s="13">
        <v>38.1</v>
      </c>
      <c r="R1260" s="13">
        <v>52.3</v>
      </c>
      <c r="S1260" s="8"/>
      <c r="T1260" s="13">
        <v>26</v>
      </c>
      <c r="U1260" s="13">
        <v>35.5</v>
      </c>
      <c r="V1260" s="13">
        <v>3.3</v>
      </c>
      <c r="W1260" s="7">
        <v>0.75</v>
      </c>
      <c r="X1260" s="13"/>
      <c r="Y1260" s="13">
        <v>74.599999999999994</v>
      </c>
      <c r="Z1260" s="7">
        <v>1.8</v>
      </c>
      <c r="AA1260" s="1" t="s">
        <v>89</v>
      </c>
      <c r="AB1260" s="16" t="s">
        <v>89</v>
      </c>
      <c r="AC1260" s="1" t="s">
        <v>89</v>
      </c>
      <c r="AD1260" s="16" t="s">
        <v>89</v>
      </c>
      <c r="AE1260" s="1">
        <v>1</v>
      </c>
    </row>
    <row r="1261" spans="1:31" x14ac:dyDescent="0.2">
      <c r="A1261" s="1">
        <v>1260</v>
      </c>
      <c r="B1261" s="1">
        <v>2021</v>
      </c>
      <c r="C1261" s="1" t="s">
        <v>31</v>
      </c>
      <c r="D1261" s="1" t="s">
        <v>815</v>
      </c>
      <c r="E1261" s="1" t="s">
        <v>816</v>
      </c>
      <c r="F1261" s="1" t="s">
        <v>32</v>
      </c>
      <c r="G1261" s="1">
        <v>111</v>
      </c>
      <c r="H1261" s="1" t="s">
        <v>89</v>
      </c>
      <c r="I1261" s="12">
        <v>7.7964320009510004</v>
      </c>
      <c r="J1261" s="12">
        <v>22.275520003</v>
      </c>
      <c r="K1261" s="1" t="s">
        <v>34</v>
      </c>
      <c r="L1261" s="16">
        <v>3589.8962619980002</v>
      </c>
      <c r="M1261" s="16" t="s">
        <v>89</v>
      </c>
      <c r="N1261" s="16">
        <v>27912.154011595001</v>
      </c>
      <c r="O1261" s="15">
        <v>37.592295799999995</v>
      </c>
      <c r="P1261" s="15">
        <v>7.6003476729999999</v>
      </c>
      <c r="Q1261" s="15">
        <v>35.618218313</v>
      </c>
      <c r="R1261" s="15">
        <v>65.256169737999997</v>
      </c>
      <c r="T1261" s="15">
        <v>19.722510755999998</v>
      </c>
      <c r="U1261" s="15">
        <v>43.125409869999999</v>
      </c>
      <c r="V1261" s="15">
        <v>6.2325526599999996</v>
      </c>
      <c r="W1261" s="12">
        <v>0.73701973869000004</v>
      </c>
      <c r="X1261" s="15"/>
      <c r="Y1261" s="15">
        <v>75.859074312999994</v>
      </c>
      <c r="Z1261" s="12"/>
      <c r="AA1261" s="15">
        <v>1.210780644</v>
      </c>
      <c r="AB1261" s="16">
        <f>AA1261*33.334</f>
        <v>40.360161987095999</v>
      </c>
      <c r="AD1261" s="16"/>
      <c r="AE1261" s="1">
        <v>1</v>
      </c>
    </row>
    <row r="1262" spans="1:31" x14ac:dyDescent="0.2">
      <c r="A1262" s="1">
        <v>1261</v>
      </c>
      <c r="B1262" s="1">
        <v>2014</v>
      </c>
      <c r="C1262" s="1" t="s">
        <v>88</v>
      </c>
      <c r="D1262" s="8" t="s">
        <v>1023</v>
      </c>
      <c r="E1262" s="8" t="s">
        <v>387</v>
      </c>
      <c r="F1262" s="8" t="s">
        <v>83</v>
      </c>
      <c r="G1262" s="8"/>
      <c r="H1262" s="8"/>
      <c r="I1262" s="12">
        <v>7.02</v>
      </c>
      <c r="J1262" s="7">
        <v>20.0571428571429</v>
      </c>
      <c r="K1262" s="13" t="s">
        <v>34</v>
      </c>
      <c r="L1262" s="14">
        <v>3591</v>
      </c>
      <c r="M1262" s="14"/>
      <c r="N1262" s="14">
        <v>25204</v>
      </c>
      <c r="O1262" s="13">
        <v>30.6</v>
      </c>
      <c r="P1262" s="13">
        <v>9.3000000000000007</v>
      </c>
      <c r="Q1262" s="13">
        <v>44.7</v>
      </c>
      <c r="R1262" s="13">
        <v>57.2</v>
      </c>
      <c r="S1262" s="13"/>
      <c r="T1262" s="13"/>
      <c r="U1262" s="13">
        <v>27.9</v>
      </c>
      <c r="V1262" s="13">
        <v>2.6</v>
      </c>
      <c r="W1262" s="7">
        <v>0.68</v>
      </c>
      <c r="X1262" s="15"/>
      <c r="Y1262" s="13">
        <v>65.7</v>
      </c>
      <c r="Z1262" s="7">
        <v>1.79</v>
      </c>
      <c r="AA1262" s="13">
        <v>1</v>
      </c>
      <c r="AB1262" s="16">
        <f>AA1262*10</f>
        <v>10</v>
      </c>
      <c r="AC1262" s="8">
        <v>4.5</v>
      </c>
      <c r="AD1262" s="16">
        <f>AC1262*10</f>
        <v>45</v>
      </c>
      <c r="AE1262" s="1">
        <v>1</v>
      </c>
    </row>
    <row r="1263" spans="1:31" x14ac:dyDescent="0.2">
      <c r="A1263" s="1">
        <v>1262</v>
      </c>
      <c r="B1263" s="1">
        <v>2014</v>
      </c>
      <c r="C1263" s="1" t="s">
        <v>88</v>
      </c>
      <c r="D1263" s="8" t="s">
        <v>1023</v>
      </c>
      <c r="E1263" s="8" t="s">
        <v>337</v>
      </c>
      <c r="F1263" s="8" t="s">
        <v>83</v>
      </c>
      <c r="G1263" s="8"/>
      <c r="H1263" s="8"/>
      <c r="I1263" s="12">
        <v>7.97</v>
      </c>
      <c r="J1263" s="7">
        <v>22.771428571428601</v>
      </c>
      <c r="K1263" s="13" t="s">
        <v>34</v>
      </c>
      <c r="L1263" s="14">
        <v>3591</v>
      </c>
      <c r="M1263" s="8"/>
      <c r="N1263" s="14">
        <v>28578</v>
      </c>
      <c r="O1263" s="13">
        <v>33.4</v>
      </c>
      <c r="P1263" s="13">
        <v>8.9</v>
      </c>
      <c r="Q1263" s="13">
        <v>42.1</v>
      </c>
      <c r="R1263" s="13">
        <v>55.2</v>
      </c>
      <c r="S1263" s="13"/>
      <c r="T1263" s="13"/>
      <c r="U1263" s="13">
        <v>29.6</v>
      </c>
      <c r="V1263" s="13">
        <v>2.7</v>
      </c>
      <c r="W1263" s="7">
        <v>0.68</v>
      </c>
      <c r="X1263" s="15"/>
      <c r="Y1263" s="13">
        <v>65.900000000000006</v>
      </c>
      <c r="Z1263" s="7">
        <v>1.86</v>
      </c>
      <c r="AA1263" s="13">
        <v>4.2</v>
      </c>
      <c r="AB1263" s="16">
        <f>AA1263*10</f>
        <v>42</v>
      </c>
      <c r="AC1263" s="8">
        <v>6.5</v>
      </c>
      <c r="AD1263" s="16">
        <f>AC1263*10</f>
        <v>65</v>
      </c>
      <c r="AE1263" s="1">
        <v>1</v>
      </c>
    </row>
    <row r="1264" spans="1:31" x14ac:dyDescent="0.2">
      <c r="A1264" s="1">
        <v>1263</v>
      </c>
      <c r="B1264" s="1">
        <v>2021</v>
      </c>
      <c r="C1264" s="1" t="s">
        <v>31</v>
      </c>
      <c r="D1264" s="8" t="s">
        <v>874</v>
      </c>
      <c r="E1264" s="1" t="s">
        <v>598</v>
      </c>
      <c r="F1264" s="1" t="s">
        <v>32</v>
      </c>
      <c r="G1264" s="1">
        <v>116</v>
      </c>
      <c r="H1264" s="1" t="s">
        <v>89</v>
      </c>
      <c r="I1264" s="12">
        <v>9.2148931211500003</v>
      </c>
      <c r="J1264" s="12">
        <v>26.328266060000001</v>
      </c>
      <c r="K1264" s="1" t="s">
        <v>34</v>
      </c>
      <c r="L1264" s="16">
        <v>3591.3048696840001</v>
      </c>
      <c r="M1264" s="16" t="s">
        <v>34</v>
      </c>
      <c r="N1264" s="16">
        <v>33188.893756468999</v>
      </c>
      <c r="O1264" s="15">
        <v>37.514692199999999</v>
      </c>
      <c r="P1264" s="15">
        <v>7.5231903569999998</v>
      </c>
      <c r="Q1264" s="15">
        <v>32.409065431000002</v>
      </c>
      <c r="R1264" s="15">
        <v>60.541965236000003</v>
      </c>
      <c r="T1264" s="15">
        <v>17.596316922</v>
      </c>
      <c r="U1264" s="15">
        <v>48.165097248999999</v>
      </c>
      <c r="V1264" s="15">
        <v>5.9905871580000003</v>
      </c>
      <c r="W1264" s="12">
        <v>0.74177313038999992</v>
      </c>
      <c r="X1264" s="15"/>
      <c r="Y1264" s="15">
        <v>75.299376242999998</v>
      </c>
      <c r="Z1264" s="12"/>
      <c r="AA1264" s="15">
        <v>0.147187436</v>
      </c>
      <c r="AB1264" s="16">
        <f>AA1264*33.334</f>
        <v>4.9063459916240006</v>
      </c>
      <c r="AD1264" s="16"/>
      <c r="AE1264" s="1">
        <v>1</v>
      </c>
    </row>
    <row r="1265" spans="1:31" x14ac:dyDescent="0.2">
      <c r="A1265" s="1">
        <v>1264</v>
      </c>
      <c r="B1265" s="1">
        <v>2015</v>
      </c>
      <c r="C1265" s="8" t="s">
        <v>31</v>
      </c>
      <c r="D1265" s="8" t="s">
        <v>125</v>
      </c>
      <c r="E1265" s="8" t="s">
        <v>490</v>
      </c>
      <c r="F1265" s="1" t="s">
        <v>32</v>
      </c>
      <c r="G1265" s="8">
        <v>115</v>
      </c>
      <c r="I1265" s="12">
        <v>8.69</v>
      </c>
      <c r="J1265" s="7">
        <v>24.828571428571429</v>
      </c>
      <c r="K1265" s="1" t="s">
        <v>34</v>
      </c>
      <c r="L1265" s="14">
        <v>3592</v>
      </c>
      <c r="N1265" s="14">
        <v>31193</v>
      </c>
      <c r="O1265" s="13">
        <v>34.299999999999997</v>
      </c>
      <c r="P1265" s="13">
        <v>7</v>
      </c>
      <c r="Q1265" s="13">
        <v>35.1</v>
      </c>
      <c r="R1265" s="13">
        <v>51.6</v>
      </c>
      <c r="S1265" s="8"/>
      <c r="T1265" s="13">
        <v>24.1</v>
      </c>
      <c r="U1265" s="13">
        <v>39.1</v>
      </c>
      <c r="V1265" s="13">
        <v>3.5</v>
      </c>
      <c r="W1265" s="7">
        <v>0.77</v>
      </c>
      <c r="X1265" s="13"/>
      <c r="Y1265" s="13">
        <v>74.599999999999994</v>
      </c>
      <c r="Z1265" s="7">
        <v>1.57</v>
      </c>
      <c r="AA1265" s="1" t="s">
        <v>89</v>
      </c>
      <c r="AB1265" s="16" t="s">
        <v>89</v>
      </c>
      <c r="AC1265" s="1" t="s">
        <v>89</v>
      </c>
      <c r="AD1265" s="16" t="s">
        <v>89</v>
      </c>
      <c r="AE1265" s="1">
        <v>1</v>
      </c>
    </row>
    <row r="1266" spans="1:31" x14ac:dyDescent="0.2">
      <c r="A1266" s="1">
        <v>1265</v>
      </c>
      <c r="B1266" s="1">
        <v>2011</v>
      </c>
      <c r="C1266" s="1" t="s">
        <v>31</v>
      </c>
      <c r="D1266" s="1" t="s">
        <v>916</v>
      </c>
      <c r="E1266" s="1">
        <v>264403</v>
      </c>
      <c r="F1266" s="1" t="s">
        <v>83</v>
      </c>
      <c r="I1266" s="12">
        <v>6.24</v>
      </c>
      <c r="J1266" s="12">
        <v>17.8</v>
      </c>
      <c r="K1266" s="1" t="s">
        <v>34</v>
      </c>
      <c r="L1266" s="16">
        <v>3593</v>
      </c>
      <c r="N1266" s="16">
        <v>22440</v>
      </c>
      <c r="O1266" s="15">
        <v>31.8</v>
      </c>
      <c r="P1266" s="15">
        <v>6.6</v>
      </c>
      <c r="Q1266" s="15">
        <v>45.4</v>
      </c>
      <c r="R1266" s="15">
        <v>65.599999999999994</v>
      </c>
      <c r="T1266" s="15"/>
      <c r="U1266" s="15">
        <v>32.299999999999997</v>
      </c>
      <c r="V1266" s="15">
        <v>5.0999999999999996</v>
      </c>
      <c r="W1266" s="12"/>
      <c r="X1266" s="15"/>
      <c r="Y1266" s="15">
        <v>70.7</v>
      </c>
      <c r="Z1266" s="12">
        <v>1.79</v>
      </c>
      <c r="AB1266" s="16"/>
      <c r="AD1266" s="16"/>
      <c r="AE1266" s="1">
        <v>1</v>
      </c>
    </row>
    <row r="1267" spans="1:31" x14ac:dyDescent="0.2">
      <c r="A1267" s="1">
        <v>1266</v>
      </c>
      <c r="B1267" s="1">
        <v>2012</v>
      </c>
      <c r="C1267" s="1" t="s">
        <v>31</v>
      </c>
      <c r="D1267" s="1" t="s">
        <v>916</v>
      </c>
      <c r="E1267" s="1" t="s">
        <v>276</v>
      </c>
      <c r="F1267" s="1" t="s">
        <v>32</v>
      </c>
      <c r="I1267" s="12">
        <v>8.65</v>
      </c>
      <c r="J1267" s="12">
        <v>24.7</v>
      </c>
      <c r="L1267" s="16">
        <v>3594</v>
      </c>
      <c r="N1267" s="16">
        <v>31167</v>
      </c>
      <c r="O1267" s="15">
        <v>30.1</v>
      </c>
      <c r="P1267" s="15">
        <v>7.9</v>
      </c>
      <c r="Q1267" s="15">
        <v>42</v>
      </c>
      <c r="R1267" s="15">
        <v>62.8</v>
      </c>
      <c r="T1267" s="15"/>
      <c r="U1267" s="15">
        <v>34.4</v>
      </c>
      <c r="V1267" s="15">
        <v>6.3</v>
      </c>
      <c r="W1267" s="12">
        <v>0.74</v>
      </c>
      <c r="X1267" s="15"/>
      <c r="Y1267" s="15"/>
      <c r="Z1267" s="12">
        <v>2.27</v>
      </c>
      <c r="AB1267" s="16"/>
      <c r="AD1267" s="16"/>
      <c r="AE1267" s="1">
        <v>1</v>
      </c>
    </row>
    <row r="1268" spans="1:31" x14ac:dyDescent="0.2">
      <c r="A1268" s="1">
        <v>1267</v>
      </c>
      <c r="B1268" s="1">
        <v>2012</v>
      </c>
      <c r="C1268" s="1" t="s">
        <v>31</v>
      </c>
      <c r="D1268" s="1" t="s">
        <v>125</v>
      </c>
      <c r="E1268" s="1" t="s">
        <v>271</v>
      </c>
      <c r="F1268" s="1" t="s">
        <v>32</v>
      </c>
      <c r="I1268" s="12">
        <v>9.0500000000000007</v>
      </c>
      <c r="J1268" s="12">
        <v>25.9</v>
      </c>
      <c r="L1268" s="16">
        <v>3594</v>
      </c>
      <c r="N1268" s="16">
        <v>32515</v>
      </c>
      <c r="O1268" s="15">
        <v>32</v>
      </c>
      <c r="P1268" s="15">
        <v>7.6</v>
      </c>
      <c r="Q1268" s="15">
        <v>41.8</v>
      </c>
      <c r="R1268" s="15">
        <v>63.8</v>
      </c>
      <c r="T1268" s="15"/>
      <c r="U1268" s="15">
        <v>36.200000000000003</v>
      </c>
      <c r="V1268" s="15">
        <v>6</v>
      </c>
      <c r="W1268" s="12">
        <v>0.74</v>
      </c>
      <c r="X1268" s="15"/>
      <c r="Y1268" s="15"/>
      <c r="Z1268" s="12">
        <v>2.41</v>
      </c>
      <c r="AB1268" s="16"/>
      <c r="AD1268" s="16"/>
      <c r="AE1268" s="1">
        <v>1</v>
      </c>
    </row>
    <row r="1269" spans="1:31" x14ac:dyDescent="0.2">
      <c r="A1269" s="1">
        <v>1268</v>
      </c>
      <c r="B1269" s="1">
        <v>2009</v>
      </c>
      <c r="C1269" s="1" t="s">
        <v>31</v>
      </c>
      <c r="D1269" s="28" t="s">
        <v>914</v>
      </c>
      <c r="E1269" s="8" t="s">
        <v>106</v>
      </c>
      <c r="F1269" s="1" t="s">
        <v>32</v>
      </c>
      <c r="I1269" s="12">
        <v>8.27</v>
      </c>
      <c r="J1269" s="7">
        <v>23.628571428571401</v>
      </c>
      <c r="L1269" s="14">
        <v>3595</v>
      </c>
      <c r="N1269" s="14">
        <v>29683</v>
      </c>
      <c r="O1269" s="13">
        <v>29.9</v>
      </c>
      <c r="P1269" s="13">
        <v>8.9</v>
      </c>
      <c r="Q1269" s="13">
        <v>40.4</v>
      </c>
      <c r="R1269" s="13">
        <v>58.4</v>
      </c>
      <c r="S1269" s="13"/>
      <c r="T1269" s="15" t="s">
        <v>89</v>
      </c>
      <c r="U1269" s="13">
        <v>37.4</v>
      </c>
      <c r="V1269" s="13">
        <v>6</v>
      </c>
      <c r="W1269" s="12" t="s">
        <v>89</v>
      </c>
      <c r="X1269" s="15"/>
      <c r="Y1269" s="13">
        <v>75.3</v>
      </c>
      <c r="Z1269" s="7">
        <v>1.95</v>
      </c>
      <c r="AB1269" s="16"/>
      <c r="AD1269" s="16"/>
      <c r="AE1269" s="1">
        <v>1</v>
      </c>
    </row>
    <row r="1270" spans="1:31" x14ac:dyDescent="0.2">
      <c r="A1270" s="1">
        <v>1269</v>
      </c>
      <c r="B1270" s="1">
        <v>2016</v>
      </c>
      <c r="C1270" s="1" t="s">
        <v>31</v>
      </c>
      <c r="D1270" s="28" t="s">
        <v>914</v>
      </c>
      <c r="E1270" s="8" t="s">
        <v>540</v>
      </c>
      <c r="F1270" s="1" t="s">
        <v>32</v>
      </c>
      <c r="G1270" s="8">
        <v>114</v>
      </c>
      <c r="I1270" s="12">
        <v>9.27</v>
      </c>
      <c r="J1270" s="7">
        <v>26.485714285714302</v>
      </c>
      <c r="K1270" s="1" t="s">
        <v>34</v>
      </c>
      <c r="L1270" s="14">
        <v>3595</v>
      </c>
      <c r="M1270" s="1" t="s">
        <v>34</v>
      </c>
      <c r="N1270" s="14">
        <v>33341</v>
      </c>
      <c r="O1270" s="13">
        <v>33.6</v>
      </c>
      <c r="P1270" s="13">
        <v>7.9</v>
      </c>
      <c r="Q1270" s="13">
        <v>38.4</v>
      </c>
      <c r="R1270" s="13">
        <v>57.4</v>
      </c>
      <c r="S1270" s="13"/>
      <c r="T1270" s="13">
        <v>22.1</v>
      </c>
      <c r="U1270" s="13">
        <v>38.700000000000003</v>
      </c>
      <c r="V1270" s="13">
        <v>2.9</v>
      </c>
      <c r="W1270" s="7">
        <v>0.76</v>
      </c>
      <c r="X1270" s="13"/>
      <c r="Y1270" s="13">
        <v>73.400000000000006</v>
      </c>
      <c r="Z1270" s="7">
        <v>2.04</v>
      </c>
      <c r="AA1270" s="15" t="s">
        <v>89</v>
      </c>
      <c r="AB1270" s="16"/>
      <c r="AD1270" s="16"/>
      <c r="AE1270" s="1">
        <v>1</v>
      </c>
    </row>
    <row r="1271" spans="1:31" x14ac:dyDescent="0.2">
      <c r="A1271" s="1">
        <v>1270</v>
      </c>
      <c r="B1271" s="1">
        <v>2014</v>
      </c>
      <c r="C1271" s="1" t="s">
        <v>88</v>
      </c>
      <c r="D1271" s="8" t="s">
        <v>1023</v>
      </c>
      <c r="E1271" s="8" t="s">
        <v>338</v>
      </c>
      <c r="F1271" s="8" t="s">
        <v>83</v>
      </c>
      <c r="G1271" s="8"/>
      <c r="H1271" s="8"/>
      <c r="I1271" s="12">
        <v>8.6199999999999992</v>
      </c>
      <c r="J1271" s="7">
        <v>24.628571428571401</v>
      </c>
      <c r="K1271" s="13" t="s">
        <v>34</v>
      </c>
      <c r="L1271" s="14">
        <v>3597</v>
      </c>
      <c r="M1271" s="14"/>
      <c r="N1271" s="14">
        <v>31002</v>
      </c>
      <c r="O1271" s="13">
        <v>31</v>
      </c>
      <c r="P1271" s="13">
        <v>8.1</v>
      </c>
      <c r="Q1271" s="13">
        <v>43.7</v>
      </c>
      <c r="R1271" s="13">
        <v>58.2</v>
      </c>
      <c r="S1271" s="13"/>
      <c r="T1271" s="13"/>
      <c r="U1271" s="13">
        <v>27.7</v>
      </c>
      <c r="V1271" s="13">
        <v>1.9</v>
      </c>
      <c r="W1271" s="7">
        <v>0.67</v>
      </c>
      <c r="X1271" s="15"/>
      <c r="Y1271" s="13">
        <v>65.099999999999994</v>
      </c>
      <c r="Z1271" s="7">
        <v>2.19</v>
      </c>
      <c r="AA1271" s="13">
        <v>1</v>
      </c>
      <c r="AB1271" s="16">
        <f>AA1271*10</f>
        <v>10</v>
      </c>
      <c r="AC1271" s="8">
        <v>8.3000000000000007</v>
      </c>
      <c r="AD1271" s="16">
        <f>AC1271*10</f>
        <v>83</v>
      </c>
      <c r="AE1271" s="1">
        <v>1</v>
      </c>
    </row>
    <row r="1272" spans="1:31" x14ac:dyDescent="0.2">
      <c r="A1272" s="1">
        <v>1271</v>
      </c>
      <c r="B1272" s="1">
        <v>2016</v>
      </c>
      <c r="C1272" s="1" t="s">
        <v>31</v>
      </c>
      <c r="D1272" s="1" t="s">
        <v>916</v>
      </c>
      <c r="E1272" s="8" t="s">
        <v>503</v>
      </c>
      <c r="F1272" s="1" t="s">
        <v>32</v>
      </c>
      <c r="G1272" s="8">
        <v>118</v>
      </c>
      <c r="I1272" s="12">
        <v>9.1199999999999992</v>
      </c>
      <c r="J1272" s="7">
        <v>26.0571428571429</v>
      </c>
      <c r="K1272" s="1" t="s">
        <v>34</v>
      </c>
      <c r="L1272" s="14">
        <v>3597</v>
      </c>
      <c r="M1272" s="1" t="s">
        <v>34</v>
      </c>
      <c r="N1272" s="14">
        <v>32829</v>
      </c>
      <c r="O1272" s="13">
        <v>32.799999999999997</v>
      </c>
      <c r="P1272" s="13">
        <v>7.4</v>
      </c>
      <c r="Q1272" s="13">
        <v>39.700000000000003</v>
      </c>
      <c r="R1272" s="13">
        <v>55.2</v>
      </c>
      <c r="S1272" s="13"/>
      <c r="T1272" s="13">
        <v>23.3</v>
      </c>
      <c r="U1272" s="13">
        <v>36.4</v>
      </c>
      <c r="V1272" s="13">
        <v>2.9</v>
      </c>
      <c r="W1272" s="7">
        <v>0.75</v>
      </c>
      <c r="X1272" s="13"/>
      <c r="Y1272" s="13">
        <v>73.3</v>
      </c>
      <c r="Z1272" s="7">
        <v>2</v>
      </c>
      <c r="AA1272" s="15" t="s">
        <v>89</v>
      </c>
      <c r="AB1272" s="16"/>
      <c r="AD1272" s="16"/>
      <c r="AE1272" s="1">
        <v>1</v>
      </c>
    </row>
    <row r="1273" spans="1:31" x14ac:dyDescent="0.2">
      <c r="A1273" s="1">
        <v>1272</v>
      </c>
      <c r="B1273" s="1">
        <v>2012</v>
      </c>
      <c r="C1273" s="1" t="s">
        <v>31</v>
      </c>
      <c r="D1273" s="1" t="s">
        <v>125</v>
      </c>
      <c r="E1273" s="1" t="s">
        <v>266</v>
      </c>
      <c r="F1273" s="1" t="s">
        <v>32</v>
      </c>
      <c r="I1273" s="12">
        <v>9.6300000000000008</v>
      </c>
      <c r="J1273" s="12">
        <v>27.5</v>
      </c>
      <c r="L1273" s="16">
        <v>3597</v>
      </c>
      <c r="N1273" s="16">
        <v>34641</v>
      </c>
      <c r="O1273" s="15">
        <v>30.5</v>
      </c>
      <c r="P1273" s="15">
        <v>7.9</v>
      </c>
      <c r="Q1273" s="15">
        <v>42.5</v>
      </c>
      <c r="R1273" s="15">
        <v>64.7</v>
      </c>
      <c r="T1273" s="15"/>
      <c r="U1273" s="15">
        <v>37.6</v>
      </c>
      <c r="V1273" s="15">
        <v>4.2</v>
      </c>
      <c r="W1273" s="12">
        <v>0.74</v>
      </c>
      <c r="X1273" s="15"/>
      <c r="Y1273" s="15"/>
      <c r="Z1273" s="12">
        <v>2.65</v>
      </c>
      <c r="AB1273" s="16"/>
      <c r="AD1273" s="16"/>
      <c r="AE1273" s="1">
        <v>1</v>
      </c>
    </row>
    <row r="1274" spans="1:31" x14ac:dyDescent="0.2">
      <c r="A1274" s="1">
        <v>1273</v>
      </c>
      <c r="B1274" s="1">
        <v>2008</v>
      </c>
      <c r="C1274" s="1" t="s">
        <v>31</v>
      </c>
      <c r="D1274" s="8" t="s">
        <v>71</v>
      </c>
      <c r="E1274" s="8" t="s">
        <v>76</v>
      </c>
      <c r="F1274" s="8" t="s">
        <v>32</v>
      </c>
      <c r="G1274" s="8"/>
      <c r="H1274" s="8" t="s">
        <v>34</v>
      </c>
      <c r="I1274" s="12">
        <v>10.98</v>
      </c>
      <c r="J1274" s="7">
        <v>31.371428571428574</v>
      </c>
      <c r="K1274" s="13"/>
      <c r="L1274" s="14">
        <v>3597</v>
      </c>
      <c r="M1274" s="14" t="s">
        <v>34</v>
      </c>
      <c r="N1274" s="14">
        <v>39629</v>
      </c>
      <c r="O1274" s="13">
        <v>30</v>
      </c>
      <c r="P1274" s="13">
        <v>8</v>
      </c>
      <c r="Q1274" s="13">
        <v>41.1</v>
      </c>
      <c r="R1274" s="13">
        <v>67.7</v>
      </c>
      <c r="S1274" s="13"/>
      <c r="T1274" s="13"/>
      <c r="U1274" s="13">
        <v>34.9</v>
      </c>
      <c r="V1274" s="13"/>
      <c r="W1274" s="13"/>
      <c r="X1274" s="15"/>
      <c r="Y1274" s="13">
        <v>75.900000000000006</v>
      </c>
      <c r="Z1274" s="7">
        <v>3.03</v>
      </c>
      <c r="AB1274" s="16"/>
      <c r="AD1274" s="16"/>
      <c r="AE1274" s="1">
        <v>1</v>
      </c>
    </row>
    <row r="1275" spans="1:31" x14ac:dyDescent="0.2">
      <c r="A1275" s="1">
        <v>1274</v>
      </c>
      <c r="B1275" s="1">
        <v>2015</v>
      </c>
      <c r="C1275" s="8" t="s">
        <v>31</v>
      </c>
      <c r="D1275" s="8" t="s">
        <v>71</v>
      </c>
      <c r="E1275" s="8" t="s">
        <v>441</v>
      </c>
      <c r="F1275" s="1" t="s">
        <v>32</v>
      </c>
      <c r="G1275" s="8">
        <v>115</v>
      </c>
      <c r="I1275" s="12">
        <v>9.4</v>
      </c>
      <c r="J1275" s="7">
        <v>26.857142857142861</v>
      </c>
      <c r="K1275" s="1" t="s">
        <v>34</v>
      </c>
      <c r="L1275" s="14">
        <v>3598</v>
      </c>
      <c r="M1275" s="1" t="s">
        <v>34</v>
      </c>
      <c r="N1275" s="14">
        <v>33808</v>
      </c>
      <c r="O1275" s="13">
        <v>35.4</v>
      </c>
      <c r="P1275" s="13">
        <v>6.7</v>
      </c>
      <c r="Q1275" s="13">
        <v>36.1</v>
      </c>
      <c r="R1275" s="13">
        <v>55</v>
      </c>
      <c r="S1275" s="8"/>
      <c r="T1275" s="13">
        <v>23.8</v>
      </c>
      <c r="U1275" s="13">
        <v>38.799999999999997</v>
      </c>
      <c r="V1275" s="13">
        <v>3.4</v>
      </c>
      <c r="W1275" s="7">
        <v>0.77</v>
      </c>
      <c r="X1275" s="13"/>
      <c r="Y1275" s="13">
        <v>75</v>
      </c>
      <c r="Z1275" s="7">
        <v>1.88</v>
      </c>
      <c r="AA1275" s="1" t="s">
        <v>89</v>
      </c>
      <c r="AB1275" s="16" t="s">
        <v>89</v>
      </c>
      <c r="AC1275" s="1" t="s">
        <v>89</v>
      </c>
      <c r="AD1275" s="16" t="s">
        <v>89</v>
      </c>
      <c r="AE1275" s="1">
        <v>1</v>
      </c>
    </row>
    <row r="1276" spans="1:31" x14ac:dyDescent="0.2">
      <c r="A1276" s="1">
        <v>1275</v>
      </c>
      <c r="B1276" s="1">
        <v>2014</v>
      </c>
      <c r="C1276" s="1" t="s">
        <v>31</v>
      </c>
      <c r="D1276" s="1" t="s">
        <v>108</v>
      </c>
      <c r="E1276" s="1" t="s">
        <v>431</v>
      </c>
      <c r="F1276" s="1" t="s">
        <v>32</v>
      </c>
      <c r="G1276" s="1">
        <v>116</v>
      </c>
      <c r="I1276" s="12">
        <v>9.68</v>
      </c>
      <c r="J1276" s="12">
        <v>27.7</v>
      </c>
      <c r="K1276" s="1" t="s">
        <v>34</v>
      </c>
      <c r="L1276" s="16">
        <v>3598</v>
      </c>
      <c r="M1276" s="1" t="s">
        <v>34</v>
      </c>
      <c r="N1276" s="16">
        <v>34832</v>
      </c>
      <c r="O1276" s="15">
        <v>29.2</v>
      </c>
      <c r="P1276" s="15">
        <v>7.7</v>
      </c>
      <c r="Q1276" s="15">
        <v>39.5</v>
      </c>
      <c r="R1276" s="15">
        <v>56.9</v>
      </c>
      <c r="T1276" s="15"/>
      <c r="U1276" s="15">
        <v>34.9</v>
      </c>
      <c r="V1276" s="15">
        <v>5.2</v>
      </c>
      <c r="W1276" s="12">
        <v>0.75</v>
      </c>
      <c r="X1276" s="15"/>
      <c r="Y1276" s="15">
        <v>71.8</v>
      </c>
      <c r="Z1276" s="12">
        <v>2.17</v>
      </c>
      <c r="AB1276" s="16"/>
      <c r="AD1276" s="16"/>
      <c r="AE1276" s="1">
        <v>1</v>
      </c>
    </row>
    <row r="1277" spans="1:31" x14ac:dyDescent="0.2">
      <c r="A1277" s="1">
        <v>1276</v>
      </c>
      <c r="B1277" s="1">
        <v>2021</v>
      </c>
      <c r="C1277" s="1" t="s">
        <v>31</v>
      </c>
      <c r="D1277" s="22" t="s">
        <v>917</v>
      </c>
      <c r="E1277" s="1" t="s">
        <v>827</v>
      </c>
      <c r="F1277" s="1" t="s">
        <v>83</v>
      </c>
      <c r="G1277" s="1">
        <v>116</v>
      </c>
      <c r="I1277" s="12">
        <v>4.8812976858780006</v>
      </c>
      <c r="J1277" s="12">
        <v>13.946564817000001</v>
      </c>
      <c r="K1277" s="1" t="s">
        <v>34</v>
      </c>
      <c r="L1277" s="16">
        <v>3598.4689749999998</v>
      </c>
      <c r="N1277" s="16">
        <v>17566.220088034999</v>
      </c>
      <c r="O1277" s="15">
        <v>39.510320199999995</v>
      </c>
      <c r="P1277" s="15">
        <v>8.5055406569999992</v>
      </c>
      <c r="Q1277" s="15">
        <v>18.462499999999999</v>
      </c>
      <c r="R1277" s="15">
        <v>33.612499999999997</v>
      </c>
      <c r="U1277" s="15">
        <v>41.734999999999999</v>
      </c>
      <c r="V1277" s="15">
        <v>8.8125</v>
      </c>
      <c r="W1277" s="12">
        <v>0.74174917338000002</v>
      </c>
      <c r="X1277" s="15"/>
      <c r="Y1277" s="15">
        <v>75.520931097000002</v>
      </c>
      <c r="Z1277" s="12"/>
      <c r="AA1277" s="15">
        <v>0.375</v>
      </c>
      <c r="AB1277" s="16">
        <f>AA1277*33.334</f>
        <v>12.500250000000001</v>
      </c>
      <c r="AD1277" s="16"/>
      <c r="AE1277" s="1">
        <v>1</v>
      </c>
    </row>
    <row r="1278" spans="1:31" x14ac:dyDescent="0.2">
      <c r="A1278" s="1">
        <v>1277</v>
      </c>
      <c r="B1278" s="1">
        <v>2017</v>
      </c>
      <c r="C1278" s="1" t="s">
        <v>31</v>
      </c>
      <c r="D1278" s="8" t="s">
        <v>391</v>
      </c>
      <c r="E1278" s="8" t="s">
        <v>622</v>
      </c>
      <c r="F1278" s="1" t="s">
        <v>32</v>
      </c>
      <c r="G1278" s="8">
        <v>119</v>
      </c>
      <c r="I1278" s="12">
        <v>8.5605885700000002</v>
      </c>
      <c r="J1278" s="3">
        <v>24.458824499999999</v>
      </c>
      <c r="K1278" s="1" t="s">
        <v>34</v>
      </c>
      <c r="L1278" s="5">
        <v>3599</v>
      </c>
      <c r="N1278" s="5">
        <v>30826.484400000001</v>
      </c>
      <c r="O1278" s="6">
        <v>32.129041999999998</v>
      </c>
      <c r="P1278" s="6">
        <v>7.7149999999999999</v>
      </c>
      <c r="Q1278" s="6">
        <v>36.255000000000003</v>
      </c>
      <c r="R1278" s="6">
        <v>55.097499999999997</v>
      </c>
      <c r="S1278" s="3"/>
      <c r="T1278" s="6">
        <v>22.1325</v>
      </c>
      <c r="U1278" s="6">
        <v>38.700000000000003</v>
      </c>
      <c r="V1278" s="6">
        <v>3.1349999999999998</v>
      </c>
      <c r="W1278" s="3">
        <v>0.79</v>
      </c>
      <c r="X1278" s="6"/>
      <c r="Y1278" s="6">
        <v>73.2</v>
      </c>
      <c r="Z1278" s="3">
        <v>1.7030060199999999</v>
      </c>
      <c r="AB1278" s="16"/>
      <c r="AD1278" s="16"/>
      <c r="AE1278" s="1">
        <v>1</v>
      </c>
    </row>
    <row r="1279" spans="1:31" x14ac:dyDescent="0.2">
      <c r="A1279" s="1">
        <v>1278</v>
      </c>
      <c r="B1279" s="1">
        <v>2015</v>
      </c>
      <c r="C1279" s="8" t="s">
        <v>31</v>
      </c>
      <c r="D1279" s="8" t="s">
        <v>402</v>
      </c>
      <c r="E1279" s="8" t="s">
        <v>476</v>
      </c>
      <c r="F1279" s="1" t="s">
        <v>32</v>
      </c>
      <c r="G1279" s="8">
        <v>118</v>
      </c>
      <c r="I1279" s="12">
        <v>8.6300000000000008</v>
      </c>
      <c r="J1279" s="7">
        <v>24.657142857142862</v>
      </c>
      <c r="K1279" s="1" t="s">
        <v>34</v>
      </c>
      <c r="L1279" s="14">
        <v>3599</v>
      </c>
      <c r="N1279" s="14">
        <v>31078</v>
      </c>
      <c r="O1279" s="13">
        <v>31.8</v>
      </c>
      <c r="P1279" s="13">
        <v>7.1</v>
      </c>
      <c r="Q1279" s="13">
        <v>36.6</v>
      </c>
      <c r="R1279" s="13">
        <v>49.4</v>
      </c>
      <c r="S1279" s="8"/>
      <c r="T1279" s="13">
        <v>25</v>
      </c>
      <c r="U1279" s="13">
        <v>36.299999999999997</v>
      </c>
      <c r="V1279" s="13">
        <v>3.5</v>
      </c>
      <c r="W1279" s="7">
        <v>0.76</v>
      </c>
      <c r="X1279" s="13"/>
      <c r="Y1279" s="13">
        <v>74.400000000000006</v>
      </c>
      <c r="Z1279" s="7">
        <v>1.56</v>
      </c>
      <c r="AA1279" s="1" t="s">
        <v>89</v>
      </c>
      <c r="AB1279" s="16" t="s">
        <v>89</v>
      </c>
      <c r="AC1279" s="1" t="s">
        <v>89</v>
      </c>
      <c r="AD1279" s="16" t="s">
        <v>89</v>
      </c>
      <c r="AE1279" s="1">
        <v>1</v>
      </c>
    </row>
    <row r="1280" spans="1:31" x14ac:dyDescent="0.2">
      <c r="A1280" s="1">
        <v>1279</v>
      </c>
      <c r="B1280" s="1">
        <v>2009</v>
      </c>
      <c r="C1280" s="1" t="s">
        <v>31</v>
      </c>
      <c r="D1280" s="8" t="s">
        <v>37</v>
      </c>
      <c r="E1280" s="8" t="s">
        <v>40</v>
      </c>
      <c r="F1280" s="1" t="s">
        <v>83</v>
      </c>
      <c r="H1280" s="1" t="s">
        <v>34</v>
      </c>
      <c r="I1280" s="12">
        <v>9.82</v>
      </c>
      <c r="J1280" s="7">
        <v>28.1</v>
      </c>
      <c r="K1280" s="1" t="s">
        <v>34</v>
      </c>
      <c r="L1280" s="14">
        <v>3601</v>
      </c>
      <c r="M1280" s="14" t="s">
        <v>34</v>
      </c>
      <c r="N1280" s="14">
        <v>35354</v>
      </c>
      <c r="O1280" s="13">
        <v>37.1</v>
      </c>
      <c r="P1280" s="13">
        <v>9.65</v>
      </c>
      <c r="Q1280" s="13">
        <v>33.799999999999997</v>
      </c>
      <c r="R1280" s="13">
        <v>63.2</v>
      </c>
      <c r="S1280" s="8"/>
      <c r="T1280" s="13">
        <v>20.2</v>
      </c>
      <c r="U1280" s="13">
        <v>44.5</v>
      </c>
      <c r="V1280" s="15"/>
      <c r="W1280" s="7" t="s">
        <v>89</v>
      </c>
      <c r="X1280" s="13"/>
      <c r="Y1280" s="13">
        <v>76.3</v>
      </c>
      <c r="Z1280" s="7">
        <v>2.09</v>
      </c>
      <c r="AB1280" s="16"/>
      <c r="AD1280" s="16"/>
      <c r="AE1280" s="1">
        <v>1</v>
      </c>
    </row>
    <row r="1281" spans="1:31" x14ac:dyDescent="0.2">
      <c r="A1281" s="1">
        <v>1280</v>
      </c>
      <c r="B1281" s="1">
        <v>2017</v>
      </c>
      <c r="C1281" s="1" t="s">
        <v>31</v>
      </c>
      <c r="D1281" s="8" t="s">
        <v>555</v>
      </c>
      <c r="E1281" s="8" t="s">
        <v>623</v>
      </c>
      <c r="F1281" s="1" t="s">
        <v>32</v>
      </c>
      <c r="G1281" s="8">
        <v>117</v>
      </c>
      <c r="I1281" s="12">
        <v>7.9814032099999999</v>
      </c>
      <c r="J1281" s="3">
        <v>22.804009199999999</v>
      </c>
      <c r="K1281" s="1" t="s">
        <v>34</v>
      </c>
      <c r="L1281" s="5">
        <v>3602</v>
      </c>
      <c r="N1281" s="5">
        <v>28733.551500000001</v>
      </c>
      <c r="O1281" s="6">
        <v>32.013470400000003</v>
      </c>
      <c r="P1281" s="6">
        <v>6.3975</v>
      </c>
      <c r="Q1281" s="6">
        <v>38.682499999999997</v>
      </c>
      <c r="R1281" s="6">
        <v>54.744999999999997</v>
      </c>
      <c r="S1281" s="3"/>
      <c r="T1281" s="6">
        <v>23.195</v>
      </c>
      <c r="U1281" s="6">
        <v>39</v>
      </c>
      <c r="V1281" s="6">
        <v>2.6175000000000002</v>
      </c>
      <c r="W1281" s="3">
        <v>0.79027275000000008</v>
      </c>
      <c r="X1281" s="6"/>
      <c r="Y1281" s="6">
        <v>72.952500000000001</v>
      </c>
      <c r="Z1281" s="3">
        <v>1.69549064</v>
      </c>
      <c r="AB1281" s="16"/>
      <c r="AD1281" s="16"/>
      <c r="AE1281" s="1">
        <v>1</v>
      </c>
    </row>
    <row r="1282" spans="1:31" x14ac:dyDescent="0.2">
      <c r="A1282" s="1">
        <v>1281</v>
      </c>
      <c r="B1282" s="1">
        <v>2016</v>
      </c>
      <c r="C1282" s="1" t="s">
        <v>31</v>
      </c>
      <c r="D1282" s="8" t="s">
        <v>391</v>
      </c>
      <c r="E1282" s="8" t="s">
        <v>553</v>
      </c>
      <c r="F1282" s="1" t="s">
        <v>32</v>
      </c>
      <c r="G1282" s="8">
        <v>115</v>
      </c>
      <c r="H1282" s="1" t="s">
        <v>34</v>
      </c>
      <c r="I1282" s="12">
        <v>9.77</v>
      </c>
      <c r="J1282" s="7">
        <v>27.9</v>
      </c>
      <c r="K1282" s="1" t="s">
        <v>34</v>
      </c>
      <c r="L1282" s="14">
        <v>3602</v>
      </c>
      <c r="M1282" s="1" t="s">
        <v>34</v>
      </c>
      <c r="N1282" s="14">
        <v>35277</v>
      </c>
      <c r="O1282" s="13">
        <v>32</v>
      </c>
      <c r="P1282" s="13">
        <v>8.1999999999999993</v>
      </c>
      <c r="Q1282" s="13">
        <v>37.5</v>
      </c>
      <c r="R1282" s="13">
        <v>56.6</v>
      </c>
      <c r="S1282" s="13"/>
      <c r="T1282" s="13">
        <v>23</v>
      </c>
      <c r="U1282" s="13">
        <v>36.4</v>
      </c>
      <c r="V1282" s="13">
        <v>4.2</v>
      </c>
      <c r="W1282" s="7">
        <v>0.75</v>
      </c>
      <c r="X1282" s="13"/>
      <c r="Y1282" s="13">
        <v>72.599999999999994</v>
      </c>
      <c r="Z1282" s="7">
        <v>2.06</v>
      </c>
      <c r="AA1282" s="15" t="s">
        <v>89</v>
      </c>
      <c r="AB1282" s="16"/>
      <c r="AD1282" s="16"/>
      <c r="AE1282" s="1">
        <v>1</v>
      </c>
    </row>
    <row r="1283" spans="1:31" x14ac:dyDescent="0.2">
      <c r="A1283" s="1">
        <v>1282</v>
      </c>
      <c r="B1283" s="1">
        <v>2008</v>
      </c>
      <c r="C1283" s="1" t="s">
        <v>31</v>
      </c>
      <c r="D1283" s="28" t="s">
        <v>914</v>
      </c>
      <c r="E1283" s="8" t="s">
        <v>43</v>
      </c>
      <c r="F1283" s="8" t="s">
        <v>32</v>
      </c>
      <c r="G1283" s="8"/>
      <c r="H1283" s="8" t="s">
        <v>34</v>
      </c>
      <c r="I1283" s="12">
        <v>11.5</v>
      </c>
      <c r="J1283" s="7">
        <v>32.857142857142861</v>
      </c>
      <c r="K1283" s="13"/>
      <c r="L1283" s="14">
        <v>3603</v>
      </c>
      <c r="M1283" s="14" t="s">
        <v>34</v>
      </c>
      <c r="N1283" s="14">
        <v>41556</v>
      </c>
      <c r="O1283" s="13">
        <v>33.200000000000003</v>
      </c>
      <c r="P1283" s="13">
        <v>8.6</v>
      </c>
      <c r="Q1283" s="13">
        <v>39.1</v>
      </c>
      <c r="R1283" s="13">
        <v>67.7</v>
      </c>
      <c r="S1283" s="13"/>
      <c r="T1283" s="13"/>
      <c r="U1283" s="13">
        <v>34.9</v>
      </c>
      <c r="V1283" s="13"/>
      <c r="W1283" s="13"/>
      <c r="X1283" s="15"/>
      <c r="Y1283" s="13">
        <v>76</v>
      </c>
      <c r="Z1283" s="7">
        <v>3.05</v>
      </c>
      <c r="AB1283" s="16"/>
      <c r="AD1283" s="16"/>
      <c r="AE1283" s="1">
        <v>1</v>
      </c>
    </row>
    <row r="1284" spans="1:31" x14ac:dyDescent="0.2">
      <c r="A1284" s="1">
        <v>1283</v>
      </c>
      <c r="B1284" s="1">
        <v>2012</v>
      </c>
      <c r="C1284" s="1" t="s">
        <v>31</v>
      </c>
      <c r="D1284" s="1" t="s">
        <v>914</v>
      </c>
      <c r="E1284" s="1" t="s">
        <v>287</v>
      </c>
      <c r="F1284" s="1" t="s">
        <v>32</v>
      </c>
      <c r="I1284" s="12">
        <v>9.1199999999999992</v>
      </c>
      <c r="J1284" s="12">
        <v>26.1</v>
      </c>
      <c r="L1284" s="16">
        <v>3604</v>
      </c>
      <c r="N1284" s="16">
        <v>32884</v>
      </c>
      <c r="O1284" s="15">
        <v>33.200000000000003</v>
      </c>
      <c r="P1284" s="15">
        <v>7.4</v>
      </c>
      <c r="Q1284" s="15">
        <v>42.5</v>
      </c>
      <c r="R1284" s="15">
        <v>62.8</v>
      </c>
      <c r="T1284" s="15"/>
      <c r="U1284" s="15">
        <v>34.4</v>
      </c>
      <c r="V1284" s="15">
        <v>6.9</v>
      </c>
      <c r="W1284" s="12">
        <v>0.75</v>
      </c>
      <c r="X1284" s="15"/>
      <c r="Y1284" s="15"/>
      <c r="Z1284" s="12">
        <v>2.37</v>
      </c>
      <c r="AB1284" s="16"/>
      <c r="AD1284" s="16"/>
      <c r="AE1284" s="1">
        <v>1</v>
      </c>
    </row>
    <row r="1285" spans="1:31" ht="17" x14ac:dyDescent="0.2">
      <c r="A1285" s="1">
        <v>1284</v>
      </c>
      <c r="B1285" s="1">
        <v>2019</v>
      </c>
      <c r="C1285" s="1" t="s">
        <v>31</v>
      </c>
      <c r="D1285" s="9" t="s">
        <v>555</v>
      </c>
      <c r="E1285" s="9" t="s">
        <v>709</v>
      </c>
      <c r="F1285" s="1" t="s">
        <v>83</v>
      </c>
      <c r="G1285" s="1">
        <v>117</v>
      </c>
      <c r="H1285" s="1" t="s">
        <v>34</v>
      </c>
      <c r="I1285" s="12">
        <v>7.38</v>
      </c>
      <c r="J1285" s="3">
        <v>21.07</v>
      </c>
      <c r="L1285" s="5">
        <v>3604.5</v>
      </c>
      <c r="N1285" s="5">
        <v>26632.400000000001</v>
      </c>
      <c r="O1285" s="6">
        <v>37.442500000000003</v>
      </c>
      <c r="P1285" s="6">
        <v>9.6425000000000001</v>
      </c>
      <c r="Q1285" s="6">
        <v>33.602499999999999</v>
      </c>
      <c r="R1285" s="6">
        <v>59.387500000000003</v>
      </c>
      <c r="S1285" s="3"/>
      <c r="T1285" s="6">
        <v>18.432500000000001</v>
      </c>
      <c r="U1285" s="6">
        <v>42</v>
      </c>
      <c r="V1285" s="6">
        <v>7.96</v>
      </c>
      <c r="W1285" s="3">
        <v>0.74334999999999996</v>
      </c>
      <c r="X1285" s="6"/>
      <c r="Y1285" s="6">
        <v>71.647499999999994</v>
      </c>
      <c r="Z1285" s="3">
        <v>1.4724999999999999</v>
      </c>
      <c r="AB1285" s="16"/>
      <c r="AD1285" s="16"/>
      <c r="AE1285" s="1">
        <v>1</v>
      </c>
    </row>
    <row r="1286" spans="1:31" x14ac:dyDescent="0.2">
      <c r="A1286" s="1">
        <v>1285</v>
      </c>
      <c r="B1286" s="1">
        <v>2010</v>
      </c>
      <c r="C1286" s="1" t="s">
        <v>31</v>
      </c>
      <c r="D1286" s="8" t="s">
        <v>125</v>
      </c>
      <c r="E1286" s="8" t="s">
        <v>127</v>
      </c>
      <c r="F1286" s="1" t="s">
        <v>32</v>
      </c>
      <c r="I1286" s="12">
        <v>9.17</v>
      </c>
      <c r="J1286" s="7">
        <v>26.4</v>
      </c>
      <c r="L1286" s="14">
        <v>3605</v>
      </c>
      <c r="N1286" s="14">
        <v>33070</v>
      </c>
      <c r="O1286" s="13">
        <v>27.1</v>
      </c>
      <c r="P1286" s="13">
        <v>9.9</v>
      </c>
      <c r="Q1286" s="13">
        <v>41.5</v>
      </c>
      <c r="R1286" s="13">
        <v>60.9</v>
      </c>
      <c r="S1286" s="13"/>
      <c r="T1286" s="15"/>
      <c r="U1286" s="13">
        <v>35.9</v>
      </c>
      <c r="V1286" s="13">
        <v>5.9</v>
      </c>
      <c r="W1286" s="12"/>
      <c r="X1286" s="15"/>
      <c r="Y1286" s="13">
        <v>72.400000000000006</v>
      </c>
      <c r="Z1286" s="7">
        <v>2.3199999999999998</v>
      </c>
      <c r="AB1286" s="16"/>
      <c r="AD1286" s="16"/>
      <c r="AE1286" s="1">
        <v>1</v>
      </c>
    </row>
    <row r="1287" spans="1:31" x14ac:dyDescent="0.2">
      <c r="A1287" s="1">
        <v>1286</v>
      </c>
      <c r="B1287" s="1">
        <v>2016</v>
      </c>
      <c r="C1287" s="1" t="s">
        <v>31</v>
      </c>
      <c r="D1287" s="19" t="s">
        <v>985</v>
      </c>
      <c r="E1287" s="8" t="s">
        <v>531</v>
      </c>
      <c r="F1287" s="1" t="s">
        <v>32</v>
      </c>
      <c r="G1287" s="8">
        <v>118</v>
      </c>
      <c r="I1287" s="12">
        <v>8.32</v>
      </c>
      <c r="J1287" s="7">
        <v>23.771428571428601</v>
      </c>
      <c r="K1287" s="1" t="s">
        <v>34</v>
      </c>
      <c r="L1287" s="14">
        <v>3606</v>
      </c>
      <c r="N1287" s="14">
        <v>30062</v>
      </c>
      <c r="O1287" s="13">
        <v>32</v>
      </c>
      <c r="P1287" s="13">
        <v>7.4</v>
      </c>
      <c r="Q1287" s="13">
        <v>39.799999999999997</v>
      </c>
      <c r="R1287" s="13">
        <v>56.8</v>
      </c>
      <c r="S1287" s="13"/>
      <c r="T1287" s="13">
        <v>23</v>
      </c>
      <c r="U1287" s="13">
        <v>37.5</v>
      </c>
      <c r="V1287" s="13">
        <v>3.2</v>
      </c>
      <c r="W1287" s="7">
        <v>0.75</v>
      </c>
      <c r="X1287" s="13"/>
      <c r="Y1287" s="13">
        <v>73</v>
      </c>
      <c r="Z1287" s="7">
        <v>1.88</v>
      </c>
      <c r="AA1287" s="15" t="s">
        <v>89</v>
      </c>
      <c r="AB1287" s="16"/>
      <c r="AD1287" s="16"/>
      <c r="AE1287" s="1">
        <v>1</v>
      </c>
    </row>
    <row r="1288" spans="1:31" x14ac:dyDescent="0.2">
      <c r="A1288" s="1">
        <v>1287</v>
      </c>
      <c r="B1288" s="1">
        <v>2010</v>
      </c>
      <c r="C1288" s="1" t="s">
        <v>31</v>
      </c>
      <c r="D1288" s="8" t="s">
        <v>37</v>
      </c>
      <c r="E1288" s="8" t="s">
        <v>130</v>
      </c>
      <c r="F1288" s="1" t="s">
        <v>32</v>
      </c>
      <c r="I1288" s="12">
        <v>9.6</v>
      </c>
      <c r="J1288" s="7">
        <v>27.428571428571399</v>
      </c>
      <c r="L1288" s="14">
        <v>3606</v>
      </c>
      <c r="N1288" s="14">
        <v>34613</v>
      </c>
      <c r="O1288" s="13">
        <v>28.6</v>
      </c>
      <c r="P1288" s="13">
        <v>9.6999999999999993</v>
      </c>
      <c r="Q1288" s="13">
        <v>38.299999999999997</v>
      </c>
      <c r="R1288" s="13">
        <v>56.3</v>
      </c>
      <c r="S1288" s="13"/>
      <c r="T1288" s="15"/>
      <c r="U1288" s="13">
        <v>39.1</v>
      </c>
      <c r="V1288" s="13">
        <v>5.7</v>
      </c>
      <c r="W1288" s="12"/>
      <c r="X1288" s="15"/>
      <c r="Y1288" s="13">
        <v>72.900000000000006</v>
      </c>
      <c r="Z1288" s="7">
        <v>2.0699999999999998</v>
      </c>
      <c r="AB1288" s="16"/>
      <c r="AD1288" s="16"/>
      <c r="AE1288" s="1">
        <v>1</v>
      </c>
    </row>
    <row r="1289" spans="1:31" x14ac:dyDescent="0.2">
      <c r="A1289" s="1">
        <v>1288</v>
      </c>
      <c r="B1289" s="1">
        <v>2010</v>
      </c>
      <c r="C1289" s="1" t="s">
        <v>31</v>
      </c>
      <c r="D1289" s="1" t="s">
        <v>805</v>
      </c>
      <c r="E1289" s="8" t="s">
        <v>169</v>
      </c>
      <c r="F1289" s="1" t="s">
        <v>32</v>
      </c>
      <c r="I1289" s="12">
        <v>10.02</v>
      </c>
      <c r="J1289" s="7">
        <v>28.628571428571401</v>
      </c>
      <c r="L1289" s="14">
        <v>3606</v>
      </c>
      <c r="N1289" s="14">
        <v>36177</v>
      </c>
      <c r="O1289" s="13">
        <v>33</v>
      </c>
      <c r="P1289" s="13">
        <v>10</v>
      </c>
      <c r="Q1289" s="13">
        <v>38.5</v>
      </c>
      <c r="R1289" s="13">
        <v>58.1</v>
      </c>
      <c r="S1289" s="13"/>
      <c r="T1289" s="15"/>
      <c r="U1289" s="13">
        <v>39.6</v>
      </c>
      <c r="V1289" s="13">
        <v>6.1</v>
      </c>
      <c r="W1289" s="12"/>
      <c r="X1289" s="15"/>
      <c r="Y1289" s="13">
        <v>73.7</v>
      </c>
      <c r="Z1289" s="7">
        <v>2.2400000000000002</v>
      </c>
      <c r="AB1289" s="16"/>
      <c r="AD1289" s="16"/>
      <c r="AE1289" s="1">
        <v>1</v>
      </c>
    </row>
    <row r="1290" spans="1:31" x14ac:dyDescent="0.2">
      <c r="A1290" s="1">
        <v>1289</v>
      </c>
      <c r="B1290" s="1">
        <v>2015</v>
      </c>
      <c r="C1290" s="8" t="s">
        <v>31</v>
      </c>
      <c r="D1290" s="1" t="s">
        <v>805</v>
      </c>
      <c r="E1290" s="8" t="s">
        <v>484</v>
      </c>
      <c r="F1290" s="1" t="s">
        <v>32</v>
      </c>
      <c r="G1290" s="8">
        <v>117</v>
      </c>
      <c r="I1290" s="12">
        <v>7.89</v>
      </c>
      <c r="J1290" s="7">
        <v>22.542857142857144</v>
      </c>
      <c r="K1290" s="1" t="s">
        <v>34</v>
      </c>
      <c r="L1290" s="14">
        <v>3608</v>
      </c>
      <c r="N1290" s="14">
        <v>28479</v>
      </c>
      <c r="O1290" s="13">
        <v>32.700000000000003</v>
      </c>
      <c r="P1290" s="13">
        <v>7.1</v>
      </c>
      <c r="Q1290" s="13">
        <v>36.799999999999997</v>
      </c>
      <c r="R1290" s="13">
        <v>52.8</v>
      </c>
      <c r="S1290" s="8"/>
      <c r="T1290" s="13">
        <v>24.4</v>
      </c>
      <c r="U1290" s="13">
        <v>37.799999999999997</v>
      </c>
      <c r="V1290" s="13">
        <v>3</v>
      </c>
      <c r="W1290" s="7">
        <v>0.76</v>
      </c>
      <c r="X1290" s="13"/>
      <c r="Y1290" s="13">
        <v>74.900000000000006</v>
      </c>
      <c r="Z1290" s="7">
        <v>1.53</v>
      </c>
      <c r="AA1290" s="1" t="s">
        <v>89</v>
      </c>
      <c r="AB1290" s="16" t="s">
        <v>89</v>
      </c>
      <c r="AC1290" s="1" t="s">
        <v>89</v>
      </c>
      <c r="AD1290" s="16" t="s">
        <v>89</v>
      </c>
      <c r="AE1290" s="1">
        <v>1</v>
      </c>
    </row>
    <row r="1291" spans="1:31" x14ac:dyDescent="0.2">
      <c r="A1291" s="1">
        <v>1290</v>
      </c>
      <c r="B1291" s="1">
        <v>2015</v>
      </c>
      <c r="C1291" s="8" t="s">
        <v>31</v>
      </c>
      <c r="D1291" s="8" t="s">
        <v>71</v>
      </c>
      <c r="E1291" s="8" t="s">
        <v>497</v>
      </c>
      <c r="F1291" s="1" t="s">
        <v>32</v>
      </c>
      <c r="G1291" s="8">
        <v>112</v>
      </c>
      <c r="I1291" s="12">
        <v>7.67</v>
      </c>
      <c r="J1291" s="7">
        <v>21.914285714285715</v>
      </c>
      <c r="K1291" s="1" t="s">
        <v>34</v>
      </c>
      <c r="L1291" s="14">
        <v>3609</v>
      </c>
      <c r="N1291" s="14">
        <v>27686</v>
      </c>
      <c r="O1291" s="13">
        <v>35.200000000000003</v>
      </c>
      <c r="P1291" s="13">
        <v>7</v>
      </c>
      <c r="Q1291" s="13">
        <v>34.4</v>
      </c>
      <c r="R1291" s="13">
        <v>52.7</v>
      </c>
      <c r="S1291" s="8"/>
      <c r="T1291" s="13">
        <v>22.7</v>
      </c>
      <c r="U1291" s="13">
        <v>39.200000000000003</v>
      </c>
      <c r="V1291" s="13">
        <v>3.8</v>
      </c>
      <c r="W1291" s="7">
        <v>0.78</v>
      </c>
      <c r="X1291" s="13"/>
      <c r="Y1291" s="13">
        <v>74.900000000000006</v>
      </c>
      <c r="Z1291" s="7">
        <v>1.39</v>
      </c>
      <c r="AA1291" s="1" t="s">
        <v>89</v>
      </c>
      <c r="AB1291" s="16" t="s">
        <v>89</v>
      </c>
      <c r="AC1291" s="1" t="s">
        <v>89</v>
      </c>
      <c r="AD1291" s="16" t="s">
        <v>89</v>
      </c>
      <c r="AE1291" s="1">
        <v>1</v>
      </c>
    </row>
    <row r="1292" spans="1:31" ht="17" x14ac:dyDescent="0.2">
      <c r="A1292" s="1">
        <v>1291</v>
      </c>
      <c r="B1292" s="1">
        <v>2018</v>
      </c>
      <c r="C1292" s="1" t="s">
        <v>31</v>
      </c>
      <c r="D1292" s="8" t="s">
        <v>402</v>
      </c>
      <c r="E1292" s="8" t="s">
        <v>657</v>
      </c>
      <c r="F1292" s="1" t="s">
        <v>83</v>
      </c>
      <c r="G1292" s="8">
        <v>115</v>
      </c>
      <c r="I1292" s="12">
        <v>5.03051096</v>
      </c>
      <c r="J1292" s="3">
        <v>14.3728885</v>
      </c>
      <c r="K1292" s="1" t="s">
        <v>34</v>
      </c>
      <c r="L1292" s="5">
        <v>3609.3</v>
      </c>
      <c r="M1292" s="6" t="s">
        <v>34</v>
      </c>
      <c r="N1292" s="5">
        <v>18116</v>
      </c>
      <c r="O1292" s="6">
        <v>32.447499999999998</v>
      </c>
      <c r="P1292" s="18">
        <v>8.5</v>
      </c>
      <c r="Q1292" s="6">
        <v>36.204999999999998</v>
      </c>
      <c r="R1292" s="6">
        <v>55.8</v>
      </c>
      <c r="S1292" s="3"/>
      <c r="T1292" s="6">
        <v>21.725000000000001</v>
      </c>
      <c r="U1292" s="6">
        <v>41.6</v>
      </c>
      <c r="V1292" s="6">
        <v>6.5750000000000002</v>
      </c>
      <c r="W1292" s="3">
        <v>0.75800000000000001</v>
      </c>
      <c r="X1292" s="6"/>
      <c r="Y1292" s="6">
        <v>73</v>
      </c>
      <c r="Z1292" s="3">
        <v>1.0210805599999999</v>
      </c>
      <c r="AB1292" s="16"/>
      <c r="AD1292" s="16"/>
      <c r="AE1292" s="1">
        <v>1</v>
      </c>
    </row>
    <row r="1293" spans="1:31" ht="17" x14ac:dyDescent="0.2">
      <c r="A1293" s="1">
        <v>1292</v>
      </c>
      <c r="B1293" s="1">
        <v>2019</v>
      </c>
      <c r="C1293" s="1" t="s">
        <v>31</v>
      </c>
      <c r="D1293" s="22" t="s">
        <v>917</v>
      </c>
      <c r="E1293" s="9" t="s">
        <v>728</v>
      </c>
      <c r="F1293" s="1" t="s">
        <v>83</v>
      </c>
      <c r="I1293" s="12">
        <v>6.05</v>
      </c>
      <c r="J1293" s="3">
        <v>17.285</v>
      </c>
      <c r="L1293" s="5">
        <v>3610.75</v>
      </c>
      <c r="N1293" s="5">
        <v>21811.35</v>
      </c>
      <c r="O1293" s="6">
        <v>36.212499999999999</v>
      </c>
      <c r="P1293" s="6">
        <v>9.9600000000000009</v>
      </c>
      <c r="Q1293" s="6">
        <v>28.1675</v>
      </c>
      <c r="R1293" s="6">
        <v>63.962499999999999</v>
      </c>
      <c r="S1293" s="3"/>
      <c r="T1293" s="6">
        <v>14.99</v>
      </c>
      <c r="U1293" s="6">
        <v>48.33</v>
      </c>
      <c r="V1293" s="6">
        <v>9.0175000000000001</v>
      </c>
      <c r="W1293" s="3">
        <v>0.73267499999999997</v>
      </c>
      <c r="X1293" s="6"/>
      <c r="Y1293" s="6">
        <v>70.69</v>
      </c>
      <c r="Z1293" s="3">
        <v>1.0774999999999999</v>
      </c>
      <c r="AB1293" s="16"/>
      <c r="AD1293" s="16"/>
      <c r="AE1293" s="1">
        <v>1</v>
      </c>
    </row>
    <row r="1294" spans="1:31" x14ac:dyDescent="0.2">
      <c r="A1294" s="1">
        <v>1293</v>
      </c>
      <c r="B1294" s="1">
        <v>2019</v>
      </c>
      <c r="C1294" s="1" t="s">
        <v>31</v>
      </c>
      <c r="D1294" s="1" t="s">
        <v>108</v>
      </c>
      <c r="E1294" s="1" t="s">
        <v>666</v>
      </c>
      <c r="F1294" s="1" t="s">
        <v>32</v>
      </c>
      <c r="G1294" s="1">
        <v>116</v>
      </c>
      <c r="I1294" s="12">
        <v>8.3000000000000007</v>
      </c>
      <c r="J1294" s="7">
        <v>23.8</v>
      </c>
      <c r="L1294" s="5">
        <v>3610.75</v>
      </c>
      <c r="N1294" s="5">
        <v>30044.4761390944</v>
      </c>
      <c r="O1294" s="6">
        <v>41.8</v>
      </c>
      <c r="P1294" s="6">
        <v>8.0225000000000009</v>
      </c>
      <c r="Q1294" s="6">
        <v>34.435000000000002</v>
      </c>
      <c r="R1294" s="6">
        <v>58.142499999999998</v>
      </c>
      <c r="S1294" s="3"/>
      <c r="T1294" s="6">
        <v>19.627500000000001</v>
      </c>
      <c r="U1294" s="6">
        <v>43.2</v>
      </c>
      <c r="V1294" s="6">
        <v>8.2725000000000009</v>
      </c>
      <c r="W1294" s="3">
        <v>0.77700000000000002</v>
      </c>
      <c r="X1294" s="6"/>
      <c r="Y1294" s="6">
        <v>74.7</v>
      </c>
      <c r="Z1294" s="3">
        <v>1.6527315125003901</v>
      </c>
      <c r="AB1294" s="16"/>
      <c r="AD1294" s="16"/>
      <c r="AE1294" s="1">
        <v>1</v>
      </c>
    </row>
    <row r="1295" spans="1:31" x14ac:dyDescent="0.2">
      <c r="A1295" s="1">
        <v>1294</v>
      </c>
      <c r="B1295" s="1">
        <v>2016</v>
      </c>
      <c r="C1295" s="1" t="s">
        <v>31</v>
      </c>
      <c r="D1295" s="8" t="s">
        <v>402</v>
      </c>
      <c r="E1295" s="8" t="s">
        <v>525</v>
      </c>
      <c r="F1295" s="1" t="s">
        <v>32</v>
      </c>
      <c r="G1295" s="8">
        <v>118</v>
      </c>
      <c r="H1295" s="1" t="s">
        <v>34</v>
      </c>
      <c r="I1295" s="12">
        <v>10.35</v>
      </c>
      <c r="J1295" s="7">
        <v>29.6</v>
      </c>
      <c r="K1295" s="1" t="s">
        <v>34</v>
      </c>
      <c r="L1295" s="14">
        <v>3611</v>
      </c>
      <c r="N1295" s="14">
        <v>37394</v>
      </c>
      <c r="O1295" s="13">
        <v>35.1</v>
      </c>
      <c r="P1295" s="13">
        <v>7.5</v>
      </c>
      <c r="Q1295" s="13">
        <v>35.9</v>
      </c>
      <c r="R1295" s="13">
        <v>54.6</v>
      </c>
      <c r="S1295" s="13"/>
      <c r="T1295" s="13">
        <v>21.1</v>
      </c>
      <c r="U1295" s="13">
        <v>39.799999999999997</v>
      </c>
      <c r="V1295" s="13">
        <v>3</v>
      </c>
      <c r="W1295" s="7">
        <v>0.78</v>
      </c>
      <c r="X1295" s="13"/>
      <c r="Y1295" s="13">
        <v>75.3</v>
      </c>
      <c r="Z1295" s="7">
        <v>2.0299999999999998</v>
      </c>
      <c r="AA1295" s="15" t="s">
        <v>89</v>
      </c>
      <c r="AB1295" s="16"/>
      <c r="AD1295" s="16"/>
      <c r="AE1295" s="1">
        <v>1</v>
      </c>
    </row>
    <row r="1296" spans="1:31" x14ac:dyDescent="0.2">
      <c r="A1296" s="1">
        <v>1295</v>
      </c>
      <c r="B1296" s="1">
        <v>2019</v>
      </c>
      <c r="C1296" s="1" t="s">
        <v>31</v>
      </c>
      <c r="D1296" s="1" t="s">
        <v>700</v>
      </c>
      <c r="E1296" s="1" t="s">
        <v>701</v>
      </c>
      <c r="F1296" s="1" t="s">
        <v>32</v>
      </c>
      <c r="G1296" s="1">
        <v>113</v>
      </c>
      <c r="I1296" s="12">
        <v>8.8000000000000007</v>
      </c>
      <c r="J1296" s="7">
        <v>25.1</v>
      </c>
      <c r="L1296" s="5">
        <v>3612</v>
      </c>
      <c r="N1296" s="5">
        <v>31406</v>
      </c>
      <c r="O1296" s="6">
        <v>30.8475</v>
      </c>
      <c r="P1296" s="6">
        <v>8.7650000000000006</v>
      </c>
      <c r="Q1296" s="6">
        <v>40.954999999999998</v>
      </c>
      <c r="R1296" s="6">
        <v>60.64</v>
      </c>
      <c r="S1296" s="3"/>
      <c r="T1296" s="6">
        <v>23.022500000000001</v>
      </c>
      <c r="U1296" s="6">
        <v>35.472499999999997</v>
      </c>
      <c r="V1296" s="6">
        <v>7.1475</v>
      </c>
      <c r="W1296" s="3">
        <v>0.74234999999999995</v>
      </c>
      <c r="X1296" s="6"/>
      <c r="Y1296" s="6">
        <v>71.557500000000005</v>
      </c>
      <c r="Z1296" s="3">
        <v>2.2799999999999998</v>
      </c>
      <c r="AB1296" s="16"/>
      <c r="AD1296" s="16"/>
      <c r="AE1296" s="1">
        <v>1</v>
      </c>
    </row>
    <row r="1297" spans="1:31" x14ac:dyDescent="0.2">
      <c r="A1297" s="1">
        <v>1296</v>
      </c>
      <c r="B1297" s="1">
        <v>2015</v>
      </c>
      <c r="C1297" s="8" t="s">
        <v>31</v>
      </c>
      <c r="D1297" s="8" t="s">
        <v>291</v>
      </c>
      <c r="E1297" s="8" t="s">
        <v>451</v>
      </c>
      <c r="F1297" s="1" t="s">
        <v>32</v>
      </c>
      <c r="G1297" s="8">
        <v>116</v>
      </c>
      <c r="I1297" s="12">
        <v>8.69</v>
      </c>
      <c r="J1297" s="7">
        <v>24.828571428571429</v>
      </c>
      <c r="K1297" s="1" t="s">
        <v>34</v>
      </c>
      <c r="L1297" s="14">
        <v>3613</v>
      </c>
      <c r="N1297" s="14">
        <v>31375</v>
      </c>
      <c r="O1297" s="13">
        <v>35.700000000000003</v>
      </c>
      <c r="P1297" s="13">
        <v>7.1</v>
      </c>
      <c r="Q1297" s="13">
        <v>33.700000000000003</v>
      </c>
      <c r="R1297" s="13">
        <v>53.4</v>
      </c>
      <c r="S1297" s="8"/>
      <c r="T1297" s="13">
        <v>22.7</v>
      </c>
      <c r="U1297" s="13">
        <v>39.4</v>
      </c>
      <c r="V1297" s="13">
        <v>3.9</v>
      </c>
      <c r="W1297" s="7">
        <v>0.78</v>
      </c>
      <c r="X1297" s="13"/>
      <c r="Y1297" s="13">
        <v>75</v>
      </c>
      <c r="Z1297" s="7">
        <v>1.56</v>
      </c>
      <c r="AA1297" s="1" t="s">
        <v>89</v>
      </c>
      <c r="AB1297" s="16" t="s">
        <v>89</v>
      </c>
      <c r="AC1297" s="1" t="s">
        <v>89</v>
      </c>
      <c r="AD1297" s="16" t="s">
        <v>89</v>
      </c>
      <c r="AE1297" s="1">
        <v>1</v>
      </c>
    </row>
    <row r="1298" spans="1:31" x14ac:dyDescent="0.2">
      <c r="A1298" s="1">
        <v>1297</v>
      </c>
      <c r="B1298" s="1">
        <v>2017</v>
      </c>
      <c r="C1298" s="1" t="s">
        <v>31</v>
      </c>
      <c r="D1298" s="8" t="s">
        <v>555</v>
      </c>
      <c r="E1298" s="8" t="s">
        <v>558</v>
      </c>
      <c r="F1298" s="1" t="s">
        <v>32</v>
      </c>
      <c r="G1298" s="8">
        <v>117</v>
      </c>
      <c r="I1298" s="12">
        <v>8.6992095799999998</v>
      </c>
      <c r="J1298" s="3">
        <v>24.854884500000001</v>
      </c>
      <c r="K1298" s="1" t="s">
        <v>34</v>
      </c>
      <c r="L1298" s="5">
        <v>3614</v>
      </c>
      <c r="N1298" s="5">
        <v>31403.179</v>
      </c>
      <c r="O1298" s="6">
        <v>32.4131863</v>
      </c>
      <c r="P1298" s="6">
        <v>7.1</v>
      </c>
      <c r="Q1298" s="6">
        <v>37.435000000000002</v>
      </c>
      <c r="R1298" s="6">
        <v>55.892499999999998</v>
      </c>
      <c r="S1298" s="3"/>
      <c r="T1298" s="6">
        <v>22.5625</v>
      </c>
      <c r="U1298" s="6">
        <v>38.6</v>
      </c>
      <c r="V1298" s="6">
        <v>2.9350000000000001</v>
      </c>
      <c r="W1298" s="3">
        <v>0.79</v>
      </c>
      <c r="X1298" s="6"/>
      <c r="Y1298" s="6">
        <v>73.099999999999994</v>
      </c>
      <c r="Z1298" s="3">
        <v>1.82221166</v>
      </c>
      <c r="AB1298" s="16"/>
      <c r="AD1298" s="16"/>
      <c r="AE1298" s="1">
        <v>1</v>
      </c>
    </row>
    <row r="1299" spans="1:31" x14ac:dyDescent="0.2">
      <c r="A1299" s="1">
        <v>1298</v>
      </c>
      <c r="B1299" s="1">
        <v>2012</v>
      </c>
      <c r="C1299" s="1" t="s">
        <v>31</v>
      </c>
      <c r="D1299" s="1" t="s">
        <v>914</v>
      </c>
      <c r="E1299" s="1" t="s">
        <v>205</v>
      </c>
      <c r="F1299" s="1" t="s">
        <v>32</v>
      </c>
      <c r="I1299" s="12">
        <v>9.65</v>
      </c>
      <c r="J1299" s="12">
        <v>27.6</v>
      </c>
      <c r="L1299" s="16">
        <v>3614</v>
      </c>
      <c r="N1299" s="16">
        <v>34854</v>
      </c>
      <c r="O1299" s="15">
        <v>30.4</v>
      </c>
      <c r="P1299" s="15">
        <v>7.7</v>
      </c>
      <c r="Q1299" s="15">
        <v>43.3</v>
      </c>
      <c r="R1299" s="15">
        <v>65</v>
      </c>
      <c r="T1299" s="15"/>
      <c r="U1299" s="15">
        <v>35.299999999999997</v>
      </c>
      <c r="V1299" s="15">
        <v>4.7</v>
      </c>
      <c r="W1299" s="12">
        <v>0.74</v>
      </c>
      <c r="X1299" s="15"/>
      <c r="Y1299" s="15"/>
      <c r="Z1299" s="12">
        <v>2.71</v>
      </c>
      <c r="AB1299" s="16"/>
      <c r="AD1299" s="16"/>
      <c r="AE1299" s="1">
        <v>1</v>
      </c>
    </row>
    <row r="1300" spans="1:31" x14ac:dyDescent="0.2">
      <c r="A1300" s="1">
        <v>1299</v>
      </c>
      <c r="B1300" s="1">
        <v>2011</v>
      </c>
      <c r="C1300" s="1" t="s">
        <v>31</v>
      </c>
      <c r="D1300" s="1" t="s">
        <v>37</v>
      </c>
      <c r="E1300" s="1" t="s">
        <v>40</v>
      </c>
      <c r="F1300" s="1" t="s">
        <v>32</v>
      </c>
      <c r="I1300" s="12">
        <v>9.3000000000000007</v>
      </c>
      <c r="J1300" s="12">
        <v>26.6</v>
      </c>
      <c r="L1300" s="16">
        <v>3615</v>
      </c>
      <c r="N1300" s="16">
        <v>33604</v>
      </c>
      <c r="O1300" s="15">
        <v>30.4</v>
      </c>
      <c r="P1300" s="15">
        <v>8.1999999999999993</v>
      </c>
      <c r="Q1300" s="15">
        <v>43.1</v>
      </c>
      <c r="R1300" s="15">
        <v>63.7</v>
      </c>
      <c r="T1300" s="15"/>
      <c r="U1300" s="15">
        <v>34.299999999999997</v>
      </c>
      <c r="V1300" s="15">
        <v>5.0999999999999996</v>
      </c>
      <c r="W1300" s="12"/>
      <c r="X1300" s="15"/>
      <c r="Y1300" s="15">
        <v>71.5</v>
      </c>
      <c r="Z1300" s="12">
        <v>2.5499999999999998</v>
      </c>
      <c r="AB1300" s="16"/>
      <c r="AD1300" s="16"/>
      <c r="AE1300" s="1">
        <v>1</v>
      </c>
    </row>
    <row r="1301" spans="1:31" x14ac:dyDescent="0.2">
      <c r="A1301" s="1">
        <v>1300</v>
      </c>
      <c r="B1301" s="1">
        <v>2015</v>
      </c>
      <c r="C1301" s="8" t="s">
        <v>31</v>
      </c>
      <c r="D1301" s="8" t="s">
        <v>402</v>
      </c>
      <c r="E1301" s="8" t="s">
        <v>479</v>
      </c>
      <c r="F1301" s="1" t="s">
        <v>83</v>
      </c>
      <c r="H1301" s="1" t="s">
        <v>34</v>
      </c>
      <c r="I1301" s="12">
        <v>8.2200000000000006</v>
      </c>
      <c r="J1301" s="7">
        <v>23.5</v>
      </c>
      <c r="L1301" s="14">
        <v>3616</v>
      </c>
      <c r="M1301" s="1" t="s">
        <v>34</v>
      </c>
      <c r="N1301" s="14">
        <v>29817</v>
      </c>
      <c r="O1301" s="13">
        <v>33</v>
      </c>
      <c r="P1301" s="13">
        <v>7.2</v>
      </c>
      <c r="Q1301" s="13">
        <v>36.6</v>
      </c>
      <c r="R1301" s="13">
        <v>52</v>
      </c>
      <c r="S1301" s="8"/>
      <c r="T1301" s="13">
        <v>22.8</v>
      </c>
      <c r="U1301" s="13">
        <v>37.1</v>
      </c>
      <c r="V1301" s="13">
        <v>3.5</v>
      </c>
      <c r="W1301" s="7">
        <v>0.76</v>
      </c>
      <c r="X1301" s="13"/>
      <c r="Y1301" s="13">
        <v>73.599999999999994</v>
      </c>
      <c r="Z1301" s="7">
        <v>1.55</v>
      </c>
      <c r="AA1301" s="18">
        <v>2.625</v>
      </c>
      <c r="AB1301" s="16">
        <f>AA1301*10</f>
        <v>26.25</v>
      </c>
      <c r="AC1301" s="15" t="s">
        <v>89</v>
      </c>
      <c r="AD1301" s="16"/>
      <c r="AE1301" s="1">
        <v>1</v>
      </c>
    </row>
    <row r="1302" spans="1:31" x14ac:dyDescent="0.2">
      <c r="A1302" s="1">
        <v>1301</v>
      </c>
      <c r="B1302" s="1">
        <v>2017</v>
      </c>
      <c r="C1302" s="1" t="s">
        <v>31</v>
      </c>
      <c r="D1302" s="8" t="s">
        <v>37</v>
      </c>
      <c r="E1302" s="8" t="s">
        <v>621</v>
      </c>
      <c r="F1302" s="1" t="s">
        <v>32</v>
      </c>
      <c r="G1302" s="8">
        <v>118</v>
      </c>
      <c r="I1302" s="12">
        <v>8.47331404</v>
      </c>
      <c r="J1302" s="3">
        <v>24.209468699999999</v>
      </c>
      <c r="K1302" s="1" t="s">
        <v>34</v>
      </c>
      <c r="L1302" s="5">
        <v>3616</v>
      </c>
      <c r="N1302" s="5">
        <v>30650.082200000001</v>
      </c>
      <c r="O1302" s="6">
        <v>31.111516999999999</v>
      </c>
      <c r="P1302" s="6">
        <v>7.3375000000000004</v>
      </c>
      <c r="Q1302" s="6">
        <v>37.8825</v>
      </c>
      <c r="R1302" s="6">
        <v>54.78</v>
      </c>
      <c r="S1302" s="3"/>
      <c r="T1302" s="6">
        <v>22.952500000000001</v>
      </c>
      <c r="U1302" s="6">
        <v>37.7425</v>
      </c>
      <c r="V1302" s="6">
        <v>2.7625000000000002</v>
      </c>
      <c r="W1302" s="3">
        <v>0.79</v>
      </c>
      <c r="X1302" s="6"/>
      <c r="Y1302" s="6">
        <v>73.2</v>
      </c>
      <c r="Z1302" s="3">
        <v>1.7582120699999999</v>
      </c>
      <c r="AB1302" s="16"/>
      <c r="AD1302" s="16"/>
      <c r="AE1302" s="1">
        <v>1</v>
      </c>
    </row>
    <row r="1303" spans="1:31" x14ac:dyDescent="0.2">
      <c r="A1303" s="1">
        <v>1302</v>
      </c>
      <c r="B1303" s="1">
        <v>2011</v>
      </c>
      <c r="C1303" s="1" t="s">
        <v>31</v>
      </c>
      <c r="D1303" s="1" t="s">
        <v>37</v>
      </c>
      <c r="E1303" s="1" t="s">
        <v>40</v>
      </c>
      <c r="F1303" s="1" t="s">
        <v>83</v>
      </c>
      <c r="I1303" s="12">
        <v>6.63</v>
      </c>
      <c r="J1303" s="12">
        <v>18.899999999999999</v>
      </c>
      <c r="K1303" s="1" t="s">
        <v>34</v>
      </c>
      <c r="L1303" s="16">
        <v>3618</v>
      </c>
      <c r="N1303" s="16">
        <v>23991</v>
      </c>
      <c r="O1303" s="15">
        <v>28.8</v>
      </c>
      <c r="P1303" s="15">
        <v>7.7</v>
      </c>
      <c r="Q1303" s="15">
        <v>42.3</v>
      </c>
      <c r="R1303" s="15">
        <v>58</v>
      </c>
      <c r="T1303" s="15"/>
      <c r="U1303" s="15">
        <v>32.799999999999997</v>
      </c>
      <c r="V1303" s="15">
        <v>6.9</v>
      </c>
      <c r="W1303" s="12"/>
      <c r="X1303" s="15"/>
      <c r="Y1303" s="15">
        <v>70.900000000000006</v>
      </c>
      <c r="Z1303" s="12">
        <v>1.79</v>
      </c>
      <c r="AB1303" s="16"/>
      <c r="AD1303" s="16"/>
      <c r="AE1303" s="1">
        <v>1</v>
      </c>
    </row>
    <row r="1304" spans="1:31" x14ac:dyDescent="0.2">
      <c r="A1304" s="1">
        <v>1303</v>
      </c>
      <c r="B1304" s="1">
        <v>2009</v>
      </c>
      <c r="C1304" s="1" t="s">
        <v>31</v>
      </c>
      <c r="D1304" s="8" t="s">
        <v>125</v>
      </c>
      <c r="E1304" s="8" t="s">
        <v>127</v>
      </c>
      <c r="F1304" s="1" t="s">
        <v>32</v>
      </c>
      <c r="I1304" s="12">
        <v>7.04</v>
      </c>
      <c r="J1304" s="7">
        <v>20.1142857142857</v>
      </c>
      <c r="L1304" s="14">
        <v>3618</v>
      </c>
      <c r="N1304" s="14">
        <v>25443</v>
      </c>
      <c r="O1304" s="13">
        <v>29.1</v>
      </c>
      <c r="P1304" s="13">
        <v>9.1999999999999993</v>
      </c>
      <c r="Q1304" s="13">
        <v>40.5</v>
      </c>
      <c r="R1304" s="13">
        <v>59.2</v>
      </c>
      <c r="S1304" s="13"/>
      <c r="T1304" s="15" t="s">
        <v>89</v>
      </c>
      <c r="U1304" s="13">
        <v>36.9</v>
      </c>
      <c r="V1304" s="13">
        <v>7</v>
      </c>
      <c r="W1304" s="12" t="s">
        <v>89</v>
      </c>
      <c r="X1304" s="15"/>
      <c r="Y1304" s="13">
        <v>75.7</v>
      </c>
      <c r="Z1304" s="7">
        <v>1.69</v>
      </c>
      <c r="AB1304" s="16"/>
      <c r="AD1304" s="16"/>
      <c r="AE1304" s="1">
        <v>1</v>
      </c>
    </row>
    <row r="1305" spans="1:31" x14ac:dyDescent="0.2">
      <c r="A1305" s="1">
        <v>1304</v>
      </c>
      <c r="B1305" s="1">
        <v>2010</v>
      </c>
      <c r="C1305" s="1" t="s">
        <v>31</v>
      </c>
      <c r="D1305" s="8" t="s">
        <v>108</v>
      </c>
      <c r="E1305" s="8" t="s">
        <v>179</v>
      </c>
      <c r="F1305" s="1" t="s">
        <v>32</v>
      </c>
      <c r="I1305" s="12">
        <v>8.6199999999999992</v>
      </c>
      <c r="J1305" s="7">
        <v>24.628571428571401</v>
      </c>
      <c r="L1305" s="14">
        <v>3619</v>
      </c>
      <c r="N1305" s="14">
        <v>31212</v>
      </c>
      <c r="O1305" s="13">
        <v>27.7</v>
      </c>
      <c r="P1305" s="13">
        <v>9.8000000000000007</v>
      </c>
      <c r="Q1305" s="13">
        <v>39.700000000000003</v>
      </c>
      <c r="R1305" s="13">
        <v>60.1</v>
      </c>
      <c r="S1305" s="13"/>
      <c r="T1305" s="15"/>
      <c r="U1305" s="13">
        <v>39.6</v>
      </c>
      <c r="V1305" s="13">
        <v>5.4</v>
      </c>
      <c r="W1305" s="12"/>
      <c r="X1305" s="15"/>
      <c r="Y1305" s="13">
        <v>72.7</v>
      </c>
      <c r="Z1305" s="7">
        <v>2.06</v>
      </c>
      <c r="AB1305" s="16"/>
      <c r="AD1305" s="16"/>
      <c r="AE1305" s="1">
        <v>1</v>
      </c>
    </row>
    <row r="1306" spans="1:31" x14ac:dyDescent="0.2">
      <c r="A1306" s="1">
        <v>1305</v>
      </c>
      <c r="B1306" s="1">
        <v>2010</v>
      </c>
      <c r="C1306" s="1" t="s">
        <v>31</v>
      </c>
      <c r="D1306" s="28" t="s">
        <v>914</v>
      </c>
      <c r="E1306" s="8" t="s">
        <v>156</v>
      </c>
      <c r="F1306" s="1" t="s">
        <v>32</v>
      </c>
      <c r="I1306" s="12">
        <v>9.67</v>
      </c>
      <c r="J1306" s="7">
        <v>27.628571428571401</v>
      </c>
      <c r="K1306" s="1" t="s">
        <v>34</v>
      </c>
      <c r="L1306" s="14">
        <v>3619</v>
      </c>
      <c r="N1306" s="14">
        <v>34998</v>
      </c>
      <c r="O1306" s="13">
        <v>30.6</v>
      </c>
      <c r="P1306" s="13">
        <v>10</v>
      </c>
      <c r="Q1306" s="13">
        <v>39.5</v>
      </c>
      <c r="R1306" s="13">
        <v>58.9</v>
      </c>
      <c r="S1306" s="13"/>
      <c r="T1306" s="15"/>
      <c r="U1306" s="13">
        <v>39.4</v>
      </c>
      <c r="V1306" s="13">
        <v>5.8</v>
      </c>
      <c r="W1306" s="12"/>
      <c r="X1306" s="15"/>
      <c r="Y1306" s="13">
        <v>73.099999999999994</v>
      </c>
      <c r="Z1306" s="7">
        <v>2.2400000000000002</v>
      </c>
      <c r="AB1306" s="16"/>
      <c r="AD1306" s="16"/>
      <c r="AE1306" s="1">
        <v>1</v>
      </c>
    </row>
    <row r="1307" spans="1:31" x14ac:dyDescent="0.2">
      <c r="A1307" s="1">
        <v>1306</v>
      </c>
      <c r="B1307" s="1">
        <v>2016</v>
      </c>
      <c r="C1307" s="1" t="s">
        <v>31</v>
      </c>
      <c r="D1307" s="8" t="s">
        <v>874</v>
      </c>
      <c r="E1307" s="8" t="s">
        <v>523</v>
      </c>
      <c r="F1307" s="1" t="s">
        <v>32</v>
      </c>
      <c r="G1307" s="8">
        <v>116</v>
      </c>
      <c r="I1307" s="12">
        <v>8.35</v>
      </c>
      <c r="J1307" s="7">
        <v>23.8571428571429</v>
      </c>
      <c r="K1307" s="1" t="s">
        <v>34</v>
      </c>
      <c r="L1307" s="14">
        <v>3621</v>
      </c>
      <c r="N1307" s="14">
        <v>30234</v>
      </c>
      <c r="O1307" s="13">
        <v>34.200000000000003</v>
      </c>
      <c r="P1307" s="13">
        <v>7.1</v>
      </c>
      <c r="Q1307" s="13">
        <v>39.4</v>
      </c>
      <c r="R1307" s="13">
        <v>58</v>
      </c>
      <c r="S1307" s="13"/>
      <c r="T1307" s="13">
        <v>22.9</v>
      </c>
      <c r="U1307" s="13">
        <v>37.700000000000003</v>
      </c>
      <c r="V1307" s="13">
        <v>2.5</v>
      </c>
      <c r="W1307" s="7">
        <v>0.77</v>
      </c>
      <c r="X1307" s="13"/>
      <c r="Y1307" s="13">
        <v>73.400000000000006</v>
      </c>
      <c r="Z1307" s="7">
        <v>1.9</v>
      </c>
      <c r="AA1307" s="15" t="s">
        <v>89</v>
      </c>
      <c r="AB1307" s="16"/>
      <c r="AD1307" s="16"/>
      <c r="AE1307" s="1">
        <v>1</v>
      </c>
    </row>
    <row r="1308" spans="1:31" x14ac:dyDescent="0.2">
      <c r="A1308" s="1">
        <v>1307</v>
      </c>
      <c r="B1308" s="1">
        <v>2011</v>
      </c>
      <c r="C1308" s="1" t="s">
        <v>31</v>
      </c>
      <c r="D1308" s="1" t="s">
        <v>125</v>
      </c>
      <c r="E1308" s="1" t="s">
        <v>171</v>
      </c>
      <c r="F1308" s="1" t="s">
        <v>32</v>
      </c>
      <c r="I1308" s="12">
        <v>8.44</v>
      </c>
      <c r="J1308" s="12">
        <v>30.1</v>
      </c>
      <c r="L1308" s="16">
        <v>3622</v>
      </c>
      <c r="N1308" s="16">
        <v>30590</v>
      </c>
      <c r="O1308" s="15">
        <v>27.3</v>
      </c>
      <c r="P1308" s="15">
        <v>8.6</v>
      </c>
      <c r="Q1308" s="15">
        <v>41</v>
      </c>
      <c r="R1308" s="15">
        <v>62.5</v>
      </c>
      <c r="T1308" s="15"/>
      <c r="U1308" s="15">
        <v>37.200000000000003</v>
      </c>
      <c r="V1308" s="15">
        <v>4.8</v>
      </c>
      <c r="W1308" s="12"/>
      <c r="X1308" s="15"/>
      <c r="Y1308" s="15">
        <v>71.400000000000006</v>
      </c>
      <c r="Z1308" s="12">
        <v>2.16</v>
      </c>
      <c r="AB1308" s="16"/>
      <c r="AD1308" s="16"/>
      <c r="AE1308" s="1">
        <v>1</v>
      </c>
    </row>
    <row r="1309" spans="1:31" x14ac:dyDescent="0.2">
      <c r="A1309" s="1">
        <v>1308</v>
      </c>
      <c r="B1309" s="1">
        <v>2019</v>
      </c>
      <c r="C1309" s="1" t="s">
        <v>31</v>
      </c>
      <c r="D1309" s="1" t="s">
        <v>555</v>
      </c>
      <c r="E1309" s="1" t="s">
        <v>709</v>
      </c>
      <c r="F1309" s="1" t="s">
        <v>32</v>
      </c>
      <c r="G1309" s="1">
        <v>117</v>
      </c>
      <c r="I1309" s="12">
        <v>9.3000000000000007</v>
      </c>
      <c r="J1309" s="7">
        <v>26.7</v>
      </c>
      <c r="L1309" s="5">
        <v>3623.75</v>
      </c>
      <c r="N1309" s="5">
        <v>34143.699999999997</v>
      </c>
      <c r="O1309" s="6">
        <v>30.285</v>
      </c>
      <c r="P1309" s="6">
        <v>9.6</v>
      </c>
      <c r="Q1309" s="6">
        <v>39.522500000000001</v>
      </c>
      <c r="R1309" s="6">
        <v>61.36</v>
      </c>
      <c r="S1309" s="3"/>
      <c r="T1309" s="6">
        <v>22.274999999999999</v>
      </c>
      <c r="U1309" s="6">
        <v>33.522500000000001</v>
      </c>
      <c r="V1309" s="6">
        <v>8.8574999999999999</v>
      </c>
      <c r="W1309" s="3">
        <v>0.73822500000000002</v>
      </c>
      <c r="X1309" s="6"/>
      <c r="Y1309" s="6">
        <v>71.1875</v>
      </c>
      <c r="Z1309" s="3">
        <v>2.2400000000000002</v>
      </c>
      <c r="AB1309" s="16"/>
      <c r="AD1309" s="16"/>
      <c r="AE1309" s="1">
        <v>1</v>
      </c>
    </row>
    <row r="1310" spans="1:31" x14ac:dyDescent="0.2">
      <c r="A1310" s="1">
        <v>1309</v>
      </c>
      <c r="B1310" s="1">
        <v>2009</v>
      </c>
      <c r="C1310" s="1" t="s">
        <v>31</v>
      </c>
      <c r="D1310" s="8" t="s">
        <v>108</v>
      </c>
      <c r="E1310" s="8" t="s">
        <v>109</v>
      </c>
      <c r="F1310" s="1" t="s">
        <v>32</v>
      </c>
      <c r="I1310" s="12">
        <v>6.65</v>
      </c>
      <c r="J1310" s="7">
        <v>19</v>
      </c>
      <c r="K1310" s="1" t="s">
        <v>34</v>
      </c>
      <c r="L1310" s="14">
        <v>3624</v>
      </c>
      <c r="N1310" s="14">
        <v>24060</v>
      </c>
      <c r="O1310" s="13">
        <v>27.3</v>
      </c>
      <c r="P1310" s="13">
        <v>9.6</v>
      </c>
      <c r="Q1310" s="13">
        <v>39.700000000000003</v>
      </c>
      <c r="R1310" s="13">
        <v>59.4</v>
      </c>
      <c r="S1310" s="13"/>
      <c r="T1310" s="13" t="s">
        <v>89</v>
      </c>
      <c r="U1310" s="13">
        <v>37.6</v>
      </c>
      <c r="V1310" s="13">
        <v>7.5</v>
      </c>
      <c r="W1310" s="7" t="s">
        <v>89</v>
      </c>
      <c r="X1310" s="13"/>
      <c r="Y1310" s="13">
        <v>75.8</v>
      </c>
      <c r="Z1310" s="7">
        <v>1.57</v>
      </c>
      <c r="AB1310" s="16"/>
      <c r="AD1310" s="16"/>
      <c r="AE1310" s="1">
        <v>1</v>
      </c>
    </row>
    <row r="1311" spans="1:31" x14ac:dyDescent="0.2">
      <c r="A1311" s="1">
        <v>1310</v>
      </c>
      <c r="B1311" s="1">
        <v>2010</v>
      </c>
      <c r="C1311" s="1" t="s">
        <v>31</v>
      </c>
      <c r="D1311" s="1" t="s">
        <v>805</v>
      </c>
      <c r="E1311" s="8" t="s">
        <v>168</v>
      </c>
      <c r="F1311" s="1" t="s">
        <v>32</v>
      </c>
      <c r="I1311" s="12">
        <v>8.9</v>
      </c>
      <c r="J1311" s="7">
        <v>25.428571428571399</v>
      </c>
      <c r="K1311" s="1" t="s">
        <v>34</v>
      </c>
      <c r="L1311" s="14">
        <v>3624</v>
      </c>
      <c r="N1311" s="14">
        <v>32243</v>
      </c>
      <c r="O1311" s="13">
        <v>31.4</v>
      </c>
      <c r="P1311" s="13">
        <v>9.6</v>
      </c>
      <c r="Q1311" s="13">
        <v>38.4</v>
      </c>
      <c r="R1311" s="13">
        <v>57.6</v>
      </c>
      <c r="S1311" s="13"/>
      <c r="T1311" s="15"/>
      <c r="U1311" s="13">
        <v>40.4</v>
      </c>
      <c r="V1311" s="13">
        <v>5.4</v>
      </c>
      <c r="W1311" s="12"/>
      <c r="X1311" s="15"/>
      <c r="Y1311" s="13">
        <v>73.400000000000006</v>
      </c>
      <c r="Z1311" s="7">
        <v>1.96</v>
      </c>
      <c r="AB1311" s="16"/>
      <c r="AD1311" s="16"/>
      <c r="AE1311" s="1">
        <v>1</v>
      </c>
    </row>
    <row r="1312" spans="1:31" x14ac:dyDescent="0.2">
      <c r="A1312" s="1">
        <v>1311</v>
      </c>
      <c r="B1312" s="1">
        <v>2019</v>
      </c>
      <c r="C1312" s="1" t="s">
        <v>31</v>
      </c>
      <c r="D1312" s="1" t="s">
        <v>402</v>
      </c>
      <c r="E1312" s="1" t="s">
        <v>710</v>
      </c>
      <c r="F1312" s="1" t="s">
        <v>32</v>
      </c>
      <c r="G1312" s="1">
        <v>115</v>
      </c>
      <c r="I1312" s="12">
        <v>8.3000000000000007</v>
      </c>
      <c r="J1312" s="7">
        <v>23.7</v>
      </c>
      <c r="L1312" s="5">
        <v>3625</v>
      </c>
      <c r="N1312" s="5">
        <v>30109.9</v>
      </c>
      <c r="O1312" s="6">
        <v>31.247499999999999</v>
      </c>
      <c r="P1312" s="6">
        <v>9.5</v>
      </c>
      <c r="Q1312" s="6">
        <v>39.515000000000001</v>
      </c>
      <c r="R1312" s="6">
        <v>60.335000000000001</v>
      </c>
      <c r="S1312" s="3"/>
      <c r="T1312" s="6">
        <v>22.305</v>
      </c>
      <c r="U1312" s="6">
        <v>34.924999999999997</v>
      </c>
      <c r="V1312" s="6">
        <v>7.9424999999999999</v>
      </c>
      <c r="W1312" s="3">
        <v>0.7409</v>
      </c>
      <c r="X1312" s="6"/>
      <c r="Y1312" s="6">
        <v>71.427499999999995</v>
      </c>
      <c r="Z1312" s="3">
        <v>1.97847776495817</v>
      </c>
      <c r="AB1312" s="16"/>
      <c r="AD1312" s="16"/>
      <c r="AE1312" s="1">
        <v>1</v>
      </c>
    </row>
    <row r="1313" spans="1:31" x14ac:dyDescent="0.2">
      <c r="A1313" s="1">
        <v>1312</v>
      </c>
      <c r="B1313" s="1">
        <v>2011</v>
      </c>
      <c r="C1313" s="1" t="s">
        <v>31</v>
      </c>
      <c r="D1313" s="8" t="s">
        <v>874</v>
      </c>
      <c r="E1313" s="1" t="s">
        <v>117</v>
      </c>
      <c r="F1313" s="1" t="s">
        <v>32</v>
      </c>
      <c r="I1313" s="12">
        <v>8.76</v>
      </c>
      <c r="J1313" s="12">
        <v>31.4</v>
      </c>
      <c r="L1313" s="16">
        <v>3625</v>
      </c>
      <c r="N1313" s="16">
        <v>31761</v>
      </c>
      <c r="O1313" s="15">
        <v>28.3</v>
      </c>
      <c r="P1313" s="15">
        <v>7.4</v>
      </c>
      <c r="Q1313" s="15">
        <v>44.2</v>
      </c>
      <c r="R1313" s="15">
        <v>64.5</v>
      </c>
      <c r="T1313" s="15"/>
      <c r="U1313" s="15">
        <v>37.4</v>
      </c>
      <c r="V1313" s="15">
        <v>3.4</v>
      </c>
      <c r="W1313" s="12"/>
      <c r="X1313" s="15"/>
      <c r="Y1313" s="15">
        <v>71.3</v>
      </c>
      <c r="Z1313" s="12">
        <v>2.5</v>
      </c>
      <c r="AB1313" s="16"/>
      <c r="AD1313" s="16"/>
      <c r="AE1313" s="1">
        <v>1</v>
      </c>
    </row>
    <row r="1314" spans="1:31" x14ac:dyDescent="0.2">
      <c r="A1314" s="1">
        <v>1313</v>
      </c>
      <c r="B1314" s="1">
        <v>2010</v>
      </c>
      <c r="C1314" s="1" t="s">
        <v>31</v>
      </c>
      <c r="D1314" s="8" t="s">
        <v>125</v>
      </c>
      <c r="E1314" s="8" t="s">
        <v>171</v>
      </c>
      <c r="F1314" s="1" t="s">
        <v>32</v>
      </c>
      <c r="I1314" s="12">
        <v>9.92</v>
      </c>
      <c r="J1314" s="7">
        <v>28.342857142857099</v>
      </c>
      <c r="K1314" s="1" t="s">
        <v>34</v>
      </c>
      <c r="L1314" s="14">
        <v>3625</v>
      </c>
      <c r="N1314" s="14">
        <v>35995</v>
      </c>
      <c r="O1314" s="13">
        <v>29.8</v>
      </c>
      <c r="P1314" s="13">
        <v>10</v>
      </c>
      <c r="Q1314" s="13">
        <v>41.2</v>
      </c>
      <c r="R1314" s="13">
        <v>60.3</v>
      </c>
      <c r="S1314" s="13"/>
      <c r="T1314" s="15"/>
      <c r="U1314" s="13">
        <v>36.700000000000003</v>
      </c>
      <c r="V1314" s="13">
        <v>5.8</v>
      </c>
      <c r="W1314" s="12"/>
      <c r="X1314" s="15"/>
      <c r="Y1314" s="13">
        <v>72.8</v>
      </c>
      <c r="Z1314" s="7">
        <v>2.46</v>
      </c>
      <c r="AB1314" s="16"/>
      <c r="AD1314" s="16"/>
      <c r="AE1314" s="1">
        <v>1</v>
      </c>
    </row>
    <row r="1315" spans="1:31" x14ac:dyDescent="0.2">
      <c r="A1315" s="1">
        <v>1314</v>
      </c>
      <c r="B1315" s="1">
        <v>2009</v>
      </c>
      <c r="C1315" s="1" t="s">
        <v>31</v>
      </c>
      <c r="D1315" s="8" t="s">
        <v>108</v>
      </c>
      <c r="E1315" s="8" t="s">
        <v>113</v>
      </c>
      <c r="F1315" s="1" t="s">
        <v>32</v>
      </c>
      <c r="I1315" s="12">
        <v>7.79</v>
      </c>
      <c r="J1315" s="7">
        <v>22.257142857142899</v>
      </c>
      <c r="K1315" s="1" t="s">
        <v>34</v>
      </c>
      <c r="L1315" s="14">
        <v>3626</v>
      </c>
      <c r="N1315" s="14">
        <v>28264</v>
      </c>
      <c r="O1315" s="13">
        <v>32.6</v>
      </c>
      <c r="P1315" s="13">
        <v>9</v>
      </c>
      <c r="Q1315" s="13">
        <v>37.9</v>
      </c>
      <c r="R1315" s="13">
        <v>58.2</v>
      </c>
      <c r="S1315" s="13"/>
      <c r="T1315" s="13" t="s">
        <v>89</v>
      </c>
      <c r="U1315" s="13">
        <v>41.1</v>
      </c>
      <c r="V1315" s="13">
        <v>6.5</v>
      </c>
      <c r="W1315" s="7" t="s">
        <v>89</v>
      </c>
      <c r="X1315" s="13"/>
      <c r="Y1315" s="13">
        <v>75.7</v>
      </c>
      <c r="Z1315" s="7">
        <v>1.72</v>
      </c>
      <c r="AB1315" s="16"/>
      <c r="AD1315" s="16"/>
      <c r="AE1315" s="1">
        <v>1</v>
      </c>
    </row>
    <row r="1316" spans="1:31" x14ac:dyDescent="0.2">
      <c r="A1316" s="1">
        <v>1315</v>
      </c>
      <c r="B1316" s="1">
        <v>2010</v>
      </c>
      <c r="C1316" s="1" t="s">
        <v>31</v>
      </c>
      <c r="D1316" s="8" t="s">
        <v>874</v>
      </c>
      <c r="E1316" s="8" t="s">
        <v>162</v>
      </c>
      <c r="F1316" s="1" t="s">
        <v>32</v>
      </c>
      <c r="I1316" s="12">
        <v>8.6999999999999993</v>
      </c>
      <c r="J1316" s="7">
        <v>24.8571428571429</v>
      </c>
      <c r="K1316" s="1" t="s">
        <v>34</v>
      </c>
      <c r="L1316" s="14">
        <v>3626</v>
      </c>
      <c r="N1316" s="14">
        <v>31640</v>
      </c>
      <c r="O1316" s="13">
        <v>32.799999999999997</v>
      </c>
      <c r="P1316" s="13">
        <v>9.5</v>
      </c>
      <c r="Q1316" s="13">
        <v>38.700000000000003</v>
      </c>
      <c r="R1316" s="13">
        <v>59</v>
      </c>
      <c r="S1316" s="13"/>
      <c r="T1316" s="15"/>
      <c r="U1316" s="13">
        <v>40.6</v>
      </c>
      <c r="V1316" s="13">
        <v>4.7</v>
      </c>
      <c r="W1316" s="12"/>
      <c r="X1316" s="15"/>
      <c r="Y1316" s="13">
        <v>73.599999999999994</v>
      </c>
      <c r="Z1316" s="7">
        <v>1.97</v>
      </c>
      <c r="AB1316" s="16"/>
      <c r="AD1316" s="16"/>
      <c r="AE1316" s="1">
        <v>1</v>
      </c>
    </row>
    <row r="1317" spans="1:31" x14ac:dyDescent="0.2">
      <c r="A1317" s="1">
        <v>1316</v>
      </c>
      <c r="B1317" s="1">
        <v>2019</v>
      </c>
      <c r="C1317" s="1" t="s">
        <v>31</v>
      </c>
      <c r="D1317" s="1" t="s">
        <v>402</v>
      </c>
      <c r="E1317" s="8" t="s">
        <v>711</v>
      </c>
      <c r="F1317" s="1" t="s">
        <v>32</v>
      </c>
      <c r="G1317" s="1">
        <v>117</v>
      </c>
      <c r="I1317" s="12">
        <v>9.5500000000000007</v>
      </c>
      <c r="J1317" s="7">
        <v>27.4</v>
      </c>
      <c r="L1317" s="5">
        <v>3630</v>
      </c>
      <c r="N1317" s="5">
        <v>34707.4</v>
      </c>
      <c r="O1317" s="6">
        <v>36.037500000000001</v>
      </c>
      <c r="P1317" s="6">
        <v>8.8825000000000003</v>
      </c>
      <c r="Q1317" s="6">
        <v>37.99</v>
      </c>
      <c r="R1317" s="6">
        <v>60.01</v>
      </c>
      <c r="S1317" s="3"/>
      <c r="T1317" s="6">
        <v>21.6875</v>
      </c>
      <c r="U1317" s="6">
        <v>38.094999999999999</v>
      </c>
      <c r="V1317" s="6">
        <v>8.2725000000000009</v>
      </c>
      <c r="W1317" s="3">
        <v>0.74560000000000004</v>
      </c>
      <c r="X1317" s="6"/>
      <c r="Y1317" s="6">
        <v>71.849999999999994</v>
      </c>
      <c r="Z1317" s="3">
        <v>2.1888545462408899</v>
      </c>
      <c r="AB1317" s="16"/>
      <c r="AD1317" s="16"/>
      <c r="AE1317" s="1">
        <v>1</v>
      </c>
    </row>
    <row r="1318" spans="1:31" x14ac:dyDescent="0.2">
      <c r="A1318" s="1">
        <v>1317</v>
      </c>
      <c r="B1318" s="1">
        <v>2019</v>
      </c>
      <c r="C1318" s="1" t="s">
        <v>31</v>
      </c>
      <c r="D1318" s="1" t="s">
        <v>700</v>
      </c>
      <c r="E1318" s="1" t="s">
        <v>706</v>
      </c>
      <c r="F1318" s="1" t="s">
        <v>32</v>
      </c>
      <c r="G1318" s="1">
        <v>118</v>
      </c>
      <c r="I1318" s="12">
        <v>9.3000000000000007</v>
      </c>
      <c r="J1318" s="7">
        <v>26.6</v>
      </c>
      <c r="L1318" s="5">
        <v>3631</v>
      </c>
      <c r="N1318" s="5">
        <v>33815.300000000003</v>
      </c>
      <c r="O1318" s="6">
        <v>32.020000000000003</v>
      </c>
      <c r="P1318" s="6">
        <v>9.6999999999999993</v>
      </c>
      <c r="Q1318" s="6">
        <v>39.247500000000002</v>
      </c>
      <c r="R1318" s="6">
        <v>60.615000000000002</v>
      </c>
      <c r="S1318" s="3"/>
      <c r="T1318" s="6">
        <v>22.495000000000001</v>
      </c>
      <c r="U1318" s="6">
        <v>34.935000000000002</v>
      </c>
      <c r="V1318" s="6">
        <v>7.9</v>
      </c>
      <c r="W1318" s="3">
        <v>0.73997500000000005</v>
      </c>
      <c r="X1318" s="6"/>
      <c r="Y1318" s="6">
        <v>71.344999999999999</v>
      </c>
      <c r="Z1318" s="3">
        <v>2.19501943791089</v>
      </c>
      <c r="AB1318" s="16"/>
      <c r="AD1318" s="16"/>
      <c r="AE1318" s="1">
        <v>1</v>
      </c>
    </row>
    <row r="1319" spans="1:31" x14ac:dyDescent="0.2">
      <c r="A1319" s="1">
        <v>1318</v>
      </c>
      <c r="B1319" s="1">
        <v>2016</v>
      </c>
      <c r="C1319" s="1" t="s">
        <v>31</v>
      </c>
      <c r="D1319" s="28" t="s">
        <v>914</v>
      </c>
      <c r="E1319" s="8" t="s">
        <v>482</v>
      </c>
      <c r="F1319" s="1" t="s">
        <v>32</v>
      </c>
      <c r="G1319" s="8">
        <v>118</v>
      </c>
      <c r="H1319" s="1" t="s">
        <v>34</v>
      </c>
      <c r="I1319" s="12">
        <v>10.050000000000001</v>
      </c>
      <c r="J1319" s="7">
        <v>28.7</v>
      </c>
      <c r="K1319" s="1" t="s">
        <v>34</v>
      </c>
      <c r="L1319" s="14">
        <v>3631</v>
      </c>
      <c r="M1319" s="1" t="s">
        <v>34</v>
      </c>
      <c r="N1319" s="14">
        <v>36432</v>
      </c>
      <c r="O1319" s="13">
        <v>32.6</v>
      </c>
      <c r="P1319" s="13">
        <v>7.8</v>
      </c>
      <c r="Q1319" s="13">
        <v>38.299999999999997</v>
      </c>
      <c r="R1319" s="13">
        <v>54.1</v>
      </c>
      <c r="S1319" s="13"/>
      <c r="T1319" s="13">
        <v>22</v>
      </c>
      <c r="U1319" s="13">
        <v>37</v>
      </c>
      <c r="V1319" s="13">
        <v>3.2</v>
      </c>
      <c r="W1319" s="7">
        <v>0.76</v>
      </c>
      <c r="X1319" s="13"/>
      <c r="Y1319" s="13">
        <v>74</v>
      </c>
      <c r="Z1319" s="7">
        <v>2.08</v>
      </c>
      <c r="AA1319" s="15" t="s">
        <v>89</v>
      </c>
      <c r="AB1319" s="16"/>
      <c r="AD1319" s="16"/>
      <c r="AE1319" s="1">
        <v>1</v>
      </c>
    </row>
    <row r="1320" spans="1:31" x14ac:dyDescent="0.2">
      <c r="A1320" s="1">
        <v>1319</v>
      </c>
      <c r="B1320" s="1">
        <v>2008</v>
      </c>
      <c r="C1320" s="1" t="s">
        <v>31</v>
      </c>
      <c r="D1320" s="28" t="s">
        <v>914</v>
      </c>
      <c r="E1320" s="8" t="s">
        <v>45</v>
      </c>
      <c r="F1320" s="8" t="s">
        <v>32</v>
      </c>
      <c r="G1320" s="8"/>
      <c r="H1320" s="8"/>
      <c r="I1320" s="12">
        <v>9.9499999999999993</v>
      </c>
      <c r="J1320" s="7">
        <v>28.428571428571427</v>
      </c>
      <c r="K1320" s="13"/>
      <c r="L1320" s="14">
        <v>3634</v>
      </c>
      <c r="M1320" s="14"/>
      <c r="N1320" s="14">
        <v>36030</v>
      </c>
      <c r="O1320" s="13">
        <v>32.4</v>
      </c>
      <c r="P1320" s="13">
        <v>8.6999999999999993</v>
      </c>
      <c r="Q1320" s="13">
        <v>34</v>
      </c>
      <c r="R1320" s="13">
        <v>65.099999999999994</v>
      </c>
      <c r="S1320" s="13"/>
      <c r="T1320" s="13"/>
      <c r="U1320" s="13">
        <v>39.299999999999997</v>
      </c>
      <c r="V1320" s="13"/>
      <c r="W1320" s="13"/>
      <c r="X1320" s="15"/>
      <c r="Y1320" s="13">
        <v>75.8</v>
      </c>
      <c r="Z1320" s="7">
        <v>2.19</v>
      </c>
      <c r="AB1320" s="16"/>
      <c r="AD1320" s="16"/>
      <c r="AE1320" s="1">
        <v>1</v>
      </c>
    </row>
    <row r="1321" spans="1:31" x14ac:dyDescent="0.2">
      <c r="A1321" s="1">
        <v>1320</v>
      </c>
      <c r="B1321" s="1">
        <v>2010</v>
      </c>
      <c r="C1321" s="1" t="s">
        <v>31</v>
      </c>
      <c r="D1321" s="8" t="s">
        <v>125</v>
      </c>
      <c r="E1321" s="8" t="s">
        <v>178</v>
      </c>
      <c r="F1321" s="1" t="s">
        <v>32</v>
      </c>
      <c r="I1321" s="12">
        <v>9.15</v>
      </c>
      <c r="J1321" s="7">
        <v>26.1428571428571</v>
      </c>
      <c r="K1321" s="1" t="s">
        <v>34</v>
      </c>
      <c r="L1321" s="14">
        <v>3636</v>
      </c>
      <c r="N1321" s="14">
        <v>33261</v>
      </c>
      <c r="O1321" s="13">
        <v>30.8</v>
      </c>
      <c r="P1321" s="13">
        <v>10</v>
      </c>
      <c r="Q1321" s="13">
        <v>39.799999999999997</v>
      </c>
      <c r="R1321" s="13">
        <v>60.3</v>
      </c>
      <c r="S1321" s="13"/>
      <c r="T1321" s="15"/>
      <c r="U1321" s="13">
        <v>38.200000000000003</v>
      </c>
      <c r="V1321" s="13">
        <v>5.8</v>
      </c>
      <c r="W1321" s="12"/>
      <c r="X1321" s="15"/>
      <c r="Y1321" s="13">
        <v>73.099999999999994</v>
      </c>
      <c r="Z1321" s="7">
        <v>2.19</v>
      </c>
      <c r="AB1321" s="16"/>
      <c r="AD1321" s="16"/>
      <c r="AE1321" s="1">
        <v>1</v>
      </c>
    </row>
    <row r="1322" spans="1:31" x14ac:dyDescent="0.2">
      <c r="A1322" s="1">
        <v>1321</v>
      </c>
      <c r="B1322" s="1">
        <v>2012</v>
      </c>
      <c r="C1322" s="1" t="s">
        <v>31</v>
      </c>
      <c r="D1322" s="1" t="s">
        <v>291</v>
      </c>
      <c r="E1322" s="1" t="s">
        <v>292</v>
      </c>
      <c r="F1322" s="1" t="s">
        <v>32</v>
      </c>
      <c r="I1322" s="12">
        <v>8.92</v>
      </c>
      <c r="J1322" s="12">
        <v>25.5</v>
      </c>
      <c r="K1322" s="1" t="s">
        <v>34</v>
      </c>
      <c r="L1322" s="16">
        <v>3637</v>
      </c>
      <c r="N1322" s="16">
        <v>32487</v>
      </c>
      <c r="O1322" s="15">
        <v>29.6</v>
      </c>
      <c r="P1322" s="15">
        <v>8.5</v>
      </c>
      <c r="Q1322" s="15">
        <v>41.9</v>
      </c>
      <c r="R1322" s="15">
        <v>63.6</v>
      </c>
      <c r="T1322" s="15"/>
      <c r="U1322" s="15">
        <v>34.700000000000003</v>
      </c>
      <c r="V1322" s="15">
        <v>5.9</v>
      </c>
      <c r="W1322" s="12">
        <v>0.74</v>
      </c>
      <c r="X1322" s="15"/>
      <c r="Y1322" s="15"/>
      <c r="Z1322" s="12">
        <v>2.38</v>
      </c>
      <c r="AB1322" s="16"/>
      <c r="AD1322" s="16"/>
      <c r="AE1322" s="1">
        <v>1</v>
      </c>
    </row>
    <row r="1323" spans="1:31" x14ac:dyDescent="0.2">
      <c r="A1323" s="1">
        <v>1322</v>
      </c>
      <c r="B1323" s="1">
        <v>2008</v>
      </c>
      <c r="C1323" s="1" t="s">
        <v>31</v>
      </c>
      <c r="D1323" s="8" t="s">
        <v>33</v>
      </c>
      <c r="E1323" s="8">
        <v>8920</v>
      </c>
      <c r="F1323" s="8" t="s">
        <v>32</v>
      </c>
      <c r="G1323" s="8"/>
      <c r="H1323" s="8"/>
      <c r="I1323" s="12">
        <v>9.51</v>
      </c>
      <c r="J1323" s="7">
        <v>29.4</v>
      </c>
      <c r="K1323" s="13" t="s">
        <v>34</v>
      </c>
      <c r="L1323" s="14">
        <v>3638</v>
      </c>
      <c r="M1323" s="8"/>
      <c r="N1323" s="14">
        <v>34678</v>
      </c>
      <c r="O1323" s="13">
        <v>31.4</v>
      </c>
      <c r="P1323" s="13">
        <v>8.3000000000000007</v>
      </c>
      <c r="Q1323" s="13">
        <v>37.9</v>
      </c>
      <c r="R1323" s="13">
        <v>66.400000000000006</v>
      </c>
      <c r="S1323" s="13"/>
      <c r="T1323" s="13"/>
      <c r="U1323" s="13">
        <v>36.5</v>
      </c>
      <c r="V1323" s="13"/>
      <c r="W1323" s="13"/>
      <c r="X1323" s="15"/>
      <c r="Y1323" s="13">
        <v>76.2</v>
      </c>
      <c r="Z1323" s="7">
        <v>2.36</v>
      </c>
      <c r="AB1323" s="16"/>
      <c r="AD1323" s="16"/>
      <c r="AE1323" s="1">
        <v>1</v>
      </c>
    </row>
    <row r="1324" spans="1:31" x14ac:dyDescent="0.2">
      <c r="A1324" s="1">
        <v>1323</v>
      </c>
      <c r="B1324" s="1">
        <v>2012</v>
      </c>
      <c r="C1324" s="1" t="s">
        <v>31</v>
      </c>
      <c r="D1324" s="1" t="s">
        <v>805</v>
      </c>
      <c r="E1324" s="1" t="s">
        <v>268</v>
      </c>
      <c r="F1324" s="1" t="s">
        <v>32</v>
      </c>
      <c r="I1324" s="12">
        <v>8.3000000000000007</v>
      </c>
      <c r="J1324" s="12">
        <v>23.7</v>
      </c>
      <c r="K1324" s="1" t="s">
        <v>34</v>
      </c>
      <c r="L1324" s="16">
        <v>3639</v>
      </c>
      <c r="N1324" s="16">
        <v>30198</v>
      </c>
      <c r="O1324" s="15">
        <v>33.6</v>
      </c>
      <c r="P1324" s="15">
        <v>7.8</v>
      </c>
      <c r="Q1324" s="15">
        <v>40</v>
      </c>
      <c r="R1324" s="15">
        <v>62.6</v>
      </c>
      <c r="T1324" s="15"/>
      <c r="U1324" s="15">
        <v>37.799999999999997</v>
      </c>
      <c r="V1324" s="15">
        <v>5.9</v>
      </c>
      <c r="W1324" s="12">
        <v>0.76</v>
      </c>
      <c r="X1324" s="15"/>
      <c r="Y1324" s="15"/>
      <c r="Z1324" s="12">
        <v>2.08</v>
      </c>
      <c r="AB1324" s="16"/>
      <c r="AD1324" s="16"/>
      <c r="AE1324" s="1">
        <v>1</v>
      </c>
    </row>
    <row r="1325" spans="1:31" x14ac:dyDescent="0.2">
      <c r="A1325" s="1">
        <v>1324</v>
      </c>
      <c r="B1325" s="1">
        <v>2012</v>
      </c>
      <c r="C1325" s="1" t="s">
        <v>31</v>
      </c>
      <c r="D1325" s="1" t="s">
        <v>914</v>
      </c>
      <c r="E1325" s="1" t="s">
        <v>286</v>
      </c>
      <c r="F1325" s="1" t="s">
        <v>32</v>
      </c>
      <c r="I1325" s="12">
        <v>9.0500000000000007</v>
      </c>
      <c r="J1325" s="12">
        <v>25.9</v>
      </c>
      <c r="K1325" s="1" t="s">
        <v>34</v>
      </c>
      <c r="L1325" s="16">
        <v>3639</v>
      </c>
      <c r="N1325" s="16">
        <v>32866</v>
      </c>
      <c r="O1325" s="15">
        <v>33.299999999999997</v>
      </c>
      <c r="P1325" s="15">
        <v>7.4</v>
      </c>
      <c r="Q1325" s="15">
        <v>39.4</v>
      </c>
      <c r="R1325" s="15">
        <v>62.8</v>
      </c>
      <c r="T1325" s="15"/>
      <c r="U1325" s="15">
        <v>40.1</v>
      </c>
      <c r="V1325" s="15">
        <v>4.2</v>
      </c>
      <c r="W1325" s="12">
        <v>0.76</v>
      </c>
      <c r="X1325" s="15"/>
      <c r="Y1325" s="15"/>
      <c r="Z1325" s="12">
        <v>2.2400000000000002</v>
      </c>
      <c r="AB1325" s="16"/>
      <c r="AD1325" s="16"/>
      <c r="AE1325" s="1">
        <v>1</v>
      </c>
    </row>
    <row r="1326" spans="1:31" x14ac:dyDescent="0.2">
      <c r="A1326" s="1">
        <v>1325</v>
      </c>
      <c r="B1326" s="1">
        <v>2008</v>
      </c>
      <c r="C1326" s="1" t="s">
        <v>31</v>
      </c>
      <c r="D1326" s="8" t="s">
        <v>78</v>
      </c>
      <c r="E1326" s="8" t="s">
        <v>82</v>
      </c>
      <c r="F1326" s="8" t="s">
        <v>32</v>
      </c>
      <c r="G1326" s="8"/>
      <c r="H1326" s="8"/>
      <c r="I1326" s="12">
        <v>9.56</v>
      </c>
      <c r="J1326" s="7">
        <v>27.314285714285717</v>
      </c>
      <c r="K1326" s="13"/>
      <c r="L1326" s="14">
        <v>3639</v>
      </c>
      <c r="M1326" s="14"/>
      <c r="N1326" s="14">
        <v>34809</v>
      </c>
      <c r="O1326" s="13">
        <v>31.5</v>
      </c>
      <c r="P1326" s="13">
        <v>8.1999999999999993</v>
      </c>
      <c r="Q1326" s="13">
        <v>39.200000000000003</v>
      </c>
      <c r="R1326" s="13">
        <v>69.900000000000006</v>
      </c>
      <c r="S1326" s="13"/>
      <c r="T1326" s="13"/>
      <c r="U1326" s="13">
        <v>36.6</v>
      </c>
      <c r="V1326" s="13"/>
      <c r="W1326" s="13"/>
      <c r="X1326" s="15"/>
      <c r="Y1326" s="13">
        <v>76.7</v>
      </c>
      <c r="Z1326" s="7">
        <v>2.61</v>
      </c>
      <c r="AB1326" s="16"/>
      <c r="AD1326" s="16"/>
      <c r="AE1326" s="1">
        <v>1</v>
      </c>
    </row>
    <row r="1327" spans="1:31" x14ac:dyDescent="0.2">
      <c r="A1327" s="1">
        <v>1326</v>
      </c>
      <c r="B1327" s="1">
        <v>2011</v>
      </c>
      <c r="C1327" s="1" t="s">
        <v>31</v>
      </c>
      <c r="D1327" s="1" t="s">
        <v>37</v>
      </c>
      <c r="E1327" s="1" t="s">
        <v>103</v>
      </c>
      <c r="F1327" s="1" t="s">
        <v>32</v>
      </c>
      <c r="I1327" s="12">
        <v>9.16</v>
      </c>
      <c r="J1327" s="12">
        <v>26.2</v>
      </c>
      <c r="L1327" s="16">
        <v>3640</v>
      </c>
      <c r="N1327" s="16">
        <v>33329</v>
      </c>
      <c r="O1327" s="15">
        <v>28.4</v>
      </c>
      <c r="P1327" s="15">
        <v>7.9</v>
      </c>
      <c r="Q1327" s="15">
        <v>43.9</v>
      </c>
      <c r="R1327" s="15">
        <v>65.7</v>
      </c>
      <c r="T1327" s="15"/>
      <c r="U1327" s="15">
        <v>34.4</v>
      </c>
      <c r="V1327" s="15">
        <v>4.5999999999999996</v>
      </c>
      <c r="W1327" s="12"/>
      <c r="X1327" s="15"/>
      <c r="Y1327" s="15">
        <v>71.7</v>
      </c>
      <c r="Z1327" s="12">
        <v>2.64</v>
      </c>
      <c r="AB1327" s="16"/>
      <c r="AD1327" s="16"/>
      <c r="AE1327" s="1">
        <v>1</v>
      </c>
    </row>
    <row r="1328" spans="1:31" x14ac:dyDescent="0.2">
      <c r="A1328" s="1">
        <v>1327</v>
      </c>
      <c r="B1328" s="1">
        <v>2012</v>
      </c>
      <c r="C1328" s="1" t="s">
        <v>31</v>
      </c>
      <c r="D1328" s="1" t="s">
        <v>916</v>
      </c>
      <c r="E1328" s="1" t="s">
        <v>264</v>
      </c>
      <c r="F1328" s="1" t="s">
        <v>32</v>
      </c>
      <c r="I1328" s="12">
        <v>9.6199999999999992</v>
      </c>
      <c r="J1328" s="12">
        <v>27.5</v>
      </c>
      <c r="K1328" s="1" t="s">
        <v>34</v>
      </c>
      <c r="L1328" s="16">
        <v>3640</v>
      </c>
      <c r="N1328" s="16">
        <v>35020</v>
      </c>
      <c r="O1328" s="15">
        <v>33.6</v>
      </c>
      <c r="P1328" s="15">
        <v>7.9</v>
      </c>
      <c r="Q1328" s="15">
        <v>42.9</v>
      </c>
      <c r="R1328" s="15">
        <v>65.099999999999994</v>
      </c>
      <c r="T1328" s="15"/>
      <c r="U1328" s="15">
        <v>35</v>
      </c>
      <c r="V1328" s="15">
        <v>5.5</v>
      </c>
      <c r="W1328" s="12">
        <v>0.75</v>
      </c>
      <c r="X1328" s="15"/>
      <c r="Y1328" s="15"/>
      <c r="Z1328" s="12">
        <v>2.69</v>
      </c>
      <c r="AB1328" s="16"/>
      <c r="AD1328" s="16"/>
      <c r="AE1328" s="1">
        <v>1</v>
      </c>
    </row>
    <row r="1329" spans="1:31" x14ac:dyDescent="0.2">
      <c r="A1329" s="1">
        <v>1328</v>
      </c>
      <c r="B1329" s="1">
        <v>2019</v>
      </c>
      <c r="C1329" s="1" t="s">
        <v>31</v>
      </c>
      <c r="D1329" s="1" t="s">
        <v>805</v>
      </c>
      <c r="E1329" s="1" t="s">
        <v>717</v>
      </c>
      <c r="F1329" s="1" t="s">
        <v>32</v>
      </c>
      <c r="H1329" s="1" t="s">
        <v>34</v>
      </c>
      <c r="I1329" s="12">
        <v>10.199999999999999</v>
      </c>
      <c r="J1329" s="7">
        <v>29.2</v>
      </c>
      <c r="L1329" s="5">
        <v>3642.25</v>
      </c>
      <c r="M1329" s="1" t="s">
        <v>34</v>
      </c>
      <c r="N1329" s="5">
        <v>37294.699999999997</v>
      </c>
      <c r="O1329" s="6">
        <v>29.74</v>
      </c>
      <c r="P1329" s="6">
        <v>9.9</v>
      </c>
      <c r="Q1329" s="6">
        <v>37.784999999999997</v>
      </c>
      <c r="R1329" s="6">
        <v>59.272500000000001</v>
      </c>
      <c r="S1329" s="3"/>
      <c r="T1329" s="6">
        <v>20.895</v>
      </c>
      <c r="U1329" s="6">
        <v>33.524999999999999</v>
      </c>
      <c r="V1329" s="6">
        <v>9.8000000000000007</v>
      </c>
      <c r="W1329" s="3">
        <v>0.74357499999999999</v>
      </c>
      <c r="X1329" s="6"/>
      <c r="Y1329" s="6">
        <v>71.667500000000004</v>
      </c>
      <c r="Z1329" s="3">
        <v>2.2767779147162401</v>
      </c>
      <c r="AB1329" s="16"/>
      <c r="AD1329" s="16"/>
      <c r="AE1329" s="1">
        <v>1</v>
      </c>
    </row>
    <row r="1330" spans="1:31" x14ac:dyDescent="0.2">
      <c r="A1330" s="1">
        <v>1329</v>
      </c>
      <c r="B1330" s="1">
        <v>2012</v>
      </c>
      <c r="C1330" s="1" t="s">
        <v>31</v>
      </c>
      <c r="D1330" s="1" t="s">
        <v>125</v>
      </c>
      <c r="E1330" s="1" t="s">
        <v>273</v>
      </c>
      <c r="F1330" s="1" t="s">
        <v>32</v>
      </c>
      <c r="I1330" s="12">
        <v>8.9700000000000006</v>
      </c>
      <c r="J1330" s="12">
        <v>25.6</v>
      </c>
      <c r="K1330" s="1" t="s">
        <v>34</v>
      </c>
      <c r="L1330" s="16">
        <v>3643</v>
      </c>
      <c r="N1330" s="16">
        <v>32728</v>
      </c>
      <c r="O1330" s="15">
        <v>29.3</v>
      </c>
      <c r="P1330" s="15">
        <v>7.6</v>
      </c>
      <c r="Q1330" s="15">
        <v>41.7</v>
      </c>
      <c r="R1330" s="15">
        <v>62.8</v>
      </c>
      <c r="T1330" s="15"/>
      <c r="U1330" s="15">
        <v>37.5</v>
      </c>
      <c r="V1330" s="15">
        <v>5</v>
      </c>
      <c r="W1330" s="12">
        <v>0.75</v>
      </c>
      <c r="X1330" s="15"/>
      <c r="Y1330" s="15"/>
      <c r="Z1330" s="12">
        <v>2.34</v>
      </c>
      <c r="AB1330" s="16"/>
      <c r="AD1330" s="16"/>
      <c r="AE1330" s="1">
        <v>1</v>
      </c>
    </row>
    <row r="1331" spans="1:31" x14ac:dyDescent="0.2">
      <c r="A1331" s="1">
        <v>1330</v>
      </c>
      <c r="B1331" s="1">
        <v>2012</v>
      </c>
      <c r="C1331" s="1" t="s">
        <v>31</v>
      </c>
      <c r="D1331" s="1" t="s">
        <v>37</v>
      </c>
      <c r="E1331" s="1" t="s">
        <v>289</v>
      </c>
      <c r="F1331" s="1" t="s">
        <v>32</v>
      </c>
      <c r="I1331" s="12">
        <v>9.5500000000000007</v>
      </c>
      <c r="J1331" s="12">
        <v>27.3</v>
      </c>
      <c r="K1331" s="1" t="s">
        <v>34</v>
      </c>
      <c r="L1331" s="16">
        <v>3643</v>
      </c>
      <c r="N1331" s="16">
        <v>34767</v>
      </c>
      <c r="O1331" s="15">
        <v>33.700000000000003</v>
      </c>
      <c r="P1331" s="15">
        <v>7.9</v>
      </c>
      <c r="Q1331" s="15">
        <v>41.5</v>
      </c>
      <c r="R1331" s="15">
        <v>66.599999999999994</v>
      </c>
      <c r="T1331" s="15"/>
      <c r="U1331" s="15">
        <v>37.4</v>
      </c>
      <c r="V1331" s="15">
        <v>4.9000000000000004</v>
      </c>
      <c r="W1331" s="12">
        <v>0.75</v>
      </c>
      <c r="X1331" s="15"/>
      <c r="Y1331" s="15"/>
      <c r="Z1331" s="12">
        <v>2.64</v>
      </c>
      <c r="AB1331" s="16"/>
      <c r="AD1331" s="16"/>
      <c r="AE1331" s="1">
        <v>1</v>
      </c>
    </row>
    <row r="1332" spans="1:31" x14ac:dyDescent="0.2">
      <c r="A1332" s="1">
        <v>1331</v>
      </c>
      <c r="B1332" s="1">
        <v>2020</v>
      </c>
      <c r="C1332" s="1" t="s">
        <v>31</v>
      </c>
      <c r="D1332" s="1" t="s">
        <v>916</v>
      </c>
      <c r="E1332" s="1" t="s">
        <v>649</v>
      </c>
      <c r="F1332" s="1" t="s">
        <v>32</v>
      </c>
      <c r="H1332" s="1" t="s">
        <v>754</v>
      </c>
      <c r="I1332" s="12">
        <v>8.709580745068001</v>
      </c>
      <c r="J1332" s="12">
        <v>24.879158761999999</v>
      </c>
      <c r="K1332" s="1" t="s">
        <v>34</v>
      </c>
      <c r="L1332" s="16">
        <v>3643.0232638130001</v>
      </c>
      <c r="M1332" s="16" t="s">
        <v>34</v>
      </c>
      <c r="N1332" s="16">
        <v>31784.554373145002</v>
      </c>
      <c r="O1332" s="10">
        <v>30.792233299999999</v>
      </c>
      <c r="P1332" s="15">
        <v>8.2550000000000008</v>
      </c>
      <c r="Q1332" s="15">
        <v>43.597499999999997</v>
      </c>
      <c r="R1332" s="15">
        <v>54.241729622999998</v>
      </c>
      <c r="S1332" s="15"/>
      <c r="T1332" s="15">
        <v>23.987500000000001</v>
      </c>
      <c r="U1332" s="15">
        <v>28.1875</v>
      </c>
      <c r="V1332" s="15">
        <v>6.2807304000000004</v>
      </c>
      <c r="W1332" s="12">
        <v>0.74242187599999998</v>
      </c>
      <c r="X1332" s="15"/>
      <c r="Y1332" s="15">
        <v>77.374366249999994</v>
      </c>
      <c r="Z1332" s="12"/>
      <c r="AA1332" s="15">
        <v>1.125</v>
      </c>
      <c r="AB1332" s="16">
        <f>AA1332*33.334</f>
        <v>37.500750000000004</v>
      </c>
      <c r="AD1332" s="16"/>
      <c r="AE1332" s="1">
        <v>1</v>
      </c>
    </row>
    <row r="1333" spans="1:31" x14ac:dyDescent="0.2">
      <c r="A1333" s="1">
        <v>1332</v>
      </c>
      <c r="B1333" s="1">
        <v>2020</v>
      </c>
      <c r="C1333" s="1" t="s">
        <v>31</v>
      </c>
      <c r="D1333" s="1" t="s">
        <v>805</v>
      </c>
      <c r="E1333" s="1" t="s">
        <v>766</v>
      </c>
      <c r="F1333" s="1" t="s">
        <v>32</v>
      </c>
      <c r="G1333" s="1">
        <v>119</v>
      </c>
      <c r="H1333" s="1" t="s">
        <v>754</v>
      </c>
      <c r="I1333" s="12">
        <v>7.3061396365795002</v>
      </c>
      <c r="J1333" s="12">
        <v>20.869327024</v>
      </c>
      <c r="K1333" s="1" t="s">
        <v>34</v>
      </c>
      <c r="L1333" s="16">
        <v>3644.087971896</v>
      </c>
      <c r="M1333" s="16" t="s">
        <v>754</v>
      </c>
      <c r="N1333" s="16">
        <v>26670.079728070999</v>
      </c>
      <c r="O1333" s="10">
        <v>32.461165700000002</v>
      </c>
      <c r="P1333" s="15">
        <v>10.4575</v>
      </c>
      <c r="Q1333" s="15">
        <v>43.042499999999997</v>
      </c>
      <c r="R1333" s="15">
        <v>50.134229623000003</v>
      </c>
      <c r="S1333" s="15"/>
      <c r="T1333" s="15">
        <v>23</v>
      </c>
      <c r="U1333" s="15">
        <v>25.362500000000001</v>
      </c>
      <c r="V1333" s="15">
        <v>6.1332304000000004</v>
      </c>
      <c r="W1333" s="12">
        <v>0.74198786500000002</v>
      </c>
      <c r="X1333" s="15"/>
      <c r="Y1333" s="15">
        <v>77.434436493000007</v>
      </c>
      <c r="Z1333" s="12"/>
      <c r="AA1333" s="15">
        <v>1.125</v>
      </c>
      <c r="AB1333" s="16">
        <f>AA1333*33.334</f>
        <v>37.500750000000004</v>
      </c>
      <c r="AD1333" s="16"/>
      <c r="AE1333" s="1">
        <v>1</v>
      </c>
    </row>
    <row r="1334" spans="1:31" x14ac:dyDescent="0.2">
      <c r="A1334" s="1">
        <v>1333</v>
      </c>
      <c r="B1334" s="1">
        <v>2016</v>
      </c>
      <c r="C1334" s="1" t="s">
        <v>31</v>
      </c>
      <c r="D1334" s="8" t="s">
        <v>555</v>
      </c>
      <c r="E1334" s="8" t="s">
        <v>557</v>
      </c>
      <c r="F1334" s="1" t="s">
        <v>32</v>
      </c>
      <c r="G1334" s="8">
        <v>114</v>
      </c>
      <c r="I1334" s="12">
        <v>8.9</v>
      </c>
      <c r="J1334" s="7">
        <v>25.428571428571399</v>
      </c>
      <c r="K1334" s="1" t="s">
        <v>34</v>
      </c>
      <c r="L1334" s="14">
        <v>3645</v>
      </c>
      <c r="M1334" s="1" t="s">
        <v>34</v>
      </c>
      <c r="N1334" s="14">
        <v>32440</v>
      </c>
      <c r="O1334" s="13">
        <v>34.4</v>
      </c>
      <c r="P1334" s="13">
        <v>8.1999999999999993</v>
      </c>
      <c r="Q1334" s="13">
        <v>38.1</v>
      </c>
      <c r="R1334" s="13">
        <v>58.6</v>
      </c>
      <c r="S1334" s="13"/>
      <c r="T1334" s="13">
        <v>21.7</v>
      </c>
      <c r="U1334" s="13">
        <v>38.5</v>
      </c>
      <c r="V1334" s="13">
        <v>3.1</v>
      </c>
      <c r="W1334" s="7">
        <v>0.77</v>
      </c>
      <c r="X1334" s="13"/>
      <c r="Y1334" s="13">
        <v>74.2</v>
      </c>
      <c r="Z1334" s="7">
        <v>1.97</v>
      </c>
      <c r="AA1334" s="15" t="s">
        <v>89</v>
      </c>
      <c r="AB1334" s="16"/>
      <c r="AD1334" s="16"/>
      <c r="AE1334" s="1">
        <v>1</v>
      </c>
    </row>
    <row r="1335" spans="1:31" x14ac:dyDescent="0.2">
      <c r="A1335" s="1">
        <v>1334</v>
      </c>
      <c r="B1335" s="1">
        <v>2008</v>
      </c>
      <c r="C1335" s="1" t="s">
        <v>31</v>
      </c>
      <c r="D1335" s="28" t="s">
        <v>914</v>
      </c>
      <c r="E1335" s="8" t="s">
        <v>70</v>
      </c>
      <c r="F1335" s="8" t="s">
        <v>32</v>
      </c>
      <c r="G1335" s="8"/>
      <c r="H1335" s="8"/>
      <c r="I1335" s="12">
        <v>8.06</v>
      </c>
      <c r="J1335" s="7">
        <v>23.028571428571432</v>
      </c>
      <c r="K1335" s="13" t="s">
        <v>34</v>
      </c>
      <c r="L1335" s="14">
        <v>3647</v>
      </c>
      <c r="M1335" s="14"/>
      <c r="N1335" s="14">
        <v>29420</v>
      </c>
      <c r="O1335" s="13">
        <v>29</v>
      </c>
      <c r="P1335" s="13">
        <v>9.1999999999999993</v>
      </c>
      <c r="Q1335" s="13">
        <v>40.799999999999997</v>
      </c>
      <c r="R1335" s="13">
        <v>70.5</v>
      </c>
      <c r="S1335" s="13"/>
      <c r="T1335" s="13"/>
      <c r="U1335" s="13">
        <v>32.1</v>
      </c>
      <c r="V1335" s="13"/>
      <c r="W1335" s="13"/>
      <c r="X1335" s="15"/>
      <c r="Y1335" s="13">
        <v>76.900000000000006</v>
      </c>
      <c r="Z1335" s="7">
        <v>2.3199999999999998</v>
      </c>
      <c r="AB1335" s="16"/>
      <c r="AD1335" s="16"/>
      <c r="AE1335" s="1">
        <v>1</v>
      </c>
    </row>
    <row r="1336" spans="1:31" x14ac:dyDescent="0.2">
      <c r="A1336" s="1">
        <v>1335</v>
      </c>
      <c r="B1336" s="1">
        <v>2020</v>
      </c>
      <c r="C1336" s="1" t="s">
        <v>31</v>
      </c>
      <c r="D1336" s="1" t="s">
        <v>774</v>
      </c>
      <c r="E1336" s="1" t="s">
        <v>775</v>
      </c>
      <c r="F1336" s="1" t="s">
        <v>32</v>
      </c>
      <c r="G1336" s="1">
        <v>117</v>
      </c>
      <c r="H1336" s="1" t="s">
        <v>754</v>
      </c>
      <c r="I1336" s="12">
        <v>8.3187661528410004</v>
      </c>
      <c r="J1336" s="12">
        <v>23.762545641999999</v>
      </c>
      <c r="K1336" s="1" t="s">
        <v>34</v>
      </c>
      <c r="L1336" s="16">
        <v>3647.9918134230002</v>
      </c>
      <c r="M1336" s="16" t="s">
        <v>34</v>
      </c>
      <c r="N1336" s="16">
        <v>30400.748698980002</v>
      </c>
      <c r="O1336" s="10">
        <v>37.458956799999996</v>
      </c>
      <c r="P1336" s="15">
        <v>8.2050000000000001</v>
      </c>
      <c r="Q1336" s="15">
        <v>40.42</v>
      </c>
      <c r="R1336" s="15">
        <v>52.141729623000003</v>
      </c>
      <c r="S1336" s="15"/>
      <c r="T1336" s="15">
        <v>20.37</v>
      </c>
      <c r="U1336" s="15">
        <v>31.727499999999999</v>
      </c>
      <c r="V1336" s="15">
        <v>5.8107303999999997</v>
      </c>
      <c r="W1336" s="12">
        <v>0.74293477600000002</v>
      </c>
      <c r="X1336" s="15"/>
      <c r="Y1336" s="15">
        <v>77.197050934000004</v>
      </c>
      <c r="Z1336" s="12"/>
      <c r="AA1336" s="15">
        <v>1.202101568</v>
      </c>
      <c r="AB1336" s="16">
        <f>AA1336*33.334</f>
        <v>40.070853667712001</v>
      </c>
      <c r="AD1336" s="16"/>
      <c r="AE1336" s="1">
        <v>1</v>
      </c>
    </row>
    <row r="1337" spans="1:31" x14ac:dyDescent="0.2">
      <c r="A1337" s="1">
        <v>1336</v>
      </c>
      <c r="B1337" s="1">
        <v>2019</v>
      </c>
      <c r="C1337" s="1" t="s">
        <v>31</v>
      </c>
      <c r="D1337" s="8" t="s">
        <v>874</v>
      </c>
      <c r="E1337" s="1" t="s">
        <v>726</v>
      </c>
      <c r="F1337" s="1" t="s">
        <v>32</v>
      </c>
      <c r="G1337" s="1">
        <v>117</v>
      </c>
      <c r="I1337" s="12">
        <v>9.5</v>
      </c>
      <c r="J1337" s="7">
        <v>27</v>
      </c>
      <c r="L1337" s="5">
        <v>3649.75</v>
      </c>
      <c r="N1337" s="5">
        <v>34514.800000000003</v>
      </c>
      <c r="O1337" s="6">
        <v>35.087499999999999</v>
      </c>
      <c r="P1337" s="6">
        <v>8.2675000000000001</v>
      </c>
      <c r="Q1337" s="6">
        <v>38.142499999999998</v>
      </c>
      <c r="R1337" s="6">
        <v>59.227499999999999</v>
      </c>
      <c r="S1337" s="3"/>
      <c r="T1337" s="6">
        <v>21.645</v>
      </c>
      <c r="U1337" s="6">
        <v>37.234999999999999</v>
      </c>
      <c r="V1337" s="6">
        <v>8.4574999999999996</v>
      </c>
      <c r="W1337" s="3">
        <v>0.74849999999999994</v>
      </c>
      <c r="X1337" s="6"/>
      <c r="Y1337" s="6">
        <v>72.11</v>
      </c>
      <c r="Z1337" s="3">
        <v>2.1332040250837498</v>
      </c>
      <c r="AB1337" s="16"/>
      <c r="AD1337" s="16"/>
      <c r="AE1337" s="1">
        <v>1</v>
      </c>
    </row>
    <row r="1338" spans="1:31" x14ac:dyDescent="0.2">
      <c r="A1338" s="1">
        <v>1337</v>
      </c>
      <c r="B1338" s="1">
        <v>2009</v>
      </c>
      <c r="C1338" s="1" t="s">
        <v>31</v>
      </c>
      <c r="D1338" s="1" t="s">
        <v>805</v>
      </c>
      <c r="E1338" s="8" t="s">
        <v>124</v>
      </c>
      <c r="F1338" s="1" t="s">
        <v>32</v>
      </c>
      <c r="I1338" s="12">
        <v>6.74</v>
      </c>
      <c r="J1338" s="7">
        <v>19.257142857142899</v>
      </c>
      <c r="K1338" s="1" t="s">
        <v>34</v>
      </c>
      <c r="L1338" s="14">
        <v>3650</v>
      </c>
      <c r="N1338" s="14">
        <v>24564</v>
      </c>
      <c r="O1338" s="13">
        <v>32</v>
      </c>
      <c r="P1338" s="13">
        <v>8.8000000000000007</v>
      </c>
      <c r="Q1338" s="13">
        <v>38.5</v>
      </c>
      <c r="R1338" s="13">
        <v>58.2</v>
      </c>
      <c r="S1338" s="13"/>
      <c r="T1338" s="15" t="s">
        <v>89</v>
      </c>
      <c r="U1338" s="13">
        <v>40.799999999999997</v>
      </c>
      <c r="V1338" s="13">
        <v>5.4</v>
      </c>
      <c r="W1338" s="12" t="s">
        <v>89</v>
      </c>
      <c r="X1338" s="15"/>
      <c r="Y1338" s="13">
        <v>76</v>
      </c>
      <c r="Z1338" s="7">
        <v>1.51</v>
      </c>
      <c r="AB1338" s="16"/>
      <c r="AD1338" s="16"/>
      <c r="AE1338" s="1">
        <v>1</v>
      </c>
    </row>
    <row r="1339" spans="1:31" x14ac:dyDescent="0.2">
      <c r="A1339" s="1">
        <v>1338</v>
      </c>
      <c r="B1339" s="1">
        <v>2015</v>
      </c>
      <c r="C1339" s="8" t="s">
        <v>31</v>
      </c>
      <c r="D1339" s="8" t="s">
        <v>125</v>
      </c>
      <c r="E1339" s="8" t="s">
        <v>487</v>
      </c>
      <c r="F1339" s="1" t="s">
        <v>32</v>
      </c>
      <c r="G1339" s="8">
        <v>115</v>
      </c>
      <c r="I1339" s="12">
        <v>7.53</v>
      </c>
      <c r="J1339" s="7">
        <v>21.514285714285716</v>
      </c>
      <c r="K1339" s="1" t="s">
        <v>34</v>
      </c>
      <c r="L1339" s="14">
        <v>3650</v>
      </c>
      <c r="N1339" s="14">
        <v>27513</v>
      </c>
      <c r="O1339" s="13">
        <v>32.700000000000003</v>
      </c>
      <c r="P1339" s="13">
        <v>7.4</v>
      </c>
      <c r="Q1339" s="13">
        <v>36.299999999999997</v>
      </c>
      <c r="R1339" s="13">
        <v>53</v>
      </c>
      <c r="S1339" s="8"/>
      <c r="T1339" s="13">
        <v>24.3</v>
      </c>
      <c r="U1339" s="13">
        <v>37.1</v>
      </c>
      <c r="V1339" s="13">
        <v>3.8</v>
      </c>
      <c r="W1339" s="7">
        <v>0.76</v>
      </c>
      <c r="X1339" s="13"/>
      <c r="Y1339" s="13">
        <v>75.400000000000006</v>
      </c>
      <c r="Z1339" s="7">
        <v>1.45</v>
      </c>
      <c r="AA1339" s="1" t="s">
        <v>89</v>
      </c>
      <c r="AB1339" s="16" t="s">
        <v>89</v>
      </c>
      <c r="AC1339" s="1" t="s">
        <v>89</v>
      </c>
      <c r="AD1339" s="16" t="s">
        <v>89</v>
      </c>
      <c r="AE1339" s="1">
        <v>1</v>
      </c>
    </row>
    <row r="1340" spans="1:31" x14ac:dyDescent="0.2">
      <c r="A1340" s="1">
        <v>1339</v>
      </c>
      <c r="B1340" s="1">
        <v>2008</v>
      </c>
      <c r="C1340" s="1" t="s">
        <v>31</v>
      </c>
      <c r="D1340" s="1" t="s">
        <v>805</v>
      </c>
      <c r="E1340" s="8" t="s">
        <v>46</v>
      </c>
      <c r="F1340" s="8" t="s">
        <v>32</v>
      </c>
      <c r="G1340" s="8"/>
      <c r="H1340" s="8"/>
      <c r="I1340" s="12">
        <v>8.14</v>
      </c>
      <c r="J1340" s="7">
        <v>23.25714285714286</v>
      </c>
      <c r="K1340" s="13" t="s">
        <v>34</v>
      </c>
      <c r="L1340" s="14">
        <v>3652</v>
      </c>
      <c r="M1340" s="14"/>
      <c r="N1340" s="14">
        <v>29733</v>
      </c>
      <c r="O1340" s="13">
        <v>29.2</v>
      </c>
      <c r="P1340" s="13">
        <v>9</v>
      </c>
      <c r="Q1340" s="13">
        <v>38.5</v>
      </c>
      <c r="R1340" s="13">
        <v>67</v>
      </c>
      <c r="S1340" s="13"/>
      <c r="T1340" s="13"/>
      <c r="U1340" s="13">
        <v>34.5</v>
      </c>
      <c r="V1340" s="13"/>
      <c r="W1340" s="13"/>
      <c r="X1340" s="15"/>
      <c r="Y1340" s="13">
        <v>76.5</v>
      </c>
      <c r="Z1340" s="7">
        <v>2.09</v>
      </c>
      <c r="AB1340" s="16"/>
      <c r="AD1340" s="16"/>
      <c r="AE1340" s="1">
        <v>1</v>
      </c>
    </row>
    <row r="1341" spans="1:31" x14ac:dyDescent="0.2">
      <c r="A1341" s="1">
        <v>1340</v>
      </c>
      <c r="B1341" s="1">
        <v>2019</v>
      </c>
      <c r="C1341" s="1" t="s">
        <v>31</v>
      </c>
      <c r="D1341" s="1" t="s">
        <v>555</v>
      </c>
      <c r="E1341" s="1" t="s">
        <v>708</v>
      </c>
      <c r="F1341" s="1" t="s">
        <v>32</v>
      </c>
      <c r="G1341" s="1">
        <v>117</v>
      </c>
      <c r="H1341" s="1" t="s">
        <v>34</v>
      </c>
      <c r="I1341" s="12">
        <v>9.6999999999999993</v>
      </c>
      <c r="J1341" s="7">
        <v>27.7</v>
      </c>
      <c r="L1341" s="5">
        <v>3652</v>
      </c>
      <c r="M1341" s="1" t="s">
        <v>34</v>
      </c>
      <c r="N1341" s="5">
        <v>35419.199999999997</v>
      </c>
      <c r="O1341" s="6">
        <v>32.5</v>
      </c>
      <c r="P1341" s="6">
        <v>9.11</v>
      </c>
      <c r="Q1341" s="6">
        <v>39.884999999999998</v>
      </c>
      <c r="R1341" s="6">
        <v>60.37</v>
      </c>
      <c r="S1341" s="3"/>
      <c r="T1341" s="6">
        <v>22.4575</v>
      </c>
      <c r="U1341" s="6">
        <v>36.195</v>
      </c>
      <c r="V1341" s="6">
        <v>7.8975</v>
      </c>
      <c r="W1341" s="3">
        <v>0.74397499999999994</v>
      </c>
      <c r="X1341" s="6"/>
      <c r="Y1341" s="6">
        <v>71.702500000000001</v>
      </c>
      <c r="Z1341" s="3">
        <v>2.3358897291962601</v>
      </c>
      <c r="AB1341" s="16"/>
      <c r="AD1341" s="16"/>
      <c r="AE1341" s="1">
        <v>1</v>
      </c>
    </row>
    <row r="1342" spans="1:31" x14ac:dyDescent="0.2">
      <c r="A1342" s="1">
        <v>1341</v>
      </c>
      <c r="B1342" s="1">
        <v>2012</v>
      </c>
      <c r="C1342" s="1" t="s">
        <v>31</v>
      </c>
      <c r="D1342" s="1" t="s">
        <v>108</v>
      </c>
      <c r="E1342" s="1" t="s">
        <v>275</v>
      </c>
      <c r="F1342" s="1" t="s">
        <v>32</v>
      </c>
      <c r="H1342" s="1" t="s">
        <v>34</v>
      </c>
      <c r="I1342" s="12">
        <v>10.6</v>
      </c>
      <c r="J1342" s="12">
        <v>30.3</v>
      </c>
      <c r="K1342" s="1" t="s">
        <v>34</v>
      </c>
      <c r="L1342" s="16">
        <v>3653</v>
      </c>
      <c r="M1342" s="1" t="s">
        <v>34</v>
      </c>
      <c r="N1342" s="16">
        <v>38747</v>
      </c>
      <c r="O1342" s="15">
        <v>32.9</v>
      </c>
      <c r="P1342" s="15">
        <v>7.1</v>
      </c>
      <c r="Q1342" s="15">
        <v>41.2</v>
      </c>
      <c r="R1342" s="15">
        <v>64.400000000000006</v>
      </c>
      <c r="T1342" s="15"/>
      <c r="U1342" s="15">
        <v>36.1</v>
      </c>
      <c r="V1342" s="15">
        <v>6.2</v>
      </c>
      <c r="W1342" s="12">
        <v>0.76</v>
      </c>
      <c r="X1342" s="15"/>
      <c r="Y1342" s="15"/>
      <c r="Z1342" s="12">
        <v>2.81</v>
      </c>
      <c r="AB1342" s="16"/>
      <c r="AD1342" s="16"/>
      <c r="AE1342" s="1">
        <v>1</v>
      </c>
    </row>
    <row r="1343" spans="1:31" x14ac:dyDescent="0.2">
      <c r="A1343" s="1">
        <v>1342</v>
      </c>
      <c r="B1343" s="1">
        <v>2011</v>
      </c>
      <c r="C1343" s="1" t="s">
        <v>31</v>
      </c>
      <c r="D1343" s="1" t="s">
        <v>108</v>
      </c>
      <c r="E1343" s="1" t="s">
        <v>231</v>
      </c>
      <c r="F1343" s="1" t="s">
        <v>83</v>
      </c>
      <c r="I1343" s="12">
        <v>5.87</v>
      </c>
      <c r="J1343" s="12">
        <v>16.8</v>
      </c>
      <c r="K1343" s="1" t="s">
        <v>34</v>
      </c>
      <c r="L1343" s="16">
        <v>3654</v>
      </c>
      <c r="N1343" s="16">
        <v>21391</v>
      </c>
      <c r="O1343" s="15">
        <v>28.5</v>
      </c>
      <c r="P1343" s="15">
        <v>6.6</v>
      </c>
      <c r="Q1343" s="15">
        <v>41.5</v>
      </c>
      <c r="R1343" s="15">
        <v>62.4</v>
      </c>
      <c r="T1343" s="15"/>
      <c r="U1343" s="15">
        <v>35.4</v>
      </c>
      <c r="V1343" s="15">
        <v>6.5</v>
      </c>
      <c r="W1343" s="12"/>
      <c r="X1343" s="15"/>
      <c r="Y1343" s="15">
        <v>71.8</v>
      </c>
      <c r="Z1343" s="12">
        <v>1.52</v>
      </c>
      <c r="AB1343" s="16"/>
      <c r="AD1343" s="16"/>
      <c r="AE1343" s="1">
        <v>1</v>
      </c>
    </row>
    <row r="1344" spans="1:31" x14ac:dyDescent="0.2">
      <c r="A1344" s="1">
        <v>1343</v>
      </c>
      <c r="B1344" s="1">
        <v>2011</v>
      </c>
      <c r="C1344" s="1" t="s">
        <v>31</v>
      </c>
      <c r="D1344" s="1" t="s">
        <v>54</v>
      </c>
      <c r="E1344" s="1" t="s">
        <v>199</v>
      </c>
      <c r="F1344" s="1" t="s">
        <v>32</v>
      </c>
      <c r="I1344" s="12">
        <v>8.32</v>
      </c>
      <c r="J1344" s="12">
        <v>23.8</v>
      </c>
      <c r="L1344" s="16">
        <v>3654</v>
      </c>
      <c r="N1344" s="16">
        <v>30406</v>
      </c>
      <c r="O1344" s="15">
        <v>31.6</v>
      </c>
      <c r="P1344" s="15">
        <v>7.9</v>
      </c>
      <c r="Q1344" s="15">
        <v>43.9</v>
      </c>
      <c r="R1344" s="15">
        <v>65.900000000000006</v>
      </c>
      <c r="T1344" s="15"/>
      <c r="U1344" s="15">
        <v>34.700000000000003</v>
      </c>
      <c r="V1344" s="15">
        <v>4.5</v>
      </c>
      <c r="W1344" s="12"/>
      <c r="X1344" s="15"/>
      <c r="Y1344" s="15">
        <v>71.599999999999994</v>
      </c>
      <c r="Z1344" s="12">
        <v>2.41</v>
      </c>
      <c r="AB1344" s="16"/>
      <c r="AD1344" s="16"/>
      <c r="AE1344" s="1">
        <v>1</v>
      </c>
    </row>
    <row r="1345" spans="1:31" x14ac:dyDescent="0.2">
      <c r="A1345" s="1">
        <v>1344</v>
      </c>
      <c r="B1345" s="1">
        <v>2011</v>
      </c>
      <c r="C1345" s="1" t="s">
        <v>31</v>
      </c>
      <c r="D1345" s="1" t="s">
        <v>125</v>
      </c>
      <c r="E1345" s="1" t="s">
        <v>215</v>
      </c>
      <c r="F1345" s="1" t="s">
        <v>32</v>
      </c>
      <c r="I1345" s="12">
        <v>8.59</v>
      </c>
      <c r="J1345" s="12">
        <v>31.6</v>
      </c>
      <c r="L1345" s="16">
        <v>3655</v>
      </c>
      <c r="N1345" s="16">
        <v>31400</v>
      </c>
      <c r="O1345" s="15">
        <v>28.4</v>
      </c>
      <c r="P1345" s="15">
        <v>7.6</v>
      </c>
      <c r="Q1345" s="15">
        <v>42.4</v>
      </c>
      <c r="R1345" s="15">
        <v>64</v>
      </c>
      <c r="T1345" s="15"/>
      <c r="U1345" s="15">
        <v>38.799999999999997</v>
      </c>
      <c r="V1345" s="15">
        <v>3.3</v>
      </c>
      <c r="W1345" s="12"/>
      <c r="X1345" s="15"/>
      <c r="Y1345" s="15">
        <v>71.2</v>
      </c>
      <c r="Z1345" s="12">
        <v>2.33</v>
      </c>
      <c r="AB1345" s="16"/>
      <c r="AD1345" s="16"/>
      <c r="AE1345" s="1">
        <v>1</v>
      </c>
    </row>
    <row r="1346" spans="1:31" x14ac:dyDescent="0.2">
      <c r="A1346" s="1">
        <v>1345</v>
      </c>
      <c r="B1346" s="1">
        <v>2011</v>
      </c>
      <c r="C1346" s="1" t="s">
        <v>31</v>
      </c>
      <c r="D1346" s="1" t="s">
        <v>916</v>
      </c>
      <c r="E1346" s="1" t="s">
        <v>227</v>
      </c>
      <c r="F1346" s="1" t="s">
        <v>32</v>
      </c>
      <c r="H1346" s="1" t="s">
        <v>34</v>
      </c>
      <c r="I1346" s="12">
        <v>9.4700000000000006</v>
      </c>
      <c r="J1346" s="12">
        <v>29</v>
      </c>
      <c r="L1346" s="16">
        <v>3655</v>
      </c>
      <c r="N1346" s="16">
        <v>34640</v>
      </c>
      <c r="O1346" s="15">
        <v>26</v>
      </c>
      <c r="P1346" s="15">
        <v>8.1999999999999993</v>
      </c>
      <c r="Q1346" s="15">
        <v>44.9</v>
      </c>
      <c r="R1346" s="15">
        <v>64.7</v>
      </c>
      <c r="T1346" s="15"/>
      <c r="U1346" s="15">
        <v>34.299999999999997</v>
      </c>
      <c r="V1346" s="15">
        <v>3.8</v>
      </c>
      <c r="W1346" s="12"/>
      <c r="X1346" s="15"/>
      <c r="Y1346" s="15">
        <v>71.400000000000006</v>
      </c>
      <c r="Z1346" s="12">
        <v>2.74</v>
      </c>
      <c r="AB1346" s="16"/>
      <c r="AD1346" s="16"/>
      <c r="AE1346" s="1">
        <v>1</v>
      </c>
    </row>
    <row r="1347" spans="1:31" x14ac:dyDescent="0.2">
      <c r="A1347" s="1">
        <v>1346</v>
      </c>
      <c r="B1347" s="1">
        <v>2011</v>
      </c>
      <c r="C1347" s="1" t="s">
        <v>31</v>
      </c>
      <c r="D1347" s="1" t="s">
        <v>33</v>
      </c>
      <c r="E1347" s="1" t="s">
        <v>212</v>
      </c>
      <c r="F1347" s="1" t="s">
        <v>32</v>
      </c>
      <c r="H1347" s="1" t="s">
        <v>34</v>
      </c>
      <c r="I1347" s="12">
        <v>9.5</v>
      </c>
      <c r="J1347" s="12">
        <v>33.299999999999997</v>
      </c>
      <c r="L1347" s="16">
        <v>3655</v>
      </c>
      <c r="N1347" s="16">
        <v>34714</v>
      </c>
      <c r="O1347" s="15">
        <v>29.9</v>
      </c>
      <c r="P1347" s="15">
        <v>7.6</v>
      </c>
      <c r="Q1347" s="15">
        <v>40.700000000000003</v>
      </c>
      <c r="R1347" s="15">
        <v>60.8</v>
      </c>
      <c r="T1347" s="15"/>
      <c r="U1347" s="15">
        <v>40.5</v>
      </c>
      <c r="V1347" s="15">
        <v>3.7</v>
      </c>
      <c r="W1347" s="12"/>
      <c r="X1347" s="15"/>
      <c r="Y1347" s="15">
        <v>72.8</v>
      </c>
      <c r="Z1347" s="12">
        <v>2.35</v>
      </c>
      <c r="AB1347" s="16"/>
      <c r="AD1347" s="16"/>
      <c r="AE1347" s="1">
        <v>1</v>
      </c>
    </row>
    <row r="1348" spans="1:31" x14ac:dyDescent="0.2">
      <c r="A1348" s="1">
        <v>1347</v>
      </c>
      <c r="B1348" s="1">
        <v>2020</v>
      </c>
      <c r="C1348" s="1" t="s">
        <v>31</v>
      </c>
      <c r="D1348" s="28" t="s">
        <v>914</v>
      </c>
      <c r="E1348" s="1" t="s">
        <v>416</v>
      </c>
      <c r="F1348" s="1" t="s">
        <v>32</v>
      </c>
      <c r="G1348" s="1">
        <v>120</v>
      </c>
      <c r="H1348" s="1" t="s">
        <v>754</v>
      </c>
      <c r="I1348" s="12">
        <v>8.0429456381744995</v>
      </c>
      <c r="J1348" s="12">
        <v>22.974487027999999</v>
      </c>
      <c r="K1348" s="1" t="s">
        <v>34</v>
      </c>
      <c r="L1348" s="16">
        <v>3655.5565951509998</v>
      </c>
      <c r="M1348" s="16" t="s">
        <v>34</v>
      </c>
      <c r="N1348" s="16">
        <v>29422.640832582001</v>
      </c>
      <c r="O1348" s="10">
        <v>30.409363499999998</v>
      </c>
      <c r="P1348" s="15">
        <v>10.29</v>
      </c>
      <c r="Q1348" s="15">
        <v>42.2575</v>
      </c>
      <c r="R1348" s="15">
        <v>51.231729623</v>
      </c>
      <c r="S1348" s="15"/>
      <c r="T1348" s="15">
        <v>22.9375</v>
      </c>
      <c r="U1348" s="15">
        <v>25.45</v>
      </c>
      <c r="V1348" s="15">
        <v>6.7532303999999996</v>
      </c>
      <c r="W1348" s="12">
        <v>0.74218851399999997</v>
      </c>
      <c r="X1348" s="15"/>
      <c r="Y1348" s="15">
        <v>77.79967225</v>
      </c>
      <c r="Z1348" s="12"/>
      <c r="AA1348" s="15">
        <v>1.625</v>
      </c>
      <c r="AB1348" s="16">
        <f>AA1348*33.334</f>
        <v>54.167750000000005</v>
      </c>
      <c r="AD1348" s="16"/>
      <c r="AE1348" s="1">
        <v>1</v>
      </c>
    </row>
    <row r="1349" spans="1:31" x14ac:dyDescent="0.2">
      <c r="A1349" s="1">
        <v>1348</v>
      </c>
      <c r="B1349" s="1">
        <v>2008</v>
      </c>
      <c r="C1349" s="1" t="s">
        <v>31</v>
      </c>
      <c r="D1349" s="8" t="s">
        <v>78</v>
      </c>
      <c r="E1349" s="8" t="s">
        <v>81</v>
      </c>
      <c r="F1349" s="8" t="s">
        <v>32</v>
      </c>
      <c r="G1349" s="8"/>
      <c r="H1349" s="8"/>
      <c r="I1349" s="12">
        <v>9.01</v>
      </c>
      <c r="J1349" s="7">
        <v>25.742857142857144</v>
      </c>
      <c r="K1349" s="13" t="s">
        <v>34</v>
      </c>
      <c r="L1349" s="14">
        <v>3657</v>
      </c>
      <c r="M1349" s="14"/>
      <c r="N1349" s="14">
        <v>32971</v>
      </c>
      <c r="O1349" s="13">
        <v>30.1</v>
      </c>
      <c r="P1349" s="13">
        <v>9</v>
      </c>
      <c r="Q1349" s="13">
        <v>39.700000000000003</v>
      </c>
      <c r="R1349" s="13">
        <v>68.900000000000006</v>
      </c>
      <c r="S1349" s="13"/>
      <c r="T1349" s="13"/>
      <c r="U1349" s="13">
        <v>32.799999999999997</v>
      </c>
      <c r="V1349" s="13"/>
      <c r="W1349" s="13"/>
      <c r="X1349" s="15"/>
      <c r="Y1349" s="13">
        <v>76.8</v>
      </c>
      <c r="Z1349" s="7">
        <v>2.46</v>
      </c>
      <c r="AB1349" s="16"/>
      <c r="AD1349" s="16"/>
      <c r="AE1349" s="1">
        <v>1</v>
      </c>
    </row>
    <row r="1350" spans="1:31" x14ac:dyDescent="0.2">
      <c r="A1350" s="1">
        <v>1349</v>
      </c>
      <c r="B1350" s="1">
        <v>2017</v>
      </c>
      <c r="C1350" s="1" t="s">
        <v>31</v>
      </c>
      <c r="D1350" s="1" t="s">
        <v>916</v>
      </c>
      <c r="E1350" s="8" t="s">
        <v>602</v>
      </c>
      <c r="F1350" s="1" t="s">
        <v>32</v>
      </c>
      <c r="G1350" s="1">
        <v>118</v>
      </c>
      <c r="I1350" s="12">
        <v>8.4469232299999994</v>
      </c>
      <c r="J1350" s="3">
        <v>24.134066399999998</v>
      </c>
      <c r="L1350" s="5">
        <v>3658</v>
      </c>
      <c r="N1350" s="5">
        <v>30920.8737</v>
      </c>
      <c r="O1350" s="6">
        <v>31.063291</v>
      </c>
      <c r="P1350" s="6">
        <v>6.69</v>
      </c>
      <c r="Q1350" s="6">
        <v>38.292499999999997</v>
      </c>
      <c r="R1350" s="6">
        <v>56.01</v>
      </c>
      <c r="S1350" s="3"/>
      <c r="T1350" s="6">
        <v>23.127500000000001</v>
      </c>
      <c r="U1350" s="6">
        <v>38.704999999999998</v>
      </c>
      <c r="V1350" s="6">
        <v>2.5325000000000002</v>
      </c>
      <c r="W1350" s="3">
        <v>0.8</v>
      </c>
      <c r="X1350" s="6"/>
      <c r="Y1350" s="6">
        <v>73.3</v>
      </c>
      <c r="Z1350" s="3">
        <v>1.81160443</v>
      </c>
      <c r="AB1350" s="16"/>
      <c r="AD1350" s="16"/>
      <c r="AE1350" s="1">
        <v>1</v>
      </c>
    </row>
    <row r="1351" spans="1:31" x14ac:dyDescent="0.2">
      <c r="A1351" s="1">
        <v>1350</v>
      </c>
      <c r="B1351" s="1">
        <v>2011</v>
      </c>
      <c r="C1351" s="1" t="s">
        <v>31</v>
      </c>
      <c r="D1351" s="28" t="s">
        <v>914</v>
      </c>
      <c r="E1351" s="1" t="s">
        <v>207</v>
      </c>
      <c r="F1351" s="1" t="s">
        <v>32</v>
      </c>
      <c r="I1351" s="12">
        <v>8.58</v>
      </c>
      <c r="J1351" s="12">
        <v>30.7</v>
      </c>
      <c r="L1351" s="16">
        <v>3658</v>
      </c>
      <c r="N1351" s="16">
        <v>31387</v>
      </c>
      <c r="O1351" s="15">
        <v>28.1</v>
      </c>
      <c r="P1351" s="15">
        <v>8</v>
      </c>
      <c r="Q1351" s="15">
        <v>41.6</v>
      </c>
      <c r="R1351" s="15">
        <v>65.099999999999994</v>
      </c>
      <c r="T1351" s="15"/>
      <c r="U1351" s="15">
        <v>38.6</v>
      </c>
      <c r="V1351" s="15">
        <v>4.5</v>
      </c>
      <c r="W1351" s="12"/>
      <c r="X1351" s="15"/>
      <c r="Y1351" s="15">
        <v>71.7</v>
      </c>
      <c r="Z1351" s="12">
        <v>2.3199999999999998</v>
      </c>
      <c r="AB1351" s="16"/>
      <c r="AD1351" s="16"/>
      <c r="AE1351" s="1">
        <v>1</v>
      </c>
    </row>
    <row r="1352" spans="1:31" x14ac:dyDescent="0.2">
      <c r="A1352" s="1">
        <v>1351</v>
      </c>
      <c r="B1352" s="1">
        <v>2017</v>
      </c>
      <c r="C1352" s="1" t="s">
        <v>31</v>
      </c>
      <c r="D1352" s="8" t="s">
        <v>874</v>
      </c>
      <c r="E1352" s="8" t="s">
        <v>362</v>
      </c>
      <c r="F1352" s="1" t="s">
        <v>32</v>
      </c>
      <c r="G1352" s="1">
        <v>117</v>
      </c>
      <c r="I1352" s="12">
        <v>8.0723382299999997</v>
      </c>
      <c r="J1352" s="3">
        <v>23.063823500000002</v>
      </c>
      <c r="K1352" s="1" t="s">
        <v>34</v>
      </c>
      <c r="L1352" s="5">
        <v>3659</v>
      </c>
      <c r="N1352" s="5">
        <v>29624.762299999999</v>
      </c>
      <c r="O1352" s="6">
        <v>33.6</v>
      </c>
      <c r="P1352" s="6">
        <v>6.94</v>
      </c>
      <c r="Q1352" s="6">
        <v>35.137500000000003</v>
      </c>
      <c r="R1352" s="6">
        <v>54.79</v>
      </c>
      <c r="S1352" s="3"/>
      <c r="T1352" s="6">
        <v>21.274999999999999</v>
      </c>
      <c r="U1352" s="6">
        <v>40.5</v>
      </c>
      <c r="V1352" s="6">
        <v>3.0225</v>
      </c>
      <c r="W1352" s="3">
        <v>0.81</v>
      </c>
      <c r="X1352" s="6"/>
      <c r="Y1352" s="6">
        <v>74.5</v>
      </c>
      <c r="Z1352" s="3">
        <v>1.5434841100000001</v>
      </c>
      <c r="AB1352" s="16"/>
      <c r="AD1352" s="16"/>
      <c r="AE1352" s="1">
        <v>1</v>
      </c>
    </row>
    <row r="1353" spans="1:31" x14ac:dyDescent="0.2">
      <c r="A1353" s="1">
        <v>1352</v>
      </c>
      <c r="B1353" s="1">
        <v>2010</v>
      </c>
      <c r="C1353" s="1" t="s">
        <v>31</v>
      </c>
      <c r="D1353" s="1" t="s">
        <v>916</v>
      </c>
      <c r="E1353" s="8" t="s">
        <v>166</v>
      </c>
      <c r="F1353" s="1" t="s">
        <v>83</v>
      </c>
      <c r="I1353" s="12">
        <v>6.97</v>
      </c>
      <c r="J1353" s="7">
        <v>19.9142857142857</v>
      </c>
      <c r="K1353" s="1" t="s">
        <v>34</v>
      </c>
      <c r="L1353" s="14">
        <v>3661</v>
      </c>
      <c r="N1353" s="14">
        <v>25515</v>
      </c>
      <c r="O1353" s="13">
        <v>28.4</v>
      </c>
      <c r="P1353" s="13">
        <v>8.4</v>
      </c>
      <c r="Q1353" s="13">
        <v>39.799999999999997</v>
      </c>
      <c r="R1353" s="13">
        <v>57</v>
      </c>
      <c r="S1353" s="13"/>
      <c r="T1353" s="15"/>
      <c r="U1353" s="13">
        <v>37.1</v>
      </c>
      <c r="V1353" s="13">
        <v>6.8</v>
      </c>
      <c r="W1353" s="12"/>
      <c r="X1353" s="15"/>
      <c r="Y1353" s="13">
        <v>74.2</v>
      </c>
      <c r="Z1353" s="7">
        <v>1.58</v>
      </c>
      <c r="AB1353" s="16"/>
      <c r="AD1353" s="16"/>
      <c r="AE1353" s="1">
        <v>1</v>
      </c>
    </row>
    <row r="1354" spans="1:31" x14ac:dyDescent="0.2">
      <c r="A1354" s="1">
        <v>1353</v>
      </c>
      <c r="B1354" s="1">
        <v>2010</v>
      </c>
      <c r="C1354" s="1" t="s">
        <v>31</v>
      </c>
      <c r="D1354" s="28" t="s">
        <v>914</v>
      </c>
      <c r="E1354" s="8" t="s">
        <v>158</v>
      </c>
      <c r="F1354" s="1" t="s">
        <v>32</v>
      </c>
      <c r="I1354" s="12">
        <v>7.97</v>
      </c>
      <c r="J1354" s="7">
        <v>22.771428571428601</v>
      </c>
      <c r="K1354" s="1" t="s">
        <v>34</v>
      </c>
      <c r="L1354" s="14">
        <v>3661</v>
      </c>
      <c r="N1354" s="14">
        <v>29146</v>
      </c>
      <c r="O1354" s="13">
        <v>31.3</v>
      </c>
      <c r="P1354" s="13">
        <v>9.5</v>
      </c>
      <c r="Q1354" s="13">
        <v>37</v>
      </c>
      <c r="R1354" s="13">
        <v>57.1</v>
      </c>
      <c r="S1354" s="13"/>
      <c r="T1354" s="15"/>
      <c r="U1354" s="13">
        <v>41.9</v>
      </c>
      <c r="V1354" s="13">
        <v>5.5</v>
      </c>
      <c r="W1354" s="12"/>
      <c r="X1354" s="15"/>
      <c r="Y1354" s="13">
        <v>73.7</v>
      </c>
      <c r="Z1354" s="7">
        <v>1.67</v>
      </c>
      <c r="AB1354" s="16"/>
      <c r="AD1354" s="16"/>
      <c r="AE1354" s="1">
        <v>1</v>
      </c>
    </row>
    <row r="1355" spans="1:31" x14ac:dyDescent="0.2">
      <c r="A1355" s="1">
        <v>1354</v>
      </c>
      <c r="B1355" s="1">
        <v>2017</v>
      </c>
      <c r="C1355" s="1" t="s">
        <v>31</v>
      </c>
      <c r="D1355" s="28" t="s">
        <v>914</v>
      </c>
      <c r="E1355" s="8" t="s">
        <v>608</v>
      </c>
      <c r="F1355" s="1" t="s">
        <v>32</v>
      </c>
      <c r="G1355" s="1">
        <v>118</v>
      </c>
      <c r="I1355" s="12">
        <v>8.4055543900000007</v>
      </c>
      <c r="J1355" s="3">
        <v>24.0158697</v>
      </c>
      <c r="K1355" s="1" t="s">
        <v>34</v>
      </c>
      <c r="L1355" s="5">
        <v>3661</v>
      </c>
      <c r="N1355" s="5">
        <v>30813.390599999999</v>
      </c>
      <c r="O1355" s="6">
        <v>33.271854500000003</v>
      </c>
      <c r="P1355" s="6">
        <v>7.3425000000000002</v>
      </c>
      <c r="Q1355" s="6">
        <v>34.517499999999998</v>
      </c>
      <c r="R1355" s="6">
        <v>52.612499999999997</v>
      </c>
      <c r="S1355" s="3"/>
      <c r="T1355" s="6">
        <v>20.942499999999999</v>
      </c>
      <c r="U1355" s="6">
        <v>41.3</v>
      </c>
      <c r="V1355" s="6">
        <v>2.78</v>
      </c>
      <c r="W1355" s="3">
        <v>0.81</v>
      </c>
      <c r="X1355" s="6"/>
      <c r="Y1355" s="6">
        <v>74.7</v>
      </c>
      <c r="Z1355" s="3">
        <v>1.5218334200000001</v>
      </c>
      <c r="AB1355" s="16"/>
      <c r="AD1355" s="16"/>
      <c r="AE1355" s="1">
        <v>1</v>
      </c>
    </row>
    <row r="1356" spans="1:31" x14ac:dyDescent="0.2">
      <c r="A1356" s="1">
        <v>1355</v>
      </c>
      <c r="B1356" s="1">
        <v>2008</v>
      </c>
      <c r="C1356" s="1" t="s">
        <v>31</v>
      </c>
      <c r="D1356" s="28" t="s">
        <v>914</v>
      </c>
      <c r="E1356" s="8" t="s">
        <v>44</v>
      </c>
      <c r="F1356" s="8" t="s">
        <v>32</v>
      </c>
      <c r="G1356" s="8"/>
      <c r="H1356" s="8"/>
      <c r="I1356" s="12">
        <v>8.99</v>
      </c>
      <c r="J1356" s="7">
        <v>25.685714285714287</v>
      </c>
      <c r="K1356" s="13" t="s">
        <v>34</v>
      </c>
      <c r="L1356" s="14">
        <v>3661</v>
      </c>
      <c r="M1356" s="14"/>
      <c r="N1356" s="14">
        <v>32939</v>
      </c>
      <c r="O1356" s="13">
        <v>27.2</v>
      </c>
      <c r="P1356" s="13">
        <v>9.1</v>
      </c>
      <c r="Q1356" s="13">
        <v>39.1</v>
      </c>
      <c r="R1356" s="13">
        <v>68.2</v>
      </c>
      <c r="S1356" s="13"/>
      <c r="T1356" s="13"/>
      <c r="U1356" s="13">
        <v>33.9</v>
      </c>
      <c r="V1356" s="13"/>
      <c r="W1356" s="13"/>
      <c r="X1356" s="15"/>
      <c r="Y1356" s="13">
        <v>76.8</v>
      </c>
      <c r="Z1356" s="7">
        <v>2.39</v>
      </c>
      <c r="AB1356" s="16"/>
      <c r="AD1356" s="16"/>
      <c r="AE1356" s="1">
        <v>1</v>
      </c>
    </row>
    <row r="1357" spans="1:31" x14ac:dyDescent="0.2">
      <c r="A1357" s="1">
        <v>1356</v>
      </c>
      <c r="B1357" s="1">
        <v>2011</v>
      </c>
      <c r="C1357" s="1" t="s">
        <v>31</v>
      </c>
      <c r="D1357" s="8" t="s">
        <v>874</v>
      </c>
      <c r="E1357" s="1" t="s">
        <v>163</v>
      </c>
      <c r="F1357" s="1" t="s">
        <v>32</v>
      </c>
      <c r="I1357" s="12">
        <v>9.1999999999999993</v>
      </c>
      <c r="J1357" s="12">
        <v>31.3</v>
      </c>
      <c r="L1357" s="16">
        <v>3661</v>
      </c>
      <c r="N1357" s="16">
        <v>33715</v>
      </c>
      <c r="O1357" s="15">
        <v>28.2</v>
      </c>
      <c r="P1357" s="15">
        <v>7.9</v>
      </c>
      <c r="Q1357" s="15">
        <v>43.3</v>
      </c>
      <c r="R1357" s="15">
        <v>63.3</v>
      </c>
      <c r="T1357" s="15"/>
      <c r="U1357" s="15">
        <v>37.799999999999997</v>
      </c>
      <c r="V1357" s="15">
        <v>3.8</v>
      </c>
      <c r="W1357" s="12"/>
      <c r="X1357" s="15"/>
      <c r="Y1357" s="15">
        <v>72.3</v>
      </c>
      <c r="Z1357" s="12">
        <v>2.5099999999999998</v>
      </c>
      <c r="AB1357" s="16"/>
      <c r="AD1357" s="16"/>
      <c r="AE1357" s="1">
        <v>1</v>
      </c>
    </row>
    <row r="1358" spans="1:31" x14ac:dyDescent="0.2">
      <c r="A1358" s="1">
        <v>1357</v>
      </c>
      <c r="B1358" s="1">
        <v>2015</v>
      </c>
      <c r="C1358" s="8" t="s">
        <v>31</v>
      </c>
      <c r="D1358" s="8" t="s">
        <v>402</v>
      </c>
      <c r="E1358" s="8" t="s">
        <v>475</v>
      </c>
      <c r="F1358" s="1" t="s">
        <v>32</v>
      </c>
      <c r="G1358" s="8">
        <v>119</v>
      </c>
      <c r="I1358" s="12">
        <v>9.6199999999999992</v>
      </c>
      <c r="J1358" s="7">
        <v>27.485714285714284</v>
      </c>
      <c r="K1358" s="1" t="s">
        <v>34</v>
      </c>
      <c r="L1358" s="14">
        <v>3663</v>
      </c>
      <c r="M1358" s="1" t="s">
        <v>34</v>
      </c>
      <c r="N1358" s="14">
        <v>35200</v>
      </c>
      <c r="O1358" s="13">
        <v>34.200000000000003</v>
      </c>
      <c r="P1358" s="13">
        <v>6.4</v>
      </c>
      <c r="Q1358" s="13">
        <v>33.700000000000003</v>
      </c>
      <c r="R1358" s="13">
        <v>50.5</v>
      </c>
      <c r="S1358" s="8"/>
      <c r="T1358" s="13">
        <v>23.2</v>
      </c>
      <c r="U1358" s="13">
        <v>40</v>
      </c>
      <c r="V1358" s="13">
        <v>3.3</v>
      </c>
      <c r="W1358" s="7">
        <v>0.78</v>
      </c>
      <c r="X1358" s="13"/>
      <c r="Y1358" s="13">
        <v>75.3</v>
      </c>
      <c r="Z1358" s="7">
        <v>1.64</v>
      </c>
      <c r="AA1358" s="1" t="s">
        <v>89</v>
      </c>
      <c r="AB1358" s="16" t="s">
        <v>89</v>
      </c>
      <c r="AC1358" s="1" t="s">
        <v>89</v>
      </c>
      <c r="AD1358" s="16" t="s">
        <v>89</v>
      </c>
      <c r="AE1358" s="1">
        <v>1</v>
      </c>
    </row>
    <row r="1359" spans="1:31" x14ac:dyDescent="0.2">
      <c r="A1359" s="1">
        <v>1358</v>
      </c>
      <c r="B1359" s="1">
        <v>2013</v>
      </c>
      <c r="C1359" s="1" t="s">
        <v>31</v>
      </c>
      <c r="D1359" s="8" t="s">
        <v>291</v>
      </c>
      <c r="E1359" s="8" t="s">
        <v>382</v>
      </c>
      <c r="F1359" s="1" t="s">
        <v>32</v>
      </c>
      <c r="G1359" s="8">
        <v>116</v>
      </c>
      <c r="H1359" s="8"/>
      <c r="I1359" s="12">
        <v>8.5500000000000007</v>
      </c>
      <c r="J1359" s="7">
        <v>24.428571428571399</v>
      </c>
      <c r="K1359" s="13" t="s">
        <v>34</v>
      </c>
      <c r="L1359" s="14">
        <v>3664</v>
      </c>
      <c r="M1359" s="14"/>
      <c r="N1359" s="14">
        <v>31320</v>
      </c>
      <c r="O1359" s="13">
        <v>28.1</v>
      </c>
      <c r="P1359" s="13">
        <v>7.9</v>
      </c>
      <c r="Q1359" s="13">
        <v>34.299999999999997</v>
      </c>
      <c r="R1359" s="13">
        <v>56.6</v>
      </c>
      <c r="S1359" s="13"/>
      <c r="T1359" s="13"/>
      <c r="U1359" s="13">
        <v>41</v>
      </c>
      <c r="V1359" s="13">
        <v>3.9</v>
      </c>
      <c r="W1359" s="7">
        <v>0.76</v>
      </c>
      <c r="X1359" s="15"/>
      <c r="Y1359" s="15"/>
      <c r="Z1359" s="7">
        <v>1.66</v>
      </c>
      <c r="AB1359" s="16"/>
      <c r="AD1359" s="16"/>
      <c r="AE1359" s="1">
        <v>1</v>
      </c>
    </row>
    <row r="1360" spans="1:31" x14ac:dyDescent="0.2">
      <c r="A1360" s="1">
        <v>1359</v>
      </c>
      <c r="B1360" s="1">
        <v>2021</v>
      </c>
      <c r="C1360" s="1" t="s">
        <v>31</v>
      </c>
      <c r="D1360" s="28" t="s">
        <v>914</v>
      </c>
      <c r="E1360" s="1" t="s">
        <v>803</v>
      </c>
      <c r="F1360" s="1" t="s">
        <v>32</v>
      </c>
      <c r="G1360" s="1">
        <v>113</v>
      </c>
      <c r="H1360" s="1" t="s">
        <v>89</v>
      </c>
      <c r="I1360" s="12">
        <v>7.6251965682584997</v>
      </c>
      <c r="J1360" s="12">
        <v>21.786275909</v>
      </c>
      <c r="K1360" s="1" t="s">
        <v>34</v>
      </c>
      <c r="L1360" s="16">
        <v>3664.3048696840001</v>
      </c>
      <c r="M1360" s="16" t="s">
        <v>89</v>
      </c>
      <c r="N1360" s="16">
        <v>27942.588850439999</v>
      </c>
      <c r="O1360" s="15">
        <v>34.356518000000001</v>
      </c>
      <c r="P1360" s="15">
        <v>7.9781903569999999</v>
      </c>
      <c r="Q1360" s="15">
        <v>33.959065430999999</v>
      </c>
      <c r="R1360" s="15">
        <v>66.869465235999996</v>
      </c>
      <c r="T1360" s="15">
        <v>19.016316922000001</v>
      </c>
      <c r="U1360" s="15">
        <v>44.097597249000003</v>
      </c>
      <c r="V1360" s="15">
        <v>6.9505871580000003</v>
      </c>
      <c r="W1360" s="12">
        <v>0.74709813038999995</v>
      </c>
      <c r="X1360" s="15"/>
      <c r="Y1360" s="15">
        <v>76.864376242999995</v>
      </c>
      <c r="Z1360" s="12"/>
      <c r="AA1360" s="15">
        <v>0.147187436</v>
      </c>
      <c r="AB1360" s="16">
        <f>AA1360*33.334</f>
        <v>4.9063459916240006</v>
      </c>
      <c r="AD1360" s="16"/>
      <c r="AE1360" s="1">
        <v>1</v>
      </c>
    </row>
    <row r="1361" spans="1:31" x14ac:dyDescent="0.2">
      <c r="A1361" s="1">
        <v>1360</v>
      </c>
      <c r="B1361" s="1">
        <v>2019</v>
      </c>
      <c r="C1361" s="1" t="s">
        <v>31</v>
      </c>
      <c r="D1361" s="22" t="s">
        <v>917</v>
      </c>
      <c r="E1361" s="1" t="s">
        <v>729</v>
      </c>
      <c r="F1361" s="1" t="s">
        <v>32</v>
      </c>
      <c r="H1361" s="1" t="s">
        <v>34</v>
      </c>
      <c r="I1361" s="12">
        <v>9.6</v>
      </c>
      <c r="J1361" s="7">
        <v>27.4</v>
      </c>
      <c r="L1361" s="5">
        <v>3664.5</v>
      </c>
      <c r="N1361" s="5">
        <v>35111.5</v>
      </c>
      <c r="O1361" s="6">
        <v>33.642499999999998</v>
      </c>
      <c r="P1361" s="6">
        <v>9.1999999999999993</v>
      </c>
      <c r="Q1361" s="6">
        <v>35.727499999999999</v>
      </c>
      <c r="R1361" s="6">
        <v>58.87</v>
      </c>
      <c r="S1361" s="3"/>
      <c r="T1361" s="6">
        <v>20.395</v>
      </c>
      <c r="U1361" s="6">
        <v>40</v>
      </c>
      <c r="V1361" s="6">
        <v>7.8174999999999999</v>
      </c>
      <c r="W1361" s="3">
        <v>0.76300000000000001</v>
      </c>
      <c r="X1361" s="6"/>
      <c r="Y1361" s="6">
        <v>73.400000000000006</v>
      </c>
      <c r="Z1361" s="3">
        <v>2.01536057455762</v>
      </c>
      <c r="AB1361" s="16"/>
      <c r="AD1361" s="16"/>
      <c r="AE1361" s="1">
        <v>1</v>
      </c>
    </row>
    <row r="1362" spans="1:31" x14ac:dyDescent="0.2">
      <c r="A1362" s="1">
        <v>1361</v>
      </c>
      <c r="B1362" s="1">
        <v>2012</v>
      </c>
      <c r="C1362" s="1" t="s">
        <v>31</v>
      </c>
      <c r="D1362" s="1" t="s">
        <v>37</v>
      </c>
      <c r="E1362" s="1" t="s">
        <v>40</v>
      </c>
      <c r="F1362" s="1" t="s">
        <v>32</v>
      </c>
      <c r="I1362" s="12">
        <v>9.5500000000000007</v>
      </c>
      <c r="J1362" s="12">
        <v>27.3</v>
      </c>
      <c r="K1362" s="1" t="s">
        <v>34</v>
      </c>
      <c r="L1362" s="16">
        <v>3665</v>
      </c>
      <c r="N1362" s="16">
        <v>35122</v>
      </c>
      <c r="O1362" s="15">
        <v>32.200000000000003</v>
      </c>
      <c r="P1362" s="15">
        <v>7.8</v>
      </c>
      <c r="Q1362" s="15">
        <v>42</v>
      </c>
      <c r="R1362" s="15">
        <v>64.900000000000006</v>
      </c>
      <c r="T1362" s="15"/>
      <c r="U1362" s="15">
        <v>35.299999999999997</v>
      </c>
      <c r="V1362" s="15">
        <v>5.9</v>
      </c>
      <c r="W1362" s="12">
        <v>0.75</v>
      </c>
      <c r="X1362" s="15"/>
      <c r="Y1362" s="15"/>
      <c r="Z1362" s="12">
        <v>2.58</v>
      </c>
      <c r="AB1362" s="16"/>
      <c r="AD1362" s="16"/>
      <c r="AE1362" s="1">
        <v>1</v>
      </c>
    </row>
    <row r="1363" spans="1:31" x14ac:dyDescent="0.2">
      <c r="A1363" s="1">
        <v>1362</v>
      </c>
      <c r="B1363" s="1">
        <v>2008</v>
      </c>
      <c r="C1363" s="1" t="s">
        <v>31</v>
      </c>
      <c r="D1363" s="8" t="s">
        <v>71</v>
      </c>
      <c r="E1363" s="8" t="s">
        <v>72</v>
      </c>
      <c r="F1363" s="8" t="s">
        <v>32</v>
      </c>
      <c r="G1363" s="8"/>
      <c r="H1363" s="8"/>
      <c r="I1363" s="12">
        <v>9</v>
      </c>
      <c r="J1363" s="7">
        <v>25.714285714285715</v>
      </c>
      <c r="K1363" s="13" t="s">
        <v>34</v>
      </c>
      <c r="L1363" s="14">
        <v>3668</v>
      </c>
      <c r="M1363" s="14"/>
      <c r="N1363" s="14">
        <v>33040</v>
      </c>
      <c r="O1363" s="13">
        <v>33</v>
      </c>
      <c r="P1363" s="13">
        <v>9</v>
      </c>
      <c r="Q1363" s="13">
        <v>37</v>
      </c>
      <c r="R1363" s="13">
        <v>72.3</v>
      </c>
      <c r="S1363" s="13"/>
      <c r="T1363" s="13"/>
      <c r="U1363" s="13">
        <v>33.799999999999997</v>
      </c>
      <c r="V1363" s="13"/>
      <c r="W1363" s="13"/>
      <c r="X1363" s="15"/>
      <c r="Y1363" s="13">
        <v>77.099999999999994</v>
      </c>
      <c r="Z1363" s="7">
        <v>2.4</v>
      </c>
      <c r="AB1363" s="16"/>
      <c r="AD1363" s="16"/>
      <c r="AE1363" s="1">
        <v>1</v>
      </c>
    </row>
    <row r="1364" spans="1:31" x14ac:dyDescent="0.2">
      <c r="A1364" s="1">
        <v>1363</v>
      </c>
      <c r="B1364" s="1">
        <v>2010</v>
      </c>
      <c r="C1364" s="1" t="s">
        <v>31</v>
      </c>
      <c r="D1364" s="28" t="s">
        <v>914</v>
      </c>
      <c r="E1364" s="8" t="s">
        <v>154</v>
      </c>
      <c r="F1364" s="1" t="s">
        <v>32</v>
      </c>
      <c r="I1364" s="12">
        <v>9.1199999999999992</v>
      </c>
      <c r="J1364" s="7">
        <v>26.0571428571429</v>
      </c>
      <c r="K1364" s="1" t="s">
        <v>34</v>
      </c>
      <c r="L1364" s="14">
        <v>3668</v>
      </c>
      <c r="N1364" s="14">
        <v>33430</v>
      </c>
      <c r="O1364" s="13">
        <v>29</v>
      </c>
      <c r="P1364" s="13">
        <v>9.4</v>
      </c>
      <c r="Q1364" s="13">
        <v>38.6</v>
      </c>
      <c r="R1364" s="13">
        <v>59</v>
      </c>
      <c r="S1364" s="13"/>
      <c r="T1364" s="15"/>
      <c r="U1364" s="13">
        <v>40.5</v>
      </c>
      <c r="V1364" s="13">
        <v>5.4</v>
      </c>
      <c r="W1364" s="12"/>
      <c r="X1364" s="15"/>
      <c r="Y1364" s="13">
        <v>74.099999999999994</v>
      </c>
      <c r="Z1364" s="7">
        <v>2.08</v>
      </c>
      <c r="AB1364" s="16"/>
      <c r="AD1364" s="16"/>
      <c r="AE1364" s="1">
        <v>1</v>
      </c>
    </row>
    <row r="1365" spans="1:31" x14ac:dyDescent="0.2">
      <c r="A1365" s="1">
        <v>1364</v>
      </c>
      <c r="B1365" s="1">
        <v>2019</v>
      </c>
      <c r="C1365" s="1" t="s">
        <v>31</v>
      </c>
      <c r="D1365" s="1" t="s">
        <v>805</v>
      </c>
      <c r="E1365" s="1" t="s">
        <v>716</v>
      </c>
      <c r="F1365" s="1" t="s">
        <v>32</v>
      </c>
      <c r="G1365" s="1">
        <v>118</v>
      </c>
      <c r="H1365" s="1" t="s">
        <v>34</v>
      </c>
      <c r="I1365" s="12">
        <v>9.6999999999999993</v>
      </c>
      <c r="J1365" s="7">
        <v>27.7</v>
      </c>
      <c r="L1365" s="5">
        <v>3668</v>
      </c>
      <c r="M1365" s="1" t="s">
        <v>34</v>
      </c>
      <c r="N1365" s="5">
        <v>35598.6</v>
      </c>
      <c r="O1365" s="6">
        <v>35.172499999999999</v>
      </c>
      <c r="P1365" s="6">
        <v>8.8625000000000007</v>
      </c>
      <c r="Q1365" s="6">
        <v>38.557499999999997</v>
      </c>
      <c r="R1365" s="6">
        <v>60.66</v>
      </c>
      <c r="S1365" s="3"/>
      <c r="T1365" s="6">
        <v>21.657499999999999</v>
      </c>
      <c r="U1365" s="6">
        <v>35.884999999999998</v>
      </c>
      <c r="V1365" s="6">
        <v>8.5950000000000006</v>
      </c>
      <c r="W1365" s="3">
        <v>0.74970000000000003</v>
      </c>
      <c r="X1365" s="6"/>
      <c r="Y1365" s="6">
        <v>72.215000000000003</v>
      </c>
      <c r="Z1365" s="3">
        <v>2.2686593876033099</v>
      </c>
      <c r="AB1365" s="16"/>
      <c r="AD1365" s="16"/>
      <c r="AE1365" s="1">
        <v>1</v>
      </c>
    </row>
    <row r="1366" spans="1:31" x14ac:dyDescent="0.2">
      <c r="A1366" s="1">
        <v>1365</v>
      </c>
      <c r="B1366" s="1">
        <v>2011</v>
      </c>
      <c r="C1366" s="1" t="s">
        <v>31</v>
      </c>
      <c r="D1366" s="1" t="s">
        <v>125</v>
      </c>
      <c r="E1366" s="1" t="s">
        <v>214</v>
      </c>
      <c r="F1366" s="1" t="s">
        <v>32</v>
      </c>
      <c r="I1366" s="12">
        <v>8.52</v>
      </c>
      <c r="J1366" s="12">
        <v>29.3</v>
      </c>
      <c r="L1366" s="16">
        <v>3669</v>
      </c>
      <c r="N1366" s="16">
        <v>31266</v>
      </c>
      <c r="O1366" s="15">
        <v>26.7</v>
      </c>
      <c r="P1366" s="15">
        <v>7.4</v>
      </c>
      <c r="Q1366" s="15">
        <v>43.1</v>
      </c>
      <c r="R1366" s="15">
        <v>66.5</v>
      </c>
      <c r="T1366" s="15"/>
      <c r="U1366" s="15">
        <v>38.1</v>
      </c>
      <c r="V1366" s="15">
        <v>4</v>
      </c>
      <c r="W1366" s="12"/>
      <c r="X1366" s="15"/>
      <c r="Y1366" s="15">
        <v>71.5</v>
      </c>
      <c r="Z1366" s="12">
        <v>2.4500000000000002</v>
      </c>
      <c r="AB1366" s="16"/>
      <c r="AD1366" s="16"/>
      <c r="AE1366" s="1">
        <v>1</v>
      </c>
    </row>
    <row r="1367" spans="1:31" x14ac:dyDescent="0.2">
      <c r="A1367" s="1">
        <v>1366</v>
      </c>
      <c r="B1367" s="1">
        <v>2011</v>
      </c>
      <c r="C1367" s="1" t="s">
        <v>31</v>
      </c>
      <c r="D1367" s="1" t="s">
        <v>805</v>
      </c>
      <c r="E1367" s="1" t="s">
        <v>210</v>
      </c>
      <c r="F1367" s="1" t="s">
        <v>32</v>
      </c>
      <c r="H1367" s="1" t="s">
        <v>34</v>
      </c>
      <c r="I1367" s="12">
        <v>9.94</v>
      </c>
      <c r="J1367" s="12">
        <v>33.299999999999997</v>
      </c>
      <c r="L1367" s="16">
        <v>3671</v>
      </c>
      <c r="M1367" s="1" t="s">
        <v>34</v>
      </c>
      <c r="N1367" s="16">
        <v>36487</v>
      </c>
      <c r="O1367" s="15">
        <v>29.9</v>
      </c>
      <c r="P1367" s="15">
        <v>7.7</v>
      </c>
      <c r="Q1367" s="15">
        <v>40.1</v>
      </c>
      <c r="R1367" s="15">
        <v>62.5</v>
      </c>
      <c r="T1367" s="15"/>
      <c r="U1367" s="15">
        <v>40.4</v>
      </c>
      <c r="V1367" s="15">
        <v>3.7</v>
      </c>
      <c r="W1367" s="12"/>
      <c r="X1367" s="15"/>
      <c r="Y1367" s="15">
        <v>72.400000000000006</v>
      </c>
      <c r="Z1367" s="12">
        <v>2.5099999999999998</v>
      </c>
      <c r="AB1367" s="16"/>
      <c r="AD1367" s="16"/>
      <c r="AE1367" s="1">
        <v>1</v>
      </c>
    </row>
    <row r="1368" spans="1:31" x14ac:dyDescent="0.2">
      <c r="A1368" s="1">
        <v>1367</v>
      </c>
      <c r="B1368" s="1">
        <v>2008</v>
      </c>
      <c r="C1368" s="1" t="s">
        <v>31</v>
      </c>
      <c r="D1368" s="8" t="s">
        <v>54</v>
      </c>
      <c r="E1368" s="8" t="s">
        <v>58</v>
      </c>
      <c r="F1368" s="8" t="s">
        <v>32</v>
      </c>
      <c r="G1368" s="8"/>
      <c r="H1368" s="8"/>
      <c r="I1368" s="12">
        <v>9.99</v>
      </c>
      <c r="J1368" s="7">
        <v>28.9</v>
      </c>
      <c r="K1368" s="13" t="s">
        <v>34</v>
      </c>
      <c r="L1368" s="14">
        <v>3671</v>
      </c>
      <c r="M1368" s="14" t="s">
        <v>34</v>
      </c>
      <c r="N1368" s="14">
        <v>36684</v>
      </c>
      <c r="O1368" s="13">
        <v>33.6</v>
      </c>
      <c r="P1368" s="13">
        <v>9.3000000000000007</v>
      </c>
      <c r="Q1368" s="13">
        <v>39</v>
      </c>
      <c r="R1368" s="13">
        <v>71.400000000000006</v>
      </c>
      <c r="S1368" s="13"/>
      <c r="T1368" s="13"/>
      <c r="U1368" s="13">
        <v>32.6</v>
      </c>
      <c r="V1368" s="13"/>
      <c r="W1368" s="13"/>
      <c r="X1368" s="15"/>
      <c r="Y1368" s="13">
        <v>77.2</v>
      </c>
      <c r="Z1368" s="7">
        <v>2.79</v>
      </c>
      <c r="AB1368" s="16"/>
      <c r="AD1368" s="16"/>
      <c r="AE1368" s="1">
        <v>1</v>
      </c>
    </row>
    <row r="1369" spans="1:31" x14ac:dyDescent="0.2">
      <c r="A1369" s="1">
        <v>1368</v>
      </c>
      <c r="B1369" s="1">
        <v>2015</v>
      </c>
      <c r="C1369" s="8" t="s">
        <v>31</v>
      </c>
      <c r="D1369" s="8" t="s">
        <v>402</v>
      </c>
      <c r="E1369" s="8" t="s">
        <v>469</v>
      </c>
      <c r="F1369" s="1" t="s">
        <v>32</v>
      </c>
      <c r="G1369" s="8">
        <v>115</v>
      </c>
      <c r="I1369" s="12">
        <v>8.8000000000000007</v>
      </c>
      <c r="J1369" s="7">
        <v>25.142857142857146</v>
      </c>
      <c r="K1369" s="1" t="s">
        <v>34</v>
      </c>
      <c r="L1369" s="14">
        <v>3672</v>
      </c>
      <c r="N1369" s="14">
        <v>32138</v>
      </c>
      <c r="O1369" s="13">
        <v>34.299999999999997</v>
      </c>
      <c r="P1369" s="13">
        <v>6.7</v>
      </c>
      <c r="Q1369" s="13">
        <v>33.200000000000003</v>
      </c>
      <c r="R1369" s="13">
        <v>51.9</v>
      </c>
      <c r="S1369" s="8"/>
      <c r="T1369" s="13">
        <v>22.2</v>
      </c>
      <c r="U1369" s="13">
        <v>40.200000000000003</v>
      </c>
      <c r="V1369" s="13">
        <v>3.4</v>
      </c>
      <c r="W1369" s="7">
        <v>0.78</v>
      </c>
      <c r="X1369" s="13"/>
      <c r="Y1369" s="13">
        <v>75.599999999999994</v>
      </c>
      <c r="Z1369" s="7">
        <v>1.53</v>
      </c>
      <c r="AA1369" s="1" t="s">
        <v>89</v>
      </c>
      <c r="AB1369" s="16" t="s">
        <v>89</v>
      </c>
      <c r="AC1369" s="1" t="s">
        <v>89</v>
      </c>
      <c r="AD1369" s="16" t="s">
        <v>89</v>
      </c>
      <c r="AE1369" s="1">
        <v>1</v>
      </c>
    </row>
    <row r="1370" spans="1:31" x14ac:dyDescent="0.2">
      <c r="A1370" s="1">
        <v>1369</v>
      </c>
      <c r="B1370" s="1">
        <v>2017</v>
      </c>
      <c r="C1370" s="1" t="s">
        <v>31</v>
      </c>
      <c r="D1370" s="8" t="s">
        <v>125</v>
      </c>
      <c r="E1370" s="8" t="s">
        <v>614</v>
      </c>
      <c r="F1370" s="1" t="s">
        <v>32</v>
      </c>
      <c r="G1370" s="1">
        <v>115</v>
      </c>
      <c r="H1370" s="1" t="s">
        <v>34</v>
      </c>
      <c r="I1370" s="12">
        <v>9.5299999999999994</v>
      </c>
      <c r="J1370" s="3">
        <v>27.23</v>
      </c>
      <c r="K1370" s="1" t="s">
        <v>34</v>
      </c>
      <c r="L1370" s="5">
        <v>3673</v>
      </c>
      <c r="M1370" s="1" t="s">
        <v>34</v>
      </c>
      <c r="N1370" s="5">
        <v>35033</v>
      </c>
      <c r="O1370" s="6">
        <v>32.782229999999998</v>
      </c>
      <c r="P1370" s="6">
        <v>7.3449999999999998</v>
      </c>
      <c r="Q1370" s="6">
        <v>34.092500000000001</v>
      </c>
      <c r="R1370" s="6">
        <v>54.232500000000002</v>
      </c>
      <c r="S1370" s="3"/>
      <c r="T1370" s="6">
        <v>21.3825</v>
      </c>
      <c r="U1370" s="6">
        <v>42.7</v>
      </c>
      <c r="V1370" s="6">
        <v>2.9024999999999999</v>
      </c>
      <c r="W1370" s="7">
        <v>0.8</v>
      </c>
      <c r="X1370" s="13"/>
      <c r="Y1370" s="6">
        <v>74</v>
      </c>
      <c r="Z1370" s="3">
        <v>1.75457515</v>
      </c>
      <c r="AB1370" s="16"/>
      <c r="AD1370" s="16"/>
      <c r="AE1370" s="1">
        <v>1</v>
      </c>
    </row>
    <row r="1371" spans="1:31" x14ac:dyDescent="0.2">
      <c r="A1371" s="1">
        <v>1370</v>
      </c>
      <c r="B1371" s="1">
        <v>2020</v>
      </c>
      <c r="C1371" s="1" t="s">
        <v>31</v>
      </c>
      <c r="D1371" s="28" t="s">
        <v>914</v>
      </c>
      <c r="E1371" s="1" t="s">
        <v>763</v>
      </c>
      <c r="F1371" s="1" t="s">
        <v>32</v>
      </c>
      <c r="G1371" s="1">
        <v>115</v>
      </c>
      <c r="H1371" s="1" t="s">
        <v>754</v>
      </c>
      <c r="I1371" s="12">
        <v>8.8194273846225002</v>
      </c>
      <c r="J1371" s="12">
        <v>25.193006304000001</v>
      </c>
      <c r="K1371" s="1" t="s">
        <v>34</v>
      </c>
      <c r="L1371" s="16">
        <v>3674.7755125690001</v>
      </c>
      <c r="M1371" s="16" t="s">
        <v>34</v>
      </c>
      <c r="N1371" s="16">
        <v>32427.270291997</v>
      </c>
      <c r="O1371" s="10">
        <v>35.004696299999999</v>
      </c>
      <c r="P1371" s="15">
        <v>9.8125</v>
      </c>
      <c r="Q1371" s="15">
        <v>41.33</v>
      </c>
      <c r="R1371" s="15">
        <v>48.936729622999998</v>
      </c>
      <c r="S1371" s="15"/>
      <c r="T1371" s="15">
        <v>21.355</v>
      </c>
      <c r="U1371" s="15">
        <v>28.3</v>
      </c>
      <c r="V1371" s="15">
        <v>6.2032303999999998</v>
      </c>
      <c r="W1371" s="12">
        <v>0.74493991400000004</v>
      </c>
      <c r="X1371" s="15"/>
      <c r="Y1371" s="15">
        <v>78</v>
      </c>
      <c r="Z1371" s="12"/>
      <c r="AA1371" s="15">
        <v>1.5</v>
      </c>
      <c r="AB1371" s="16">
        <f>AA1371*33.334</f>
        <v>50.001000000000005</v>
      </c>
      <c r="AD1371" s="16"/>
      <c r="AE1371" s="1">
        <v>1</v>
      </c>
    </row>
    <row r="1372" spans="1:31" x14ac:dyDescent="0.2">
      <c r="A1372" s="1">
        <v>1371</v>
      </c>
      <c r="B1372" s="1">
        <v>2017</v>
      </c>
      <c r="C1372" s="1" t="s">
        <v>31</v>
      </c>
      <c r="D1372" s="8" t="s">
        <v>71</v>
      </c>
      <c r="E1372" s="8" t="s">
        <v>423</v>
      </c>
      <c r="F1372" s="1" t="s">
        <v>32</v>
      </c>
      <c r="G1372" s="1">
        <v>116</v>
      </c>
      <c r="I1372" s="12">
        <v>8.1613107100000004</v>
      </c>
      <c r="J1372" s="3">
        <v>23.3180306</v>
      </c>
      <c r="K1372" s="1" t="s">
        <v>34</v>
      </c>
      <c r="L1372" s="5">
        <v>3675</v>
      </c>
      <c r="N1372" s="5">
        <v>29993.0118</v>
      </c>
      <c r="O1372" s="6">
        <v>29.8873164</v>
      </c>
      <c r="P1372" s="6">
        <v>7.85</v>
      </c>
      <c r="Q1372" s="6">
        <v>38.075000000000003</v>
      </c>
      <c r="R1372" s="6">
        <v>59.8</v>
      </c>
      <c r="S1372" s="3"/>
      <c r="T1372" s="6">
        <v>23.465</v>
      </c>
      <c r="U1372" s="6">
        <v>36.797499999999999</v>
      </c>
      <c r="V1372" s="6">
        <v>3.5</v>
      </c>
      <c r="W1372" s="3">
        <v>0.7881283</v>
      </c>
      <c r="X1372" s="6"/>
      <c r="Y1372" s="6">
        <v>72.78</v>
      </c>
      <c r="Z1372" s="3">
        <v>1.86082463</v>
      </c>
      <c r="AB1372" s="16"/>
      <c r="AD1372" s="16"/>
      <c r="AE1372" s="1">
        <v>1</v>
      </c>
    </row>
    <row r="1373" spans="1:31" x14ac:dyDescent="0.2">
      <c r="A1373" s="1">
        <v>1372</v>
      </c>
      <c r="B1373" s="1">
        <v>2012</v>
      </c>
      <c r="C1373" s="1" t="s">
        <v>31</v>
      </c>
      <c r="D1373" s="1" t="s">
        <v>125</v>
      </c>
      <c r="E1373" s="1" t="s">
        <v>272</v>
      </c>
      <c r="F1373" s="1" t="s">
        <v>32</v>
      </c>
      <c r="I1373" s="12">
        <v>8.5299999999999994</v>
      </c>
      <c r="J1373" s="12">
        <v>24.4</v>
      </c>
      <c r="K1373" s="1" t="s">
        <v>34</v>
      </c>
      <c r="L1373" s="16">
        <v>3675</v>
      </c>
      <c r="N1373" s="16">
        <v>31359</v>
      </c>
      <c r="O1373" s="15">
        <v>28.9</v>
      </c>
      <c r="P1373" s="15">
        <v>8.1999999999999993</v>
      </c>
      <c r="Q1373" s="15">
        <v>42.3</v>
      </c>
      <c r="R1373" s="15">
        <v>66</v>
      </c>
      <c r="T1373" s="15"/>
      <c r="U1373" s="15">
        <v>36.9</v>
      </c>
      <c r="V1373" s="15">
        <v>4.8</v>
      </c>
      <c r="W1373" s="12">
        <v>0.74</v>
      </c>
      <c r="X1373" s="15"/>
      <c r="Y1373" s="15"/>
      <c r="Z1373" s="12">
        <v>2.38</v>
      </c>
      <c r="AB1373" s="16"/>
      <c r="AD1373" s="16"/>
      <c r="AE1373" s="1">
        <v>1</v>
      </c>
    </row>
    <row r="1374" spans="1:31" ht="17" x14ac:dyDescent="0.2">
      <c r="A1374" s="1">
        <v>1373</v>
      </c>
      <c r="B1374" s="1">
        <v>2019</v>
      </c>
      <c r="C1374" s="1" t="s">
        <v>31</v>
      </c>
      <c r="D1374" s="9" t="s">
        <v>402</v>
      </c>
      <c r="E1374" s="8" t="s">
        <v>711</v>
      </c>
      <c r="F1374" s="1" t="s">
        <v>83</v>
      </c>
      <c r="G1374" s="1">
        <v>117</v>
      </c>
      <c r="I1374" s="12">
        <v>6.9</v>
      </c>
      <c r="J1374" s="3">
        <v>19.712499999999999</v>
      </c>
      <c r="L1374" s="5">
        <v>3677</v>
      </c>
      <c r="N1374" s="5">
        <v>25388.924999999999</v>
      </c>
      <c r="O1374" s="6">
        <v>34.7575</v>
      </c>
      <c r="P1374" s="6">
        <v>9.2925000000000004</v>
      </c>
      <c r="Q1374" s="6">
        <v>32.192500000000003</v>
      </c>
      <c r="R1374" s="6">
        <v>62.872500000000002</v>
      </c>
      <c r="S1374" s="3"/>
      <c r="T1374" s="6">
        <v>17.670000000000002</v>
      </c>
      <c r="U1374" s="6">
        <v>43.62</v>
      </c>
      <c r="V1374" s="6">
        <v>8.18</v>
      </c>
      <c r="W1374" s="3">
        <v>0.79010000000000002</v>
      </c>
      <c r="X1374" s="6"/>
      <c r="Y1374" s="6">
        <v>75.849999999999994</v>
      </c>
      <c r="Z1374" s="3">
        <v>1.395</v>
      </c>
      <c r="AB1374" s="16"/>
      <c r="AD1374" s="16"/>
      <c r="AE1374" s="1">
        <v>1</v>
      </c>
    </row>
    <row r="1375" spans="1:31" x14ac:dyDescent="0.2">
      <c r="A1375" s="1">
        <v>1374</v>
      </c>
      <c r="B1375" s="1">
        <v>2020</v>
      </c>
      <c r="C1375" s="1" t="s">
        <v>31</v>
      </c>
      <c r="D1375" s="1" t="s">
        <v>108</v>
      </c>
      <c r="E1375" s="1" t="s">
        <v>779</v>
      </c>
      <c r="F1375" s="1" t="s">
        <v>32</v>
      </c>
      <c r="G1375" s="1">
        <v>116</v>
      </c>
      <c r="H1375" s="1" t="s">
        <v>754</v>
      </c>
      <c r="I1375" s="12">
        <v>8.3296415227519987</v>
      </c>
      <c r="J1375" s="12">
        <v>23.793618126999998</v>
      </c>
      <c r="K1375" s="1" t="s">
        <v>34</v>
      </c>
      <c r="L1375" s="16">
        <v>3677.9296980559998</v>
      </c>
      <c r="M1375" s="16" t="s">
        <v>34</v>
      </c>
      <c r="N1375" s="16">
        <v>30673.567919582001</v>
      </c>
      <c r="O1375" s="10">
        <v>29.760708699999999</v>
      </c>
      <c r="P1375" s="15">
        <v>9.9250000000000007</v>
      </c>
      <c r="Q1375" s="15">
        <v>42.612499999999997</v>
      </c>
      <c r="R1375" s="15">
        <v>50.329229623000003</v>
      </c>
      <c r="S1375" s="15"/>
      <c r="T1375" s="15">
        <v>22.74</v>
      </c>
      <c r="U1375" s="15">
        <v>27.355</v>
      </c>
      <c r="V1375" s="15">
        <v>6.3432304000000004</v>
      </c>
      <c r="W1375" s="12">
        <v>0.74731510099999998</v>
      </c>
      <c r="X1375" s="15"/>
      <c r="Y1375" s="15">
        <v>77.840750249999999</v>
      </c>
      <c r="Z1375" s="12"/>
      <c r="AA1375" s="15">
        <v>1.25</v>
      </c>
      <c r="AB1375" s="16">
        <f>AA1375*33.334</f>
        <v>41.667500000000004</v>
      </c>
      <c r="AD1375" s="16"/>
      <c r="AE1375" s="1">
        <v>1</v>
      </c>
    </row>
    <row r="1376" spans="1:31" x14ac:dyDescent="0.2">
      <c r="A1376" s="1">
        <v>1375</v>
      </c>
      <c r="B1376" s="1">
        <v>2015</v>
      </c>
      <c r="C1376" s="8" t="s">
        <v>31</v>
      </c>
      <c r="D1376" s="8" t="s">
        <v>874</v>
      </c>
      <c r="E1376" s="8" t="s">
        <v>477</v>
      </c>
      <c r="F1376" s="1" t="s">
        <v>32</v>
      </c>
      <c r="G1376" s="8">
        <v>119</v>
      </c>
      <c r="I1376" s="12">
        <v>7.59</v>
      </c>
      <c r="J1376" s="7">
        <v>21.685714285714287</v>
      </c>
      <c r="K1376" s="1" t="s">
        <v>34</v>
      </c>
      <c r="L1376" s="14">
        <v>3682</v>
      </c>
      <c r="N1376" s="14">
        <v>27956</v>
      </c>
      <c r="O1376" s="13">
        <v>32.4</v>
      </c>
      <c r="P1376" s="13">
        <v>6.9</v>
      </c>
      <c r="Q1376" s="13">
        <v>36.799999999999997</v>
      </c>
      <c r="R1376" s="13">
        <v>53.3</v>
      </c>
      <c r="S1376" s="8"/>
      <c r="T1376" s="13">
        <v>24.2</v>
      </c>
      <c r="U1376" s="13">
        <v>36.5</v>
      </c>
      <c r="V1376" s="13">
        <v>3.9</v>
      </c>
      <c r="W1376" s="7">
        <v>0.77</v>
      </c>
      <c r="X1376" s="13"/>
      <c r="Y1376" s="13">
        <v>75.900000000000006</v>
      </c>
      <c r="Z1376" s="7">
        <v>1.49</v>
      </c>
      <c r="AA1376" s="1" t="s">
        <v>89</v>
      </c>
      <c r="AB1376" s="16" t="s">
        <v>89</v>
      </c>
      <c r="AC1376" s="1" t="s">
        <v>89</v>
      </c>
      <c r="AD1376" s="16" t="s">
        <v>89</v>
      </c>
      <c r="AE1376" s="1">
        <v>1</v>
      </c>
    </row>
    <row r="1377" spans="1:31" x14ac:dyDescent="0.2">
      <c r="A1377" s="1">
        <v>1376</v>
      </c>
      <c r="B1377" s="1">
        <v>2014</v>
      </c>
      <c r="C1377" s="1" t="s">
        <v>31</v>
      </c>
      <c r="D1377" s="1" t="s">
        <v>108</v>
      </c>
      <c r="E1377" s="1" t="s">
        <v>368</v>
      </c>
      <c r="F1377" s="1" t="s">
        <v>32</v>
      </c>
      <c r="G1377" s="1">
        <v>111</v>
      </c>
      <c r="I1377" s="12">
        <v>8.98</v>
      </c>
      <c r="J1377" s="12">
        <v>25.7</v>
      </c>
      <c r="K1377" s="1" t="s">
        <v>34</v>
      </c>
      <c r="L1377" s="16">
        <v>3684</v>
      </c>
      <c r="M1377" s="1" t="s">
        <v>34</v>
      </c>
      <c r="N1377" s="16">
        <v>33061</v>
      </c>
      <c r="O1377" s="15">
        <v>32.4</v>
      </c>
      <c r="P1377" s="15">
        <v>7.8</v>
      </c>
      <c r="Q1377" s="15">
        <v>37.299999999999997</v>
      </c>
      <c r="R1377" s="15">
        <v>60.7</v>
      </c>
      <c r="T1377" s="15"/>
      <c r="U1377" s="15">
        <v>37.700000000000003</v>
      </c>
      <c r="V1377" s="15">
        <v>3.9</v>
      </c>
      <c r="W1377" s="12">
        <v>0.76</v>
      </c>
      <c r="X1377" s="15"/>
      <c r="Y1377" s="15">
        <v>72.900000000000006</v>
      </c>
      <c r="Z1377" s="12">
        <v>2.04</v>
      </c>
      <c r="AB1377" s="16"/>
      <c r="AD1377" s="16"/>
      <c r="AE1377" s="1">
        <v>1</v>
      </c>
    </row>
    <row r="1378" spans="1:31" x14ac:dyDescent="0.2">
      <c r="A1378" s="1">
        <v>1377</v>
      </c>
      <c r="B1378" s="1">
        <v>2019</v>
      </c>
      <c r="C1378" s="1" t="s">
        <v>31</v>
      </c>
      <c r="D1378" s="1" t="s">
        <v>916</v>
      </c>
      <c r="E1378" s="1" t="s">
        <v>603</v>
      </c>
      <c r="F1378" s="1" t="s">
        <v>32</v>
      </c>
      <c r="G1378" s="8">
        <v>118</v>
      </c>
      <c r="I1378" s="12">
        <v>9.0216083752940595</v>
      </c>
      <c r="J1378" s="7">
        <v>25.8</v>
      </c>
      <c r="K1378" s="1" t="s">
        <v>34</v>
      </c>
      <c r="L1378" s="5">
        <v>3684.7</v>
      </c>
      <c r="N1378" s="5">
        <v>33242.800000000003</v>
      </c>
      <c r="O1378" s="6">
        <v>31.14</v>
      </c>
      <c r="P1378" s="6">
        <v>9.4</v>
      </c>
      <c r="Q1378" s="6">
        <v>40.387500000000003</v>
      </c>
      <c r="R1378" s="6">
        <v>62.5</v>
      </c>
      <c r="S1378" s="3"/>
      <c r="T1378" s="6">
        <v>22.42</v>
      </c>
      <c r="U1378" s="6">
        <v>34.432499999999997</v>
      </c>
      <c r="V1378" s="6">
        <v>8.94</v>
      </c>
      <c r="W1378" s="3">
        <v>0.74467499999999998</v>
      </c>
      <c r="X1378" s="6"/>
      <c r="Y1378" s="6">
        <v>71.767499999999998</v>
      </c>
      <c r="Z1378" s="3">
        <v>2.2999999999999998</v>
      </c>
      <c r="AB1378" s="16"/>
      <c r="AD1378" s="16"/>
      <c r="AE1378" s="1">
        <v>1</v>
      </c>
    </row>
    <row r="1379" spans="1:31" x14ac:dyDescent="0.2">
      <c r="A1379" s="1">
        <v>1378</v>
      </c>
      <c r="B1379" s="1">
        <v>2012</v>
      </c>
      <c r="C1379" s="1" t="s">
        <v>31</v>
      </c>
      <c r="D1379" s="1" t="s">
        <v>37</v>
      </c>
      <c r="E1379" s="1" t="s">
        <v>130</v>
      </c>
      <c r="F1379" s="1" t="s">
        <v>32</v>
      </c>
      <c r="I1379" s="12">
        <v>8.25</v>
      </c>
      <c r="J1379" s="12">
        <v>23.6</v>
      </c>
      <c r="K1379" s="1" t="s">
        <v>34</v>
      </c>
      <c r="L1379" s="16">
        <v>3685</v>
      </c>
      <c r="N1379" s="16">
        <v>30445</v>
      </c>
      <c r="O1379" s="15">
        <v>29.9</v>
      </c>
      <c r="P1379" s="15">
        <v>7.6</v>
      </c>
      <c r="Q1379" s="15">
        <v>41.9</v>
      </c>
      <c r="R1379" s="15">
        <v>64.5</v>
      </c>
      <c r="T1379" s="15"/>
      <c r="U1379" s="15">
        <v>34.4</v>
      </c>
      <c r="V1379" s="15">
        <v>6.5</v>
      </c>
      <c r="W1379" s="12">
        <v>0.75</v>
      </c>
      <c r="X1379" s="15"/>
      <c r="Y1379" s="15"/>
      <c r="Z1379" s="12">
        <v>2.23</v>
      </c>
      <c r="AB1379" s="16"/>
      <c r="AD1379" s="16"/>
      <c r="AE1379" s="1">
        <v>1</v>
      </c>
    </row>
    <row r="1380" spans="1:31" x14ac:dyDescent="0.2">
      <c r="A1380" s="1">
        <v>1379</v>
      </c>
      <c r="B1380" s="1">
        <v>2017</v>
      </c>
      <c r="C1380" s="1" t="s">
        <v>31</v>
      </c>
      <c r="D1380" s="8" t="s">
        <v>37</v>
      </c>
      <c r="E1380" s="8" t="s">
        <v>620</v>
      </c>
      <c r="F1380" s="1" t="s">
        <v>32</v>
      </c>
      <c r="G1380" s="8">
        <v>116</v>
      </c>
      <c r="I1380" s="12">
        <v>8.4439345200000009</v>
      </c>
      <c r="J1380" s="3">
        <v>24.125527200000001</v>
      </c>
      <c r="K1380" s="1" t="s">
        <v>34</v>
      </c>
      <c r="L1380" s="5">
        <v>3685</v>
      </c>
      <c r="N1380" s="5">
        <v>31089.7526</v>
      </c>
      <c r="O1380" s="6">
        <v>32.854979</v>
      </c>
      <c r="P1380" s="6">
        <v>6.8449999999999998</v>
      </c>
      <c r="Q1380" s="6">
        <v>35.950000000000003</v>
      </c>
      <c r="R1380" s="6">
        <v>54.362499999999997</v>
      </c>
      <c r="S1380" s="3"/>
      <c r="T1380" s="6">
        <v>21.932500000000001</v>
      </c>
      <c r="U1380" s="6">
        <v>41.2</v>
      </c>
      <c r="V1380" s="6">
        <v>2.4275000000000002</v>
      </c>
      <c r="W1380" s="3">
        <v>0.81</v>
      </c>
      <c r="X1380" s="6"/>
      <c r="Y1380" s="6">
        <v>74.400000000000006</v>
      </c>
      <c r="Z1380" s="3">
        <v>1.6495511700000001</v>
      </c>
      <c r="AB1380" s="16"/>
      <c r="AD1380" s="16"/>
      <c r="AE1380" s="1">
        <v>1</v>
      </c>
    </row>
    <row r="1381" spans="1:31" x14ac:dyDescent="0.2">
      <c r="A1381" s="1">
        <v>1380</v>
      </c>
      <c r="B1381" s="1">
        <v>2011</v>
      </c>
      <c r="C1381" s="1" t="s">
        <v>31</v>
      </c>
      <c r="D1381" s="1" t="s">
        <v>108</v>
      </c>
      <c r="E1381" s="1" t="s">
        <v>232</v>
      </c>
      <c r="F1381" s="1" t="s">
        <v>83</v>
      </c>
      <c r="I1381" s="12">
        <v>5.53</v>
      </c>
      <c r="J1381" s="12">
        <v>15.8</v>
      </c>
      <c r="K1381" s="1" t="s">
        <v>34</v>
      </c>
      <c r="L1381" s="16">
        <v>3686</v>
      </c>
      <c r="N1381" s="16">
        <v>20358</v>
      </c>
      <c r="O1381" s="15">
        <v>29.1</v>
      </c>
      <c r="P1381" s="15">
        <v>7.2</v>
      </c>
      <c r="Q1381" s="15">
        <v>40.9</v>
      </c>
      <c r="R1381" s="15">
        <v>65</v>
      </c>
      <c r="T1381" s="15"/>
      <c r="U1381" s="15">
        <v>36.9</v>
      </c>
      <c r="V1381" s="15">
        <v>5.2</v>
      </c>
      <c r="W1381" s="12"/>
      <c r="X1381" s="15"/>
      <c r="Y1381" s="15">
        <v>71.7</v>
      </c>
      <c r="Z1381" s="12">
        <v>1.48</v>
      </c>
      <c r="AB1381" s="16"/>
      <c r="AD1381" s="16"/>
      <c r="AE1381" s="1">
        <v>1</v>
      </c>
    </row>
    <row r="1382" spans="1:31" x14ac:dyDescent="0.2">
      <c r="A1382" s="1">
        <v>1381</v>
      </c>
      <c r="B1382" s="1">
        <v>2012</v>
      </c>
      <c r="C1382" s="1" t="s">
        <v>31</v>
      </c>
      <c r="D1382" s="1" t="s">
        <v>54</v>
      </c>
      <c r="E1382" s="1" t="s">
        <v>288</v>
      </c>
      <c r="F1382" s="1" t="s">
        <v>32</v>
      </c>
      <c r="I1382" s="12">
        <v>8.32</v>
      </c>
      <c r="J1382" s="12">
        <v>23.8</v>
      </c>
      <c r="K1382" s="1" t="s">
        <v>34</v>
      </c>
      <c r="L1382" s="16">
        <v>3687</v>
      </c>
      <c r="N1382" s="16">
        <v>30710</v>
      </c>
      <c r="O1382" s="15">
        <v>31.6</v>
      </c>
      <c r="P1382" s="15">
        <v>8.4</v>
      </c>
      <c r="Q1382" s="15">
        <v>40.200000000000003</v>
      </c>
      <c r="R1382" s="15">
        <v>63.6</v>
      </c>
      <c r="T1382" s="15"/>
      <c r="U1382" s="15">
        <v>38</v>
      </c>
      <c r="V1382" s="15">
        <v>4.7</v>
      </c>
      <c r="W1382" s="12">
        <v>0.75</v>
      </c>
      <c r="X1382" s="15"/>
      <c r="Y1382" s="15"/>
      <c r="Z1382" s="12">
        <v>2.13</v>
      </c>
      <c r="AB1382" s="16"/>
      <c r="AD1382" s="16"/>
      <c r="AE1382" s="1">
        <v>1</v>
      </c>
    </row>
    <row r="1383" spans="1:31" x14ac:dyDescent="0.2">
      <c r="A1383" s="1">
        <v>1382</v>
      </c>
      <c r="B1383" s="1">
        <v>2011</v>
      </c>
      <c r="C1383" s="1" t="s">
        <v>31</v>
      </c>
      <c r="D1383" s="1" t="s">
        <v>108</v>
      </c>
      <c r="E1383" s="1" t="s">
        <v>230</v>
      </c>
      <c r="F1383" s="1" t="s">
        <v>83</v>
      </c>
      <c r="I1383" s="12">
        <v>6.19</v>
      </c>
      <c r="J1383" s="12">
        <v>17.7</v>
      </c>
      <c r="K1383" s="1" t="s">
        <v>34</v>
      </c>
      <c r="L1383" s="16">
        <v>3688</v>
      </c>
      <c r="N1383" s="16">
        <v>22819</v>
      </c>
      <c r="O1383" s="15">
        <v>28.4</v>
      </c>
      <c r="P1383" s="15">
        <v>6.4</v>
      </c>
      <c r="Q1383" s="15">
        <v>42.3</v>
      </c>
      <c r="R1383" s="15">
        <v>64.099999999999994</v>
      </c>
      <c r="T1383" s="15"/>
      <c r="U1383" s="15">
        <v>35.200000000000003</v>
      </c>
      <c r="V1383" s="15">
        <v>6.2</v>
      </c>
      <c r="W1383" s="12"/>
      <c r="X1383" s="15"/>
      <c r="Y1383" s="15">
        <v>72</v>
      </c>
      <c r="Z1383" s="12">
        <v>1.68</v>
      </c>
      <c r="AB1383" s="16"/>
      <c r="AD1383" s="16"/>
      <c r="AE1383" s="1">
        <v>1</v>
      </c>
    </row>
    <row r="1384" spans="1:31" ht="17" x14ac:dyDescent="0.2">
      <c r="A1384" s="1">
        <v>1383</v>
      </c>
      <c r="B1384" s="1">
        <v>2019</v>
      </c>
      <c r="C1384" s="1" t="s">
        <v>31</v>
      </c>
      <c r="D1384" s="1" t="s">
        <v>916</v>
      </c>
      <c r="E1384" s="9" t="s">
        <v>603</v>
      </c>
      <c r="F1384" s="1" t="s">
        <v>83</v>
      </c>
      <c r="G1384" s="9">
        <v>118</v>
      </c>
      <c r="H1384" s="1" t="s">
        <v>34</v>
      </c>
      <c r="I1384" s="12">
        <v>6.98</v>
      </c>
      <c r="J1384" s="3">
        <v>19.93</v>
      </c>
      <c r="L1384" s="5">
        <v>3688.75</v>
      </c>
      <c r="N1384" s="5">
        <v>25701.200000000001</v>
      </c>
      <c r="O1384" s="6">
        <v>36.997500000000002</v>
      </c>
      <c r="P1384" s="6">
        <v>9.1524999999999999</v>
      </c>
      <c r="Q1384" s="6">
        <v>35.92</v>
      </c>
      <c r="R1384" s="6">
        <v>62.54</v>
      </c>
      <c r="S1384" s="3"/>
      <c r="T1384" s="6">
        <v>19.4925</v>
      </c>
      <c r="U1384" s="6">
        <v>39.1</v>
      </c>
      <c r="V1384" s="6">
        <v>8.3949999999999996</v>
      </c>
      <c r="W1384" s="3">
        <v>0.78459999999999996</v>
      </c>
      <c r="X1384" s="6"/>
      <c r="Y1384" s="6">
        <v>75.36</v>
      </c>
      <c r="Z1384" s="3">
        <v>1.56</v>
      </c>
      <c r="AB1384" s="16"/>
      <c r="AD1384" s="16"/>
      <c r="AE1384" s="1">
        <v>1</v>
      </c>
    </row>
    <row r="1385" spans="1:31" x14ac:dyDescent="0.2">
      <c r="A1385" s="1">
        <v>1384</v>
      </c>
      <c r="B1385" s="1">
        <v>2008</v>
      </c>
      <c r="C1385" s="1" t="s">
        <v>31</v>
      </c>
      <c r="D1385" s="1" t="s">
        <v>916</v>
      </c>
      <c r="E1385" s="8" t="s">
        <v>52</v>
      </c>
      <c r="F1385" s="8" t="s">
        <v>32</v>
      </c>
      <c r="G1385" s="8"/>
      <c r="H1385" s="8"/>
      <c r="I1385" s="12">
        <v>8.7100000000000009</v>
      </c>
      <c r="J1385" s="7">
        <v>24.88571428571429</v>
      </c>
      <c r="K1385" s="13" t="s">
        <v>34</v>
      </c>
      <c r="L1385" s="14">
        <v>3690</v>
      </c>
      <c r="M1385" s="14"/>
      <c r="N1385" s="14">
        <v>32148</v>
      </c>
      <c r="O1385" s="13">
        <v>32</v>
      </c>
      <c r="P1385" s="13">
        <v>8.6</v>
      </c>
      <c r="Q1385" s="13">
        <v>39.9</v>
      </c>
      <c r="R1385" s="13">
        <v>70.900000000000006</v>
      </c>
      <c r="S1385" s="13"/>
      <c r="T1385" s="13"/>
      <c r="U1385" s="13">
        <v>32.200000000000003</v>
      </c>
      <c r="V1385" s="13"/>
      <c r="W1385" s="13"/>
      <c r="X1385" s="15"/>
      <c r="Y1385" s="13">
        <v>77.400000000000006</v>
      </c>
      <c r="Z1385" s="7">
        <v>2.4700000000000002</v>
      </c>
      <c r="AB1385" s="16"/>
      <c r="AD1385" s="16"/>
      <c r="AE1385" s="1">
        <v>1</v>
      </c>
    </row>
    <row r="1386" spans="1:31" x14ac:dyDescent="0.2">
      <c r="A1386" s="1">
        <v>1385</v>
      </c>
      <c r="B1386" s="1">
        <v>2010</v>
      </c>
      <c r="C1386" s="1" t="s">
        <v>31</v>
      </c>
      <c r="D1386" s="8" t="s">
        <v>125</v>
      </c>
      <c r="E1386" s="8" t="s">
        <v>173</v>
      </c>
      <c r="F1386" s="1" t="s">
        <v>32</v>
      </c>
      <c r="I1386" s="12">
        <v>8.8699999999999992</v>
      </c>
      <c r="J1386" s="7">
        <v>25.342857142857099</v>
      </c>
      <c r="K1386" s="1" t="s">
        <v>34</v>
      </c>
      <c r="L1386" s="14">
        <v>3690</v>
      </c>
      <c r="N1386" s="14">
        <v>32674</v>
      </c>
      <c r="O1386" s="13">
        <v>28.8</v>
      </c>
      <c r="P1386" s="13">
        <v>10.199999999999999</v>
      </c>
      <c r="Q1386" s="13">
        <v>38.299999999999997</v>
      </c>
      <c r="R1386" s="13">
        <v>59.2</v>
      </c>
      <c r="S1386" s="13"/>
      <c r="T1386" s="15"/>
      <c r="U1386" s="13">
        <v>39.4</v>
      </c>
      <c r="V1386" s="13">
        <v>6.1</v>
      </c>
      <c r="W1386" s="12"/>
      <c r="X1386" s="15"/>
      <c r="Y1386" s="13">
        <v>74</v>
      </c>
      <c r="Z1386" s="7">
        <v>2.0099999999999998</v>
      </c>
      <c r="AB1386" s="16"/>
      <c r="AD1386" s="16"/>
      <c r="AE1386" s="1">
        <v>1</v>
      </c>
    </row>
    <row r="1387" spans="1:31" x14ac:dyDescent="0.2">
      <c r="A1387" s="1">
        <v>1386</v>
      </c>
      <c r="B1387" s="1">
        <v>2010</v>
      </c>
      <c r="C1387" s="1" t="s">
        <v>31</v>
      </c>
      <c r="D1387" s="8" t="s">
        <v>874</v>
      </c>
      <c r="E1387" s="8" t="s">
        <v>116</v>
      </c>
      <c r="F1387" s="1" t="s">
        <v>32</v>
      </c>
      <c r="I1387" s="12">
        <v>10.37</v>
      </c>
      <c r="J1387" s="7">
        <v>29.628571428571401</v>
      </c>
      <c r="K1387" s="1" t="s">
        <v>34</v>
      </c>
      <c r="L1387" s="14">
        <v>3690</v>
      </c>
      <c r="M1387" s="1" t="s">
        <v>34</v>
      </c>
      <c r="N1387" s="14">
        <v>38296</v>
      </c>
      <c r="O1387" s="13">
        <v>32</v>
      </c>
      <c r="P1387" s="13">
        <v>9.1999999999999993</v>
      </c>
      <c r="Q1387" s="13">
        <v>38.6</v>
      </c>
      <c r="R1387" s="13">
        <v>59.9</v>
      </c>
      <c r="S1387" s="13"/>
      <c r="T1387" s="15"/>
      <c r="U1387" s="13">
        <v>41</v>
      </c>
      <c r="V1387" s="13">
        <v>5</v>
      </c>
      <c r="W1387" s="12"/>
      <c r="X1387" s="15"/>
      <c r="Y1387" s="13">
        <v>74</v>
      </c>
      <c r="Z1387" s="7">
        <v>2.39</v>
      </c>
      <c r="AB1387" s="16"/>
      <c r="AD1387" s="16"/>
      <c r="AE1387" s="1">
        <v>1</v>
      </c>
    </row>
    <row r="1388" spans="1:31" x14ac:dyDescent="0.2">
      <c r="A1388" s="1">
        <v>1387</v>
      </c>
      <c r="B1388" s="1">
        <v>2012</v>
      </c>
      <c r="C1388" s="1" t="s">
        <v>31</v>
      </c>
      <c r="D1388" s="1" t="s">
        <v>125</v>
      </c>
      <c r="E1388" s="1" t="s">
        <v>267</v>
      </c>
      <c r="F1388" s="1" t="s">
        <v>32</v>
      </c>
      <c r="I1388" s="12">
        <v>8.77</v>
      </c>
      <c r="J1388" s="12">
        <v>25.1</v>
      </c>
      <c r="K1388" s="1" t="s">
        <v>34</v>
      </c>
      <c r="L1388" s="16">
        <v>3691</v>
      </c>
      <c r="N1388" s="16">
        <v>32362</v>
      </c>
      <c r="O1388" s="15">
        <v>30</v>
      </c>
      <c r="P1388" s="15">
        <v>8</v>
      </c>
      <c r="Q1388" s="15">
        <v>41.1</v>
      </c>
      <c r="R1388" s="15">
        <v>65.400000000000006</v>
      </c>
      <c r="T1388" s="15"/>
      <c r="U1388" s="15">
        <v>37.799999999999997</v>
      </c>
      <c r="V1388" s="15">
        <v>5.2</v>
      </c>
      <c r="W1388" s="12">
        <v>0.75</v>
      </c>
      <c r="X1388" s="15"/>
      <c r="Y1388" s="15"/>
      <c r="Z1388" s="12">
        <v>2.37</v>
      </c>
      <c r="AB1388" s="16"/>
      <c r="AD1388" s="16"/>
      <c r="AE1388" s="1">
        <v>1</v>
      </c>
    </row>
    <row r="1389" spans="1:31" x14ac:dyDescent="0.2">
      <c r="A1389" s="1">
        <v>1388</v>
      </c>
      <c r="B1389" s="1">
        <v>2011</v>
      </c>
      <c r="C1389" s="1" t="s">
        <v>31</v>
      </c>
      <c r="D1389" s="1" t="s">
        <v>916</v>
      </c>
      <c r="E1389" s="1">
        <v>1777</v>
      </c>
      <c r="F1389" s="1" t="s">
        <v>32</v>
      </c>
      <c r="I1389" s="12">
        <v>8.49</v>
      </c>
      <c r="J1389" s="12">
        <v>29.5</v>
      </c>
      <c r="L1389" s="16">
        <v>3693</v>
      </c>
      <c r="N1389" s="16">
        <v>31348</v>
      </c>
      <c r="O1389" s="15">
        <v>26.8</v>
      </c>
      <c r="P1389" s="15">
        <v>8.3000000000000007</v>
      </c>
      <c r="Q1389" s="15">
        <v>42.5</v>
      </c>
      <c r="R1389" s="15">
        <v>64.3</v>
      </c>
      <c r="T1389" s="15"/>
      <c r="U1389" s="15">
        <v>36.700000000000003</v>
      </c>
      <c r="V1389" s="15">
        <v>5</v>
      </c>
      <c r="W1389" s="12"/>
      <c r="X1389" s="15"/>
      <c r="Y1389" s="15">
        <v>71.8</v>
      </c>
      <c r="Z1389" s="12">
        <v>2.33</v>
      </c>
      <c r="AB1389" s="16"/>
      <c r="AD1389" s="16"/>
      <c r="AE1389" s="1">
        <v>1</v>
      </c>
    </row>
    <row r="1390" spans="1:31" x14ac:dyDescent="0.2">
      <c r="A1390" s="1">
        <v>1389</v>
      </c>
      <c r="B1390" s="1">
        <v>2011</v>
      </c>
      <c r="C1390" s="1" t="s">
        <v>31</v>
      </c>
      <c r="D1390" s="28" t="s">
        <v>914</v>
      </c>
      <c r="E1390" s="1" t="s">
        <v>156</v>
      </c>
      <c r="F1390" s="1" t="s">
        <v>32</v>
      </c>
      <c r="I1390" s="12">
        <v>8.85</v>
      </c>
      <c r="J1390" s="12">
        <v>30.9</v>
      </c>
      <c r="L1390" s="16">
        <v>3693</v>
      </c>
      <c r="N1390" s="16">
        <v>32699</v>
      </c>
      <c r="O1390" s="15">
        <v>28.1</v>
      </c>
      <c r="P1390" s="15">
        <v>8.5</v>
      </c>
      <c r="Q1390" s="15">
        <v>41.7</v>
      </c>
      <c r="R1390" s="15">
        <v>64.5</v>
      </c>
      <c r="T1390" s="15"/>
      <c r="U1390" s="15">
        <v>36.9</v>
      </c>
      <c r="V1390" s="15">
        <v>5.0999999999999996</v>
      </c>
      <c r="W1390" s="12"/>
      <c r="X1390" s="15"/>
      <c r="Y1390" s="15">
        <v>71.900000000000006</v>
      </c>
      <c r="Z1390" s="12">
        <v>2.37</v>
      </c>
      <c r="AB1390" s="16"/>
      <c r="AD1390" s="16"/>
      <c r="AE1390" s="1">
        <v>1</v>
      </c>
    </row>
    <row r="1391" spans="1:31" x14ac:dyDescent="0.2">
      <c r="A1391" s="1">
        <v>1390</v>
      </c>
      <c r="B1391" s="1">
        <v>2015</v>
      </c>
      <c r="C1391" s="8" t="s">
        <v>31</v>
      </c>
      <c r="D1391" s="8" t="s">
        <v>402</v>
      </c>
      <c r="E1391" s="8" t="s">
        <v>476</v>
      </c>
      <c r="F1391" s="1" t="s">
        <v>83</v>
      </c>
      <c r="H1391" s="1" t="s">
        <v>34</v>
      </c>
      <c r="I1391" s="12">
        <v>7.52</v>
      </c>
      <c r="J1391" s="7">
        <v>21.5</v>
      </c>
      <c r="L1391" s="14">
        <v>3695</v>
      </c>
      <c r="M1391" s="1" t="s">
        <v>34</v>
      </c>
      <c r="N1391" s="14">
        <v>27908</v>
      </c>
      <c r="O1391" s="13">
        <v>34</v>
      </c>
      <c r="P1391" s="13">
        <v>7.4</v>
      </c>
      <c r="Q1391" s="13">
        <v>32.6</v>
      </c>
      <c r="R1391" s="13">
        <v>51.1</v>
      </c>
      <c r="S1391" s="8"/>
      <c r="T1391" s="13">
        <v>20.100000000000001</v>
      </c>
      <c r="U1391" s="13">
        <v>42.7</v>
      </c>
      <c r="V1391" s="13">
        <v>3.6</v>
      </c>
      <c r="W1391" s="7">
        <v>0.79</v>
      </c>
      <c r="X1391" s="13"/>
      <c r="Y1391" s="13">
        <v>75.599999999999994</v>
      </c>
      <c r="Z1391" s="7">
        <v>1.23</v>
      </c>
      <c r="AA1391" s="18">
        <v>1.6666666666666701</v>
      </c>
      <c r="AB1391" s="16">
        <f>AA1391*10</f>
        <v>16.6666666666667</v>
      </c>
      <c r="AC1391" s="15" t="s">
        <v>89</v>
      </c>
      <c r="AD1391" s="16"/>
      <c r="AE1391" s="1">
        <v>1</v>
      </c>
    </row>
    <row r="1392" spans="1:31" x14ac:dyDescent="0.2">
      <c r="A1392" s="1">
        <v>1391</v>
      </c>
      <c r="B1392" s="1">
        <v>2008</v>
      </c>
      <c r="C1392" s="1" t="s">
        <v>31</v>
      </c>
      <c r="D1392" s="8" t="s">
        <v>71</v>
      </c>
      <c r="E1392" s="8" t="s">
        <v>75</v>
      </c>
      <c r="F1392" s="8" t="s">
        <v>32</v>
      </c>
      <c r="G1392" s="8"/>
      <c r="H1392" s="8"/>
      <c r="I1392" s="12">
        <v>9.5500000000000007</v>
      </c>
      <c r="J1392" s="7">
        <v>27.285714285714288</v>
      </c>
      <c r="K1392" s="13" t="s">
        <v>34</v>
      </c>
      <c r="L1392" s="14">
        <v>3696</v>
      </c>
      <c r="M1392" s="14"/>
      <c r="N1392" s="14">
        <v>35321</v>
      </c>
      <c r="O1392" s="13">
        <v>31.9</v>
      </c>
      <c r="P1392" s="13">
        <v>8.6999999999999993</v>
      </c>
      <c r="Q1392" s="13">
        <v>36.6</v>
      </c>
      <c r="R1392" s="13">
        <v>67.3</v>
      </c>
      <c r="S1392" s="13"/>
      <c r="T1392" s="13"/>
      <c r="U1392" s="13">
        <v>37.9</v>
      </c>
      <c r="V1392" s="13"/>
      <c r="W1392" s="13"/>
      <c r="X1392" s="15"/>
      <c r="Y1392" s="13">
        <v>77</v>
      </c>
      <c r="Z1392" s="7">
        <v>2.35</v>
      </c>
      <c r="AB1392" s="16"/>
      <c r="AD1392" s="16"/>
      <c r="AE1392" s="1">
        <v>1</v>
      </c>
    </row>
    <row r="1393" spans="1:31" x14ac:dyDescent="0.2">
      <c r="A1393" s="1">
        <v>1392</v>
      </c>
      <c r="B1393" s="1">
        <v>2011</v>
      </c>
      <c r="C1393" s="1" t="s">
        <v>31</v>
      </c>
      <c r="D1393" s="1" t="s">
        <v>125</v>
      </c>
      <c r="E1393" s="1" t="s">
        <v>217</v>
      </c>
      <c r="F1393" s="1" t="s">
        <v>32</v>
      </c>
      <c r="I1393" s="12">
        <v>8.83</v>
      </c>
      <c r="J1393" s="12">
        <v>31.1</v>
      </c>
      <c r="L1393" s="16">
        <v>3697</v>
      </c>
      <c r="N1393" s="16">
        <v>32659</v>
      </c>
      <c r="O1393" s="15">
        <v>28.1</v>
      </c>
      <c r="P1393" s="15">
        <v>8.1</v>
      </c>
      <c r="Q1393" s="15">
        <v>40.5</v>
      </c>
      <c r="R1393" s="15">
        <v>65.5</v>
      </c>
      <c r="T1393" s="15"/>
      <c r="U1393" s="15">
        <v>40</v>
      </c>
      <c r="V1393" s="15">
        <v>4.2</v>
      </c>
      <c r="W1393" s="12"/>
      <c r="X1393" s="15"/>
      <c r="Y1393" s="15">
        <v>71.8</v>
      </c>
      <c r="Z1393" s="12">
        <v>2.34</v>
      </c>
      <c r="AB1393" s="16"/>
      <c r="AD1393" s="16"/>
      <c r="AE1393" s="1">
        <v>1</v>
      </c>
    </row>
    <row r="1394" spans="1:31" x14ac:dyDescent="0.2">
      <c r="A1394" s="1">
        <v>1393</v>
      </c>
      <c r="B1394" s="1">
        <v>2011</v>
      </c>
      <c r="C1394" s="1" t="s">
        <v>31</v>
      </c>
      <c r="D1394" s="1" t="s">
        <v>125</v>
      </c>
      <c r="E1394" s="1" t="s">
        <v>219</v>
      </c>
      <c r="F1394" s="1" t="s">
        <v>32</v>
      </c>
      <c r="H1394" s="1" t="s">
        <v>34</v>
      </c>
      <c r="I1394" s="12">
        <v>9.98</v>
      </c>
      <c r="J1394" s="12">
        <v>31.9</v>
      </c>
      <c r="L1394" s="16">
        <v>3697</v>
      </c>
      <c r="M1394" s="1" t="s">
        <v>34</v>
      </c>
      <c r="N1394" s="16">
        <v>36857</v>
      </c>
      <c r="O1394" s="15">
        <v>29</v>
      </c>
      <c r="P1394" s="15">
        <v>8.8000000000000007</v>
      </c>
      <c r="Q1394" s="15">
        <v>40</v>
      </c>
      <c r="R1394" s="15">
        <v>63.4</v>
      </c>
      <c r="T1394" s="15"/>
      <c r="U1394" s="15">
        <v>38.9</v>
      </c>
      <c r="V1394" s="15">
        <v>4.8</v>
      </c>
      <c r="W1394" s="12"/>
      <c r="X1394" s="15"/>
      <c r="Y1394" s="15">
        <v>72.8</v>
      </c>
      <c r="Z1394" s="12">
        <v>2.52</v>
      </c>
      <c r="AB1394" s="16"/>
      <c r="AD1394" s="16"/>
      <c r="AE1394" s="1">
        <v>1</v>
      </c>
    </row>
    <row r="1395" spans="1:31" x14ac:dyDescent="0.2">
      <c r="A1395" s="1">
        <v>1394</v>
      </c>
      <c r="B1395" s="1">
        <v>2011</v>
      </c>
      <c r="C1395" s="1" t="s">
        <v>31</v>
      </c>
      <c r="D1395" s="1" t="s">
        <v>916</v>
      </c>
      <c r="E1395" s="1" t="s">
        <v>66</v>
      </c>
      <c r="F1395" s="1" t="s">
        <v>32</v>
      </c>
      <c r="I1395" s="12">
        <v>8.81</v>
      </c>
      <c r="J1395" s="12">
        <v>30.7</v>
      </c>
      <c r="L1395" s="16">
        <v>3698</v>
      </c>
      <c r="N1395" s="16">
        <v>32692</v>
      </c>
      <c r="O1395" s="15">
        <v>27.7</v>
      </c>
      <c r="P1395" s="15">
        <v>7.5</v>
      </c>
      <c r="Q1395" s="15">
        <v>45.4</v>
      </c>
      <c r="R1395" s="15">
        <v>65.5</v>
      </c>
      <c r="T1395" s="15"/>
      <c r="U1395" s="15">
        <v>35.6</v>
      </c>
      <c r="V1395" s="15">
        <v>3.8</v>
      </c>
      <c r="W1395" s="12"/>
      <c r="X1395" s="15"/>
      <c r="Y1395" s="15">
        <v>72.3</v>
      </c>
      <c r="Z1395" s="12">
        <v>2.6</v>
      </c>
      <c r="AB1395" s="16"/>
      <c r="AD1395" s="16"/>
      <c r="AE1395" s="1">
        <v>1</v>
      </c>
    </row>
    <row r="1396" spans="1:31" x14ac:dyDescent="0.2">
      <c r="A1396" s="1">
        <v>1395</v>
      </c>
      <c r="B1396" s="1">
        <v>2011</v>
      </c>
      <c r="C1396" s="1" t="s">
        <v>31</v>
      </c>
      <c r="D1396" s="8" t="s">
        <v>874</v>
      </c>
      <c r="E1396" s="1" t="s">
        <v>202</v>
      </c>
      <c r="F1396" s="1" t="s">
        <v>32</v>
      </c>
      <c r="I1396" s="12">
        <v>8.93</v>
      </c>
      <c r="J1396" s="12">
        <v>32.5</v>
      </c>
      <c r="L1396" s="16">
        <v>3699</v>
      </c>
      <c r="N1396" s="16">
        <v>33050</v>
      </c>
      <c r="O1396" s="15">
        <v>29.2</v>
      </c>
      <c r="P1396" s="15">
        <v>7.2</v>
      </c>
      <c r="Q1396" s="15">
        <v>43.3</v>
      </c>
      <c r="R1396" s="15">
        <v>65.099999999999994</v>
      </c>
      <c r="T1396" s="15"/>
      <c r="U1396" s="15">
        <v>39</v>
      </c>
      <c r="V1396" s="15">
        <v>3.5</v>
      </c>
      <c r="W1396" s="12"/>
      <c r="X1396" s="15"/>
      <c r="Y1396" s="15">
        <v>72.099999999999994</v>
      </c>
      <c r="Z1396" s="12">
        <v>2.52</v>
      </c>
      <c r="AB1396" s="16"/>
      <c r="AD1396" s="16"/>
      <c r="AE1396" s="1">
        <v>1</v>
      </c>
    </row>
    <row r="1397" spans="1:31" x14ac:dyDescent="0.2">
      <c r="A1397" s="1">
        <v>1396</v>
      </c>
      <c r="B1397" s="1">
        <v>2012</v>
      </c>
      <c r="C1397" s="1" t="s">
        <v>31</v>
      </c>
      <c r="D1397" s="1" t="s">
        <v>37</v>
      </c>
      <c r="E1397" s="1" t="s">
        <v>220</v>
      </c>
      <c r="F1397" s="1" t="s">
        <v>32</v>
      </c>
      <c r="I1397" s="12">
        <v>9.3000000000000007</v>
      </c>
      <c r="J1397" s="12">
        <v>26.6</v>
      </c>
      <c r="K1397" s="1" t="s">
        <v>34</v>
      </c>
      <c r="L1397" s="16">
        <v>3699</v>
      </c>
      <c r="N1397" s="16">
        <v>34428</v>
      </c>
      <c r="O1397" s="15">
        <v>32</v>
      </c>
      <c r="P1397" s="15">
        <v>7.7</v>
      </c>
      <c r="Q1397" s="15">
        <v>41.1</v>
      </c>
      <c r="R1397" s="15">
        <v>65</v>
      </c>
      <c r="T1397" s="15"/>
      <c r="U1397" s="15">
        <v>37.6</v>
      </c>
      <c r="V1397" s="15">
        <v>5</v>
      </c>
      <c r="W1397" s="12">
        <v>0.75</v>
      </c>
      <c r="X1397" s="15"/>
      <c r="Y1397" s="15"/>
      <c r="Z1397" s="12">
        <v>2.48</v>
      </c>
      <c r="AB1397" s="16"/>
      <c r="AD1397" s="16"/>
      <c r="AE1397" s="1">
        <v>1</v>
      </c>
    </row>
    <row r="1398" spans="1:31" x14ac:dyDescent="0.2">
      <c r="A1398" s="1">
        <v>1397</v>
      </c>
      <c r="B1398" s="1">
        <v>2011</v>
      </c>
      <c r="C1398" s="1" t="s">
        <v>31</v>
      </c>
      <c r="D1398" s="1" t="s">
        <v>37</v>
      </c>
      <c r="E1398" s="1" t="s">
        <v>130</v>
      </c>
      <c r="F1398" s="1" t="s">
        <v>32</v>
      </c>
      <c r="H1398" s="1" t="s">
        <v>34</v>
      </c>
      <c r="I1398" s="12">
        <v>9.4700000000000006</v>
      </c>
      <c r="J1398" s="12">
        <v>27.1</v>
      </c>
      <c r="L1398" s="16">
        <v>3699</v>
      </c>
      <c r="N1398" s="16">
        <v>35007</v>
      </c>
      <c r="O1398" s="15">
        <v>30.1</v>
      </c>
      <c r="P1398" s="15">
        <v>8.3000000000000007</v>
      </c>
      <c r="Q1398" s="15">
        <v>42.1</v>
      </c>
      <c r="R1398" s="15">
        <v>64.7</v>
      </c>
      <c r="T1398" s="15"/>
      <c r="U1398" s="15">
        <v>37.200000000000003</v>
      </c>
      <c r="V1398" s="15">
        <v>4.3</v>
      </c>
      <c r="W1398" s="12"/>
      <c r="X1398" s="15"/>
      <c r="Y1398" s="15">
        <v>72.2</v>
      </c>
      <c r="Z1398" s="12">
        <v>2.58</v>
      </c>
      <c r="AB1398" s="16"/>
      <c r="AD1398" s="16"/>
      <c r="AE1398" s="1">
        <v>1</v>
      </c>
    </row>
    <row r="1399" spans="1:31" x14ac:dyDescent="0.2">
      <c r="A1399" s="1">
        <v>1398</v>
      </c>
      <c r="B1399" s="1">
        <v>2011</v>
      </c>
      <c r="C1399" s="1" t="s">
        <v>31</v>
      </c>
      <c r="D1399" s="1" t="s">
        <v>37</v>
      </c>
      <c r="E1399" s="1" t="s">
        <v>221</v>
      </c>
      <c r="F1399" s="1" t="s">
        <v>32</v>
      </c>
      <c r="H1399" s="1" t="s">
        <v>34</v>
      </c>
      <c r="I1399" s="12">
        <v>9.6300000000000008</v>
      </c>
      <c r="J1399" s="12">
        <v>27.5</v>
      </c>
      <c r="L1399" s="16">
        <v>3699</v>
      </c>
      <c r="N1399" s="16">
        <v>35632</v>
      </c>
      <c r="O1399" s="15">
        <v>29.4</v>
      </c>
      <c r="P1399" s="15">
        <v>7.9</v>
      </c>
      <c r="Q1399" s="15">
        <v>40.9</v>
      </c>
      <c r="R1399" s="15">
        <v>64.099999999999994</v>
      </c>
      <c r="T1399" s="15"/>
      <c r="U1399" s="15">
        <v>37.799999999999997</v>
      </c>
      <c r="V1399" s="15">
        <v>4.8</v>
      </c>
      <c r="W1399" s="12"/>
      <c r="X1399" s="15"/>
      <c r="Y1399" s="15">
        <v>72.400000000000006</v>
      </c>
      <c r="Z1399" s="12">
        <v>2.52</v>
      </c>
      <c r="AB1399" s="16"/>
      <c r="AD1399" s="16"/>
      <c r="AE1399" s="1">
        <v>1</v>
      </c>
    </row>
    <row r="1400" spans="1:31" x14ac:dyDescent="0.2">
      <c r="A1400" s="1">
        <v>1399</v>
      </c>
      <c r="B1400" s="1">
        <v>2019</v>
      </c>
      <c r="C1400" s="1" t="s">
        <v>31</v>
      </c>
      <c r="D1400" s="8" t="s">
        <v>874</v>
      </c>
      <c r="E1400" s="1" t="s">
        <v>727</v>
      </c>
      <c r="F1400" s="1" t="s">
        <v>32</v>
      </c>
      <c r="G1400" s="1">
        <v>119</v>
      </c>
      <c r="H1400" s="1" t="s">
        <v>34</v>
      </c>
      <c r="I1400" s="12">
        <v>11</v>
      </c>
      <c r="J1400" s="7">
        <v>31.4</v>
      </c>
      <c r="K1400" s="1" t="s">
        <v>34</v>
      </c>
      <c r="L1400" s="5">
        <v>3699.7</v>
      </c>
      <c r="M1400" s="1" t="s">
        <v>34</v>
      </c>
      <c r="N1400" s="5">
        <v>40706.1</v>
      </c>
      <c r="O1400" s="6">
        <v>37.472499999999997</v>
      </c>
      <c r="P1400" s="6">
        <v>8.8149999999999995</v>
      </c>
      <c r="Q1400" s="6">
        <v>35.552500000000002</v>
      </c>
      <c r="R1400" s="6">
        <v>57.295000000000002</v>
      </c>
      <c r="S1400" s="3"/>
      <c r="T1400" s="6">
        <v>20.190000000000001</v>
      </c>
      <c r="U1400" s="6">
        <v>40.6</v>
      </c>
      <c r="V1400" s="6">
        <v>9.0124999999999993</v>
      </c>
      <c r="W1400" s="3">
        <v>0.76700000000000002</v>
      </c>
      <c r="X1400" s="6"/>
      <c r="Y1400" s="6">
        <v>73.8</v>
      </c>
      <c r="Z1400" s="3">
        <v>2.2420692622579201</v>
      </c>
      <c r="AB1400" s="16"/>
      <c r="AD1400" s="16"/>
      <c r="AE1400" s="1">
        <v>1</v>
      </c>
    </row>
    <row r="1401" spans="1:31" x14ac:dyDescent="0.2">
      <c r="A1401" s="1">
        <v>1400</v>
      </c>
      <c r="B1401" s="1">
        <v>2017</v>
      </c>
      <c r="C1401" s="1" t="s">
        <v>31</v>
      </c>
      <c r="D1401" s="8" t="s">
        <v>402</v>
      </c>
      <c r="E1401" s="8" t="s">
        <v>600</v>
      </c>
      <c r="F1401" s="1" t="s">
        <v>32</v>
      </c>
      <c r="G1401" s="1">
        <v>118</v>
      </c>
      <c r="H1401" s="1" t="s">
        <v>34</v>
      </c>
      <c r="I1401" s="12">
        <v>9.0299999999999994</v>
      </c>
      <c r="J1401" s="3">
        <v>25.8</v>
      </c>
      <c r="K1401" s="1" t="s">
        <v>34</v>
      </c>
      <c r="L1401" s="5">
        <v>3700</v>
      </c>
      <c r="M1401" s="1" t="s">
        <v>34</v>
      </c>
      <c r="N1401" s="5">
        <v>33510</v>
      </c>
      <c r="O1401" s="6">
        <v>32.861213499999998</v>
      </c>
      <c r="P1401" s="6">
        <v>7.2525000000000004</v>
      </c>
      <c r="Q1401" s="6">
        <v>35.79</v>
      </c>
      <c r="R1401" s="6">
        <v>57.1175</v>
      </c>
      <c r="S1401" s="3"/>
      <c r="T1401" s="6">
        <v>21.322500000000002</v>
      </c>
      <c r="U1401" s="6">
        <v>40.4</v>
      </c>
      <c r="V1401" s="6">
        <v>3.23</v>
      </c>
      <c r="W1401" s="3">
        <v>0.81</v>
      </c>
      <c r="X1401" s="6"/>
      <c r="Y1401" s="6">
        <v>74.3</v>
      </c>
      <c r="Z1401" s="3">
        <v>1.8344082500000001</v>
      </c>
      <c r="AB1401" s="16"/>
      <c r="AD1401" s="16"/>
      <c r="AE1401" s="1">
        <v>1</v>
      </c>
    </row>
    <row r="1402" spans="1:31" x14ac:dyDescent="0.2">
      <c r="A1402" s="1">
        <v>1401</v>
      </c>
      <c r="B1402" s="1">
        <v>2017</v>
      </c>
      <c r="C1402" s="1" t="s">
        <v>31</v>
      </c>
      <c r="D1402" s="8" t="s">
        <v>291</v>
      </c>
      <c r="E1402" s="8" t="s">
        <v>624</v>
      </c>
      <c r="F1402" s="1" t="s">
        <v>32</v>
      </c>
      <c r="G1402" s="8">
        <v>116</v>
      </c>
      <c r="I1402" s="12">
        <v>8.2953747300000007</v>
      </c>
      <c r="J1402" s="3">
        <v>23.701070699999999</v>
      </c>
      <c r="K1402" s="1" t="s">
        <v>34</v>
      </c>
      <c r="L1402" s="5">
        <v>3701</v>
      </c>
      <c r="N1402" s="5">
        <v>30680.9836</v>
      </c>
      <c r="O1402" s="6">
        <v>34.6</v>
      </c>
      <c r="P1402" s="6">
        <v>7.3224999999999998</v>
      </c>
      <c r="Q1402" s="6">
        <v>33.155000000000001</v>
      </c>
      <c r="R1402" s="6">
        <v>55.097499999999997</v>
      </c>
      <c r="S1402" s="3"/>
      <c r="T1402" s="6">
        <v>19.84</v>
      </c>
      <c r="U1402" s="6">
        <v>42.2</v>
      </c>
      <c r="V1402" s="6">
        <v>3.14</v>
      </c>
      <c r="W1402" s="3">
        <v>0.83</v>
      </c>
      <c r="X1402" s="6"/>
      <c r="Y1402" s="6">
        <v>75.8</v>
      </c>
      <c r="Z1402" s="3">
        <v>1.5126542199999999</v>
      </c>
      <c r="AB1402" s="16"/>
      <c r="AD1402" s="16"/>
      <c r="AE1402" s="1">
        <v>1</v>
      </c>
    </row>
    <row r="1403" spans="1:31" x14ac:dyDescent="0.2">
      <c r="A1403" s="1">
        <v>1402</v>
      </c>
      <c r="B1403" s="1">
        <v>2014</v>
      </c>
      <c r="C1403" s="1" t="s">
        <v>88</v>
      </c>
      <c r="D1403" s="8" t="s">
        <v>1023</v>
      </c>
      <c r="E1403" s="8" t="s">
        <v>386</v>
      </c>
      <c r="F1403" s="8" t="s">
        <v>83</v>
      </c>
      <c r="G1403" s="8"/>
      <c r="H1403" s="8"/>
      <c r="I1403" s="12">
        <v>7.55</v>
      </c>
      <c r="J1403" s="7">
        <v>21.571428571428601</v>
      </c>
      <c r="K1403" s="13" t="s">
        <v>34</v>
      </c>
      <c r="L1403" s="14">
        <v>3704</v>
      </c>
      <c r="M1403" s="14"/>
      <c r="N1403" s="14">
        <v>27997</v>
      </c>
      <c r="O1403" s="13">
        <v>30.3</v>
      </c>
      <c r="P1403" s="13">
        <v>8.3000000000000007</v>
      </c>
      <c r="Q1403" s="13">
        <v>42.7</v>
      </c>
      <c r="R1403" s="13">
        <v>59.1</v>
      </c>
      <c r="S1403" s="13"/>
      <c r="T1403" s="13"/>
      <c r="U1403" s="13">
        <v>26.2</v>
      </c>
      <c r="V1403" s="13">
        <v>2.9</v>
      </c>
      <c r="W1403" s="7">
        <v>0.69</v>
      </c>
      <c r="X1403" s="15"/>
      <c r="Y1403" s="13">
        <v>67</v>
      </c>
      <c r="Z1403" s="7">
        <v>1.9</v>
      </c>
      <c r="AA1403" s="13">
        <v>2.8</v>
      </c>
      <c r="AB1403" s="16">
        <f>AA1403*10</f>
        <v>28</v>
      </c>
      <c r="AC1403" s="8">
        <v>6.5</v>
      </c>
      <c r="AD1403" s="16">
        <f>AC1403*10</f>
        <v>65</v>
      </c>
      <c r="AE1403" s="1">
        <v>1</v>
      </c>
    </row>
    <row r="1404" spans="1:31" x14ac:dyDescent="0.2">
      <c r="A1404" s="1">
        <v>1403</v>
      </c>
      <c r="B1404" s="1">
        <v>2017</v>
      </c>
      <c r="C1404" s="1" t="s">
        <v>31</v>
      </c>
      <c r="D1404" s="1" t="s">
        <v>916</v>
      </c>
      <c r="E1404" s="8" t="s">
        <v>601</v>
      </c>
      <c r="F1404" s="1" t="s">
        <v>32</v>
      </c>
      <c r="G1404" s="1">
        <v>118</v>
      </c>
      <c r="I1404" s="12">
        <v>8.0698542900000003</v>
      </c>
      <c r="J1404" s="3">
        <v>23.0567265</v>
      </c>
      <c r="K1404" s="1" t="s">
        <v>34</v>
      </c>
      <c r="L1404" s="5">
        <v>3707</v>
      </c>
      <c r="N1404" s="5">
        <v>29764.166399999998</v>
      </c>
      <c r="O1404" s="6">
        <v>33.097109099999997</v>
      </c>
      <c r="P1404" s="6">
        <v>6.8724999999999996</v>
      </c>
      <c r="Q1404" s="6">
        <v>33.152500000000003</v>
      </c>
      <c r="R1404" s="6">
        <v>52.01</v>
      </c>
      <c r="S1404" s="3"/>
      <c r="T1404" s="6">
        <v>20.239999999999998</v>
      </c>
      <c r="U1404" s="6">
        <v>43.3</v>
      </c>
      <c r="V1404" s="6">
        <v>2.6549999999999998</v>
      </c>
      <c r="W1404" s="3">
        <v>0.82</v>
      </c>
      <c r="X1404" s="6"/>
      <c r="Y1404" s="6">
        <v>75.5</v>
      </c>
      <c r="Z1404" s="3">
        <v>1.4014385899999999</v>
      </c>
      <c r="AB1404" s="16"/>
      <c r="AD1404" s="16"/>
      <c r="AE1404" s="1">
        <v>1</v>
      </c>
    </row>
    <row r="1405" spans="1:31" x14ac:dyDescent="0.2">
      <c r="A1405" s="1">
        <v>1404</v>
      </c>
      <c r="B1405" s="1">
        <v>2019</v>
      </c>
      <c r="C1405" s="1" t="s">
        <v>31</v>
      </c>
      <c r="D1405" s="1" t="s">
        <v>402</v>
      </c>
      <c r="E1405" s="1" t="s">
        <v>712</v>
      </c>
      <c r="F1405" s="1" t="s">
        <v>32</v>
      </c>
      <c r="G1405" s="1">
        <v>118</v>
      </c>
      <c r="H1405" s="1" t="s">
        <v>34</v>
      </c>
      <c r="I1405" s="12">
        <v>10.6</v>
      </c>
      <c r="J1405" s="7">
        <v>30.3</v>
      </c>
      <c r="K1405" s="1" t="s">
        <v>34</v>
      </c>
      <c r="L1405" s="5">
        <v>3707.2</v>
      </c>
      <c r="M1405" s="1" t="s">
        <v>34</v>
      </c>
      <c r="N1405" s="5">
        <v>39297.300000000003</v>
      </c>
      <c r="O1405" s="6">
        <v>34.1175</v>
      </c>
      <c r="P1405" s="6">
        <v>8.3975000000000009</v>
      </c>
      <c r="Q1405" s="6">
        <v>39.465000000000003</v>
      </c>
      <c r="R1405" s="6">
        <v>60.872500000000002</v>
      </c>
      <c r="S1405" s="3"/>
      <c r="T1405" s="6">
        <v>22.09</v>
      </c>
      <c r="U1405" s="6">
        <v>36.342500000000001</v>
      </c>
      <c r="V1405" s="6">
        <v>9.3149999999999995</v>
      </c>
      <c r="W1405" s="3">
        <v>0.75099999999999989</v>
      </c>
      <c r="X1405" s="6"/>
      <c r="Y1405" s="6">
        <v>72.319999999999993</v>
      </c>
      <c r="Z1405" s="3">
        <v>2.5</v>
      </c>
      <c r="AB1405" s="16"/>
      <c r="AD1405" s="16"/>
      <c r="AE1405" s="1">
        <v>1</v>
      </c>
    </row>
    <row r="1406" spans="1:31" x14ac:dyDescent="0.2">
      <c r="A1406" s="1">
        <v>1405</v>
      </c>
      <c r="B1406" s="1">
        <v>2015</v>
      </c>
      <c r="C1406" s="8" t="s">
        <v>31</v>
      </c>
      <c r="D1406" s="8" t="s">
        <v>391</v>
      </c>
      <c r="E1406" s="8" t="s">
        <v>495</v>
      </c>
      <c r="F1406" s="1" t="s">
        <v>32</v>
      </c>
      <c r="G1406" s="8">
        <v>115</v>
      </c>
      <c r="I1406" s="12">
        <v>8.7799999999999994</v>
      </c>
      <c r="J1406" s="7">
        <v>25.085714285714285</v>
      </c>
      <c r="K1406" s="1" t="s">
        <v>34</v>
      </c>
      <c r="L1406" s="14">
        <v>3708</v>
      </c>
      <c r="N1406" s="14">
        <v>32612</v>
      </c>
      <c r="O1406" s="13">
        <v>31.9</v>
      </c>
      <c r="P1406" s="13">
        <v>7.4</v>
      </c>
      <c r="Q1406" s="13">
        <v>34.9</v>
      </c>
      <c r="R1406" s="13">
        <v>54.1</v>
      </c>
      <c r="S1406" s="8"/>
      <c r="T1406" s="13">
        <v>22.8</v>
      </c>
      <c r="U1406" s="13">
        <v>39.6</v>
      </c>
      <c r="V1406" s="13">
        <v>3.6</v>
      </c>
      <c r="W1406" s="7">
        <v>0.77</v>
      </c>
      <c r="X1406" s="13"/>
      <c r="Y1406" s="13">
        <v>76.3</v>
      </c>
      <c r="Z1406" s="7">
        <v>1.65</v>
      </c>
      <c r="AA1406" s="1" t="s">
        <v>89</v>
      </c>
      <c r="AB1406" s="16" t="s">
        <v>89</v>
      </c>
      <c r="AC1406" s="1" t="s">
        <v>89</v>
      </c>
      <c r="AD1406" s="16" t="s">
        <v>89</v>
      </c>
      <c r="AE1406" s="1">
        <v>1</v>
      </c>
    </row>
    <row r="1407" spans="1:31" x14ac:dyDescent="0.2">
      <c r="A1407" s="1">
        <v>1406</v>
      </c>
      <c r="B1407" s="1">
        <v>2011</v>
      </c>
      <c r="C1407" s="1" t="s">
        <v>31</v>
      </c>
      <c r="D1407" s="28" t="s">
        <v>914</v>
      </c>
      <c r="E1407" s="1" t="s">
        <v>206</v>
      </c>
      <c r="F1407" s="1" t="s">
        <v>32</v>
      </c>
      <c r="I1407" s="12">
        <v>8.9499999999999993</v>
      </c>
      <c r="J1407" s="12">
        <v>34.700000000000003</v>
      </c>
      <c r="L1407" s="16">
        <v>3709</v>
      </c>
      <c r="N1407" s="16">
        <v>33184</v>
      </c>
      <c r="O1407" s="15">
        <v>31.6</v>
      </c>
      <c r="P1407" s="15">
        <v>7.6</v>
      </c>
      <c r="Q1407" s="15">
        <v>42.9</v>
      </c>
      <c r="R1407" s="15">
        <v>65.8</v>
      </c>
      <c r="T1407" s="15"/>
      <c r="U1407" s="15">
        <v>37.5</v>
      </c>
      <c r="V1407" s="15">
        <v>4.0999999999999996</v>
      </c>
      <c r="W1407" s="12"/>
      <c r="X1407" s="15"/>
      <c r="Y1407" s="15">
        <v>72.099999999999994</v>
      </c>
      <c r="Z1407" s="12">
        <v>2.52</v>
      </c>
      <c r="AB1407" s="16"/>
      <c r="AD1407" s="16"/>
      <c r="AE1407" s="1">
        <v>1</v>
      </c>
    </row>
    <row r="1408" spans="1:31" x14ac:dyDescent="0.2">
      <c r="A1408" s="1">
        <v>1407</v>
      </c>
      <c r="B1408" s="1">
        <v>2008</v>
      </c>
      <c r="C1408" s="1" t="s">
        <v>31</v>
      </c>
      <c r="D1408" s="8" t="s">
        <v>71</v>
      </c>
      <c r="E1408" s="8" t="s">
        <v>73</v>
      </c>
      <c r="F1408" s="8" t="s">
        <v>32</v>
      </c>
      <c r="G1408" s="8"/>
      <c r="H1408" s="8"/>
      <c r="I1408" s="12">
        <v>8.11</v>
      </c>
      <c r="J1408" s="7">
        <v>23.171428571428571</v>
      </c>
      <c r="K1408" s="13" t="s">
        <v>34</v>
      </c>
      <c r="L1408" s="14">
        <v>3710</v>
      </c>
      <c r="M1408" s="14"/>
      <c r="N1408" s="14">
        <v>30085</v>
      </c>
      <c r="O1408" s="13">
        <v>26.2</v>
      </c>
      <c r="P1408" s="13">
        <v>9.9</v>
      </c>
      <c r="Q1408" s="13">
        <v>40.1</v>
      </c>
      <c r="R1408" s="13">
        <v>72.7</v>
      </c>
      <c r="S1408" s="13"/>
      <c r="T1408" s="13"/>
      <c r="U1408" s="13">
        <v>29.9</v>
      </c>
      <c r="V1408" s="13"/>
      <c r="W1408" s="13"/>
      <c r="X1408" s="15"/>
      <c r="Y1408" s="13">
        <v>77.900000000000006</v>
      </c>
      <c r="Z1408" s="7">
        <v>2.36</v>
      </c>
      <c r="AB1408" s="16"/>
      <c r="AD1408" s="16"/>
      <c r="AE1408" s="1">
        <v>1</v>
      </c>
    </row>
    <row r="1409" spans="1:31" x14ac:dyDescent="0.2">
      <c r="A1409" s="1">
        <v>1408</v>
      </c>
      <c r="B1409" s="1">
        <v>2020</v>
      </c>
      <c r="C1409" s="1" t="s">
        <v>31</v>
      </c>
      <c r="D1409" s="1" t="s">
        <v>755</v>
      </c>
      <c r="E1409" s="1" t="s">
        <v>756</v>
      </c>
      <c r="F1409" s="1" t="s">
        <v>32</v>
      </c>
      <c r="G1409" s="1">
        <v>117</v>
      </c>
      <c r="H1409" s="1" t="s">
        <v>754</v>
      </c>
      <c r="I1409" s="12">
        <v>8.7456083773395008</v>
      </c>
      <c r="J1409" s="12">
        <v>24.982094855</v>
      </c>
      <c r="K1409" s="1" t="s">
        <v>34</v>
      </c>
      <c r="L1409" s="16">
        <v>3710.5907652129999</v>
      </c>
      <c r="M1409" s="16" t="s">
        <v>34</v>
      </c>
      <c r="N1409" s="16">
        <v>32472.303700883</v>
      </c>
      <c r="O1409" s="10">
        <v>34.872019700000003</v>
      </c>
      <c r="P1409" s="15">
        <v>7.76</v>
      </c>
      <c r="Q1409" s="15">
        <v>40.840000000000003</v>
      </c>
      <c r="R1409" s="15">
        <v>52.571729623000003</v>
      </c>
      <c r="S1409" s="15"/>
      <c r="T1409" s="15">
        <v>21.202500000000001</v>
      </c>
      <c r="U1409" s="15">
        <v>33.572499999999998</v>
      </c>
      <c r="V1409" s="15">
        <v>5.1357303999999999</v>
      </c>
      <c r="W1409" s="12">
        <v>0.75373583</v>
      </c>
      <c r="X1409" s="15"/>
      <c r="Y1409" s="15">
        <v>77.927248621000004</v>
      </c>
      <c r="Z1409" s="12"/>
      <c r="AA1409" s="15">
        <v>2.125</v>
      </c>
      <c r="AB1409" s="16">
        <f>AA1409*33.334</f>
        <v>70.834750000000014</v>
      </c>
      <c r="AD1409" s="16"/>
      <c r="AE1409" s="1">
        <v>1</v>
      </c>
    </row>
    <row r="1410" spans="1:31" ht="17" x14ac:dyDescent="0.2">
      <c r="A1410" s="1">
        <v>1409</v>
      </c>
      <c r="B1410" s="1">
        <v>2019</v>
      </c>
      <c r="C1410" s="1" t="s">
        <v>31</v>
      </c>
      <c r="D1410" s="9" t="s">
        <v>719</v>
      </c>
      <c r="E1410" s="9" t="s">
        <v>721</v>
      </c>
      <c r="F1410" s="1" t="s">
        <v>83</v>
      </c>
      <c r="H1410" s="1" t="s">
        <v>34</v>
      </c>
      <c r="I1410" s="12">
        <v>7.73</v>
      </c>
      <c r="J1410" s="3">
        <v>22.07</v>
      </c>
      <c r="L1410" s="5">
        <v>3713</v>
      </c>
      <c r="M1410" s="1" t="s">
        <v>34</v>
      </c>
      <c r="N1410" s="5">
        <v>28580.3</v>
      </c>
      <c r="O1410" s="6">
        <v>34.6</v>
      </c>
      <c r="P1410" s="6">
        <v>9.9700000000000006</v>
      </c>
      <c r="Q1410" s="6">
        <v>38.977499999999999</v>
      </c>
      <c r="R1410" s="6">
        <v>58.844999999999999</v>
      </c>
      <c r="S1410" s="3"/>
      <c r="T1410" s="6">
        <v>21.324999999999999</v>
      </c>
      <c r="U1410" s="6">
        <v>31.975000000000001</v>
      </c>
      <c r="V1410" s="6">
        <v>9.24</v>
      </c>
      <c r="W1410" s="3">
        <v>0.75672499999999998</v>
      </c>
      <c r="X1410" s="6"/>
      <c r="Y1410" s="6">
        <v>72.849999999999994</v>
      </c>
      <c r="Z1410" s="3">
        <v>1.7725</v>
      </c>
      <c r="AB1410" s="16"/>
      <c r="AD1410" s="16"/>
      <c r="AE1410" s="1">
        <v>1</v>
      </c>
    </row>
    <row r="1411" spans="1:31" x14ac:dyDescent="0.2">
      <c r="A1411" s="1">
        <v>1410</v>
      </c>
      <c r="B1411" s="1">
        <v>2008</v>
      </c>
      <c r="C1411" s="1" t="s">
        <v>31</v>
      </c>
      <c r="D1411" s="1" t="s">
        <v>805</v>
      </c>
      <c r="E1411" s="8" t="s">
        <v>47</v>
      </c>
      <c r="F1411" s="8" t="s">
        <v>32</v>
      </c>
      <c r="G1411" s="8"/>
      <c r="H1411" s="8"/>
      <c r="I1411" s="12">
        <v>8.33</v>
      </c>
      <c r="J1411" s="7">
        <v>23.8</v>
      </c>
      <c r="K1411" s="13" t="s">
        <v>34</v>
      </c>
      <c r="L1411" s="14">
        <v>3716</v>
      </c>
      <c r="M1411" s="14"/>
      <c r="N1411" s="14">
        <v>30989</v>
      </c>
      <c r="O1411" s="13">
        <v>30.9</v>
      </c>
      <c r="P1411" s="13">
        <v>8.6999999999999993</v>
      </c>
      <c r="Q1411" s="13">
        <v>34.299999999999997</v>
      </c>
      <c r="R1411" s="13">
        <v>65.8</v>
      </c>
      <c r="S1411" s="13"/>
      <c r="T1411" s="13"/>
      <c r="U1411" s="13">
        <v>40.700000000000003</v>
      </c>
      <c r="V1411" s="13"/>
      <c r="W1411" s="13"/>
      <c r="X1411" s="15"/>
      <c r="Y1411" s="13">
        <v>77</v>
      </c>
      <c r="Z1411" s="7">
        <v>1.89</v>
      </c>
      <c r="AB1411" s="16"/>
      <c r="AD1411" s="16"/>
      <c r="AE1411" s="1">
        <v>1</v>
      </c>
    </row>
    <row r="1412" spans="1:31" x14ac:dyDescent="0.2">
      <c r="A1412" s="1">
        <v>1411</v>
      </c>
      <c r="B1412" s="1">
        <v>2011</v>
      </c>
      <c r="C1412" s="1" t="s">
        <v>31</v>
      </c>
      <c r="D1412" s="28" t="s">
        <v>914</v>
      </c>
      <c r="E1412" s="1" t="s">
        <v>208</v>
      </c>
      <c r="F1412" s="1" t="s">
        <v>32</v>
      </c>
      <c r="I1412" s="12">
        <v>8.73</v>
      </c>
      <c r="J1412" s="12">
        <v>31</v>
      </c>
      <c r="K1412" s="1" t="s">
        <v>34</v>
      </c>
      <c r="L1412" s="16">
        <v>3717</v>
      </c>
      <c r="N1412" s="16">
        <v>32454</v>
      </c>
      <c r="O1412" s="15">
        <v>27.9</v>
      </c>
      <c r="P1412" s="15">
        <v>8</v>
      </c>
      <c r="Q1412" s="15">
        <v>41.9</v>
      </c>
      <c r="R1412" s="15">
        <v>64.599999999999994</v>
      </c>
      <c r="T1412" s="15"/>
      <c r="U1412" s="15">
        <v>38</v>
      </c>
      <c r="V1412" s="15">
        <v>3.9</v>
      </c>
      <c r="W1412" s="12"/>
      <c r="X1412" s="15"/>
      <c r="Y1412" s="15">
        <v>72.5</v>
      </c>
      <c r="Z1412" s="12">
        <v>2.36</v>
      </c>
      <c r="AB1412" s="16"/>
      <c r="AD1412" s="16"/>
      <c r="AE1412" s="1">
        <v>1</v>
      </c>
    </row>
    <row r="1413" spans="1:31" x14ac:dyDescent="0.2">
      <c r="A1413" s="1">
        <v>1412</v>
      </c>
      <c r="B1413" s="1">
        <v>2010</v>
      </c>
      <c r="C1413" s="1" t="s">
        <v>31</v>
      </c>
      <c r="D1413" s="8" t="s">
        <v>108</v>
      </c>
      <c r="E1413" s="8" t="s">
        <v>113</v>
      </c>
      <c r="F1413" s="1" t="s">
        <v>32</v>
      </c>
      <c r="I1413" s="12">
        <v>9.4499999999999993</v>
      </c>
      <c r="J1413" s="7">
        <v>27</v>
      </c>
      <c r="L1413" s="14">
        <v>3719</v>
      </c>
      <c r="N1413" s="14">
        <v>35143</v>
      </c>
      <c r="O1413" s="13">
        <v>32.4</v>
      </c>
      <c r="P1413" s="13">
        <v>10</v>
      </c>
      <c r="Q1413" s="13">
        <v>36.1</v>
      </c>
      <c r="R1413" s="13">
        <v>59.8</v>
      </c>
      <c r="S1413" s="13"/>
      <c r="T1413" s="15"/>
      <c r="U1413" s="13">
        <v>43.4</v>
      </c>
      <c r="V1413" s="13">
        <v>5.0999999999999996</v>
      </c>
      <c r="W1413" s="12"/>
      <c r="X1413" s="15"/>
      <c r="Y1413" s="13">
        <v>75</v>
      </c>
      <c r="Z1413" s="7">
        <v>2.04</v>
      </c>
      <c r="AB1413" s="16"/>
      <c r="AD1413" s="16"/>
      <c r="AE1413" s="1">
        <v>1</v>
      </c>
    </row>
    <row r="1414" spans="1:31" x14ac:dyDescent="0.2">
      <c r="A1414" s="1">
        <v>1413</v>
      </c>
      <c r="B1414" s="1">
        <v>2010</v>
      </c>
      <c r="C1414" s="1" t="s">
        <v>31</v>
      </c>
      <c r="D1414" s="1" t="s">
        <v>916</v>
      </c>
      <c r="E1414" s="8">
        <v>40380</v>
      </c>
      <c r="F1414" s="1" t="s">
        <v>83</v>
      </c>
      <c r="H1414" s="1" t="s">
        <v>34</v>
      </c>
      <c r="I1414" s="12">
        <v>8.17</v>
      </c>
      <c r="J1414" s="7">
        <v>23.3</v>
      </c>
      <c r="K1414" s="1" t="s">
        <v>34</v>
      </c>
      <c r="L1414" s="14">
        <v>3720</v>
      </c>
      <c r="M1414" s="1" t="s">
        <v>34</v>
      </c>
      <c r="N1414" s="14">
        <v>30439</v>
      </c>
      <c r="O1414" s="13">
        <v>29.1</v>
      </c>
      <c r="P1414" s="13">
        <v>8.8000000000000007</v>
      </c>
      <c r="Q1414" s="13">
        <v>40</v>
      </c>
      <c r="R1414" s="13">
        <v>58.6</v>
      </c>
      <c r="S1414" s="13"/>
      <c r="T1414" s="15"/>
      <c r="U1414" s="13">
        <v>35.299999999999997</v>
      </c>
      <c r="V1414" s="13">
        <v>6.9</v>
      </c>
      <c r="W1414" s="12"/>
      <c r="X1414" s="15"/>
      <c r="Y1414" s="13">
        <v>74.3</v>
      </c>
      <c r="Z1414" s="7">
        <v>1.92</v>
      </c>
      <c r="AB1414" s="16"/>
      <c r="AD1414" s="16"/>
      <c r="AE1414" s="1">
        <v>1</v>
      </c>
    </row>
    <row r="1415" spans="1:31" x14ac:dyDescent="0.2">
      <c r="A1415" s="1">
        <v>1414</v>
      </c>
      <c r="B1415" s="1">
        <v>2010</v>
      </c>
      <c r="C1415" s="1" t="s">
        <v>31</v>
      </c>
      <c r="D1415" s="8" t="s">
        <v>125</v>
      </c>
      <c r="E1415" s="8" t="s">
        <v>176</v>
      </c>
      <c r="F1415" s="1" t="s">
        <v>32</v>
      </c>
      <c r="I1415" s="12">
        <v>9.92</v>
      </c>
      <c r="J1415" s="7">
        <v>28.342857142857099</v>
      </c>
      <c r="K1415" s="1" t="s">
        <v>34</v>
      </c>
      <c r="L1415" s="14">
        <v>3720</v>
      </c>
      <c r="N1415" s="14">
        <v>36918</v>
      </c>
      <c r="O1415" s="13">
        <v>31.2</v>
      </c>
      <c r="P1415" s="13">
        <v>10</v>
      </c>
      <c r="Q1415" s="13">
        <v>38.9</v>
      </c>
      <c r="R1415" s="13">
        <v>60.4</v>
      </c>
      <c r="S1415" s="13"/>
      <c r="T1415" s="15"/>
      <c r="U1415" s="13">
        <v>38.299999999999997</v>
      </c>
      <c r="V1415" s="13">
        <v>5.9</v>
      </c>
      <c r="W1415" s="12"/>
      <c r="X1415" s="15"/>
      <c r="Y1415" s="13">
        <v>74</v>
      </c>
      <c r="Z1415" s="7">
        <v>2.34</v>
      </c>
      <c r="AB1415" s="16"/>
      <c r="AD1415" s="16"/>
      <c r="AE1415" s="1">
        <v>1</v>
      </c>
    </row>
    <row r="1416" spans="1:31" ht="17" x14ac:dyDescent="0.2">
      <c r="A1416" s="1">
        <v>1415</v>
      </c>
      <c r="B1416" s="1">
        <v>2019</v>
      </c>
      <c r="C1416" s="1" t="s">
        <v>31</v>
      </c>
      <c r="D1416" s="9" t="s">
        <v>391</v>
      </c>
      <c r="E1416" s="9" t="s">
        <v>705</v>
      </c>
      <c r="F1416" s="1" t="s">
        <v>83</v>
      </c>
      <c r="G1416" s="1">
        <v>117</v>
      </c>
      <c r="I1416" s="12">
        <v>5.5</v>
      </c>
      <c r="J1416" s="3">
        <v>15.715</v>
      </c>
      <c r="L1416" s="5">
        <v>3721.75</v>
      </c>
      <c r="N1416" s="5">
        <v>20353.125</v>
      </c>
      <c r="O1416" s="6">
        <v>32.884999999999998</v>
      </c>
      <c r="P1416" s="6">
        <v>9.77</v>
      </c>
      <c r="Q1416" s="6">
        <v>38.667499999999997</v>
      </c>
      <c r="R1416" s="6">
        <v>56.702500000000001</v>
      </c>
      <c r="S1416" s="3"/>
      <c r="T1416" s="6">
        <v>21.592500000000001</v>
      </c>
      <c r="U1416" s="6">
        <v>35.055</v>
      </c>
      <c r="V1416" s="6">
        <v>7.9524999999999997</v>
      </c>
      <c r="W1416" s="3">
        <v>0.78150000000000008</v>
      </c>
      <c r="X1416" s="6"/>
      <c r="Y1416" s="6">
        <v>75.08</v>
      </c>
      <c r="Z1416" s="3">
        <v>1.2024999999999999</v>
      </c>
      <c r="AB1416" s="16"/>
      <c r="AD1416" s="16"/>
      <c r="AE1416" s="1">
        <v>1</v>
      </c>
    </row>
    <row r="1417" spans="1:31" x14ac:dyDescent="0.2">
      <c r="A1417" s="1">
        <v>1416</v>
      </c>
      <c r="B1417" s="1">
        <v>2015</v>
      </c>
      <c r="C1417" s="8" t="s">
        <v>31</v>
      </c>
      <c r="D1417" s="8" t="s">
        <v>291</v>
      </c>
      <c r="E1417" s="8" t="s">
        <v>452</v>
      </c>
      <c r="F1417" s="1" t="s">
        <v>32</v>
      </c>
      <c r="G1417" s="8">
        <v>118</v>
      </c>
      <c r="I1417" s="12">
        <v>9.8699999999999992</v>
      </c>
      <c r="J1417" s="7">
        <v>28.2</v>
      </c>
      <c r="K1417" s="1" t="s">
        <v>34</v>
      </c>
      <c r="L1417" s="14">
        <v>3723</v>
      </c>
      <c r="M1417" s="1" t="s">
        <v>34</v>
      </c>
      <c r="N1417" s="14">
        <v>36779</v>
      </c>
      <c r="O1417" s="13">
        <v>33.1</v>
      </c>
      <c r="P1417" s="13">
        <v>7.5</v>
      </c>
      <c r="Q1417" s="13">
        <v>35.1</v>
      </c>
      <c r="R1417" s="13">
        <v>52.7</v>
      </c>
      <c r="S1417" s="8"/>
      <c r="T1417" s="13">
        <v>23.4</v>
      </c>
      <c r="U1417" s="13">
        <v>36</v>
      </c>
      <c r="V1417" s="13">
        <v>4.0999999999999996</v>
      </c>
      <c r="W1417" s="7">
        <v>0.78</v>
      </c>
      <c r="X1417" s="13"/>
      <c r="Y1417" s="13">
        <v>76.3</v>
      </c>
      <c r="Z1417" s="7">
        <v>1.83</v>
      </c>
      <c r="AA1417" s="1" t="s">
        <v>89</v>
      </c>
      <c r="AB1417" s="16" t="s">
        <v>89</v>
      </c>
      <c r="AC1417" s="1" t="s">
        <v>89</v>
      </c>
      <c r="AD1417" s="16" t="s">
        <v>89</v>
      </c>
      <c r="AE1417" s="1">
        <v>1</v>
      </c>
    </row>
    <row r="1418" spans="1:31" x14ac:dyDescent="0.2">
      <c r="A1418" s="1">
        <v>1417</v>
      </c>
      <c r="B1418" s="1">
        <v>2020</v>
      </c>
      <c r="C1418" s="1" t="s">
        <v>31</v>
      </c>
      <c r="D1418" s="19" t="s">
        <v>900</v>
      </c>
      <c r="E1418" s="1" t="s">
        <v>769</v>
      </c>
      <c r="F1418" s="1" t="s">
        <v>32</v>
      </c>
      <c r="G1418" s="1">
        <v>118</v>
      </c>
      <c r="H1418" s="1" t="s">
        <v>754</v>
      </c>
      <c r="I1418" s="12">
        <v>8.7915665458329997</v>
      </c>
      <c r="J1418" s="12">
        <v>25.113403906999999</v>
      </c>
      <c r="K1418" s="1" t="s">
        <v>34</v>
      </c>
      <c r="L1418" s="16">
        <v>3723.1679738789999</v>
      </c>
      <c r="M1418" s="16" t="s">
        <v>34</v>
      </c>
      <c r="N1418" s="16">
        <v>32766.162910645999</v>
      </c>
      <c r="O1418" s="10">
        <v>34.076825700000001</v>
      </c>
      <c r="P1418" s="15">
        <v>9.5500000000000007</v>
      </c>
      <c r="Q1418" s="15">
        <v>38.807499999999997</v>
      </c>
      <c r="R1418" s="15">
        <v>53.336729622999997</v>
      </c>
      <c r="S1418" s="15"/>
      <c r="T1418" s="15">
        <v>20.149999999999999</v>
      </c>
      <c r="U1418" s="15">
        <v>31.2225</v>
      </c>
      <c r="V1418" s="15">
        <v>5.4932303999999998</v>
      </c>
      <c r="W1418" s="12">
        <v>0.75735832400000003</v>
      </c>
      <c r="X1418" s="15"/>
      <c r="Y1418" s="15">
        <v>77.697833500000002</v>
      </c>
      <c r="Z1418" s="12"/>
      <c r="AA1418" s="15">
        <v>1.375</v>
      </c>
      <c r="AB1418" s="16">
        <f>AA1418*33.334</f>
        <v>45.834250000000004</v>
      </c>
      <c r="AD1418" s="16"/>
      <c r="AE1418" s="1">
        <v>1</v>
      </c>
    </row>
    <row r="1419" spans="1:31" x14ac:dyDescent="0.2">
      <c r="A1419" s="1">
        <v>1418</v>
      </c>
      <c r="B1419" s="1">
        <v>2008</v>
      </c>
      <c r="C1419" s="1" t="s">
        <v>31</v>
      </c>
      <c r="D1419" s="8" t="s">
        <v>33</v>
      </c>
      <c r="E1419" s="8">
        <v>7815</v>
      </c>
      <c r="F1419" s="8" t="s">
        <v>32</v>
      </c>
      <c r="G1419" s="8"/>
      <c r="H1419" s="8"/>
      <c r="I1419" s="12">
        <v>9.93</v>
      </c>
      <c r="J1419" s="7">
        <v>28.371428571428574</v>
      </c>
      <c r="K1419" s="13" t="s">
        <v>34</v>
      </c>
      <c r="L1419" s="14">
        <v>3724</v>
      </c>
      <c r="M1419" s="14" t="s">
        <v>34</v>
      </c>
      <c r="N1419" s="14">
        <v>36985</v>
      </c>
      <c r="O1419" s="13">
        <v>31.7</v>
      </c>
      <c r="P1419" s="13">
        <v>9.3000000000000007</v>
      </c>
      <c r="Q1419" s="13">
        <v>35.5</v>
      </c>
      <c r="R1419" s="13">
        <v>71.099999999999994</v>
      </c>
      <c r="S1419" s="13"/>
      <c r="T1419" s="13"/>
      <c r="U1419" s="13">
        <v>37.9</v>
      </c>
      <c r="V1419" s="13"/>
      <c r="W1419" s="13"/>
      <c r="X1419" s="15"/>
      <c r="Y1419" s="13">
        <v>77.599999999999994</v>
      </c>
      <c r="Z1419" s="7">
        <v>2.5</v>
      </c>
      <c r="AB1419" s="16"/>
      <c r="AD1419" s="16"/>
      <c r="AE1419" s="1">
        <v>1</v>
      </c>
    </row>
    <row r="1420" spans="1:31" x14ac:dyDescent="0.2">
      <c r="A1420" s="1">
        <v>1419</v>
      </c>
      <c r="B1420" s="1">
        <v>2015</v>
      </c>
      <c r="C1420" s="8" t="s">
        <v>31</v>
      </c>
      <c r="D1420" s="8" t="s">
        <v>402</v>
      </c>
      <c r="E1420" s="8" t="s">
        <v>502</v>
      </c>
      <c r="F1420" s="1" t="s">
        <v>83</v>
      </c>
      <c r="H1420" s="1" t="s">
        <v>34</v>
      </c>
      <c r="I1420" s="12">
        <v>7.55</v>
      </c>
      <c r="J1420" s="7">
        <v>21.6</v>
      </c>
      <c r="L1420" s="14">
        <v>3727</v>
      </c>
      <c r="M1420" s="1" t="s">
        <v>34</v>
      </c>
      <c r="N1420" s="14">
        <v>28123</v>
      </c>
      <c r="O1420" s="13">
        <v>31</v>
      </c>
      <c r="P1420" s="13">
        <v>7</v>
      </c>
      <c r="Q1420" s="13">
        <v>36.4</v>
      </c>
      <c r="R1420" s="13">
        <v>54.6</v>
      </c>
      <c r="S1420" s="8"/>
      <c r="T1420" s="13">
        <v>22</v>
      </c>
      <c r="U1420" s="13">
        <v>38.200000000000003</v>
      </c>
      <c r="V1420" s="13">
        <v>4.2</v>
      </c>
      <c r="W1420" s="7">
        <v>0.77</v>
      </c>
      <c r="X1420" s="13"/>
      <c r="Y1420" s="13">
        <v>74.099999999999994</v>
      </c>
      <c r="Z1420" s="7">
        <v>1.49</v>
      </c>
      <c r="AA1420" s="18">
        <v>1.25</v>
      </c>
      <c r="AB1420" s="16">
        <f>AA1420*10</f>
        <v>12.5</v>
      </c>
      <c r="AC1420" s="15" t="s">
        <v>89</v>
      </c>
      <c r="AD1420" s="16"/>
      <c r="AE1420" s="1">
        <v>1</v>
      </c>
    </row>
    <row r="1421" spans="1:31" x14ac:dyDescent="0.2">
      <c r="A1421" s="1">
        <v>1420</v>
      </c>
      <c r="B1421" s="1">
        <v>2011</v>
      </c>
      <c r="C1421" s="1" t="s">
        <v>31</v>
      </c>
      <c r="D1421" s="1" t="s">
        <v>125</v>
      </c>
      <c r="E1421" s="1" t="s">
        <v>213</v>
      </c>
      <c r="F1421" s="1" t="s">
        <v>32</v>
      </c>
      <c r="I1421" s="12">
        <v>8.81</v>
      </c>
      <c r="J1421" s="12">
        <v>31.5</v>
      </c>
      <c r="K1421" s="1" t="s">
        <v>34</v>
      </c>
      <c r="L1421" s="16">
        <v>3727</v>
      </c>
      <c r="N1421" s="16">
        <v>32818</v>
      </c>
      <c r="O1421" s="15">
        <v>28.2</v>
      </c>
      <c r="P1421" s="15">
        <v>7.9</v>
      </c>
      <c r="Q1421" s="15">
        <v>41.3</v>
      </c>
      <c r="R1421" s="15">
        <v>65.7</v>
      </c>
      <c r="T1421" s="15"/>
      <c r="U1421" s="15">
        <v>40.4</v>
      </c>
      <c r="V1421" s="15">
        <v>4</v>
      </c>
      <c r="W1421" s="12"/>
      <c r="X1421" s="15"/>
      <c r="Y1421" s="15">
        <v>72.099999999999994</v>
      </c>
      <c r="Z1421" s="12">
        <v>2.39</v>
      </c>
      <c r="AB1421" s="16"/>
      <c r="AD1421" s="16"/>
      <c r="AE1421" s="1">
        <v>1</v>
      </c>
    </row>
    <row r="1422" spans="1:31" x14ac:dyDescent="0.2">
      <c r="A1422" s="1">
        <v>1421</v>
      </c>
      <c r="B1422" s="1">
        <v>2015</v>
      </c>
      <c r="C1422" s="8" t="s">
        <v>31</v>
      </c>
      <c r="D1422" s="1" t="s">
        <v>805</v>
      </c>
      <c r="E1422" s="8" t="s">
        <v>486</v>
      </c>
      <c r="F1422" s="1" t="s">
        <v>32</v>
      </c>
      <c r="G1422" s="8">
        <v>116</v>
      </c>
      <c r="I1422" s="12">
        <v>8.9499999999999993</v>
      </c>
      <c r="J1422" s="7">
        <v>25.571428571428569</v>
      </c>
      <c r="K1422" s="1" t="s">
        <v>34</v>
      </c>
      <c r="L1422" s="14">
        <v>3727</v>
      </c>
      <c r="N1422" s="14">
        <v>33404</v>
      </c>
      <c r="O1422" s="13">
        <v>32.1</v>
      </c>
      <c r="P1422" s="13">
        <v>7.3</v>
      </c>
      <c r="Q1422" s="13">
        <v>31.7</v>
      </c>
      <c r="R1422" s="13">
        <v>51.4</v>
      </c>
      <c r="S1422" s="8"/>
      <c r="T1422" s="13">
        <v>21.2</v>
      </c>
      <c r="U1422" s="13">
        <v>41</v>
      </c>
      <c r="V1422" s="13">
        <v>3.8</v>
      </c>
      <c r="W1422" s="7">
        <v>0.79</v>
      </c>
      <c r="X1422" s="13"/>
      <c r="Y1422" s="13">
        <v>76.3</v>
      </c>
      <c r="Z1422" s="7">
        <v>1.46</v>
      </c>
      <c r="AA1422" s="1" t="s">
        <v>89</v>
      </c>
      <c r="AB1422" s="16" t="s">
        <v>89</v>
      </c>
      <c r="AC1422" s="1" t="s">
        <v>89</v>
      </c>
      <c r="AD1422" s="16" t="s">
        <v>89</v>
      </c>
      <c r="AE1422" s="1">
        <v>1</v>
      </c>
    </row>
    <row r="1423" spans="1:31" x14ac:dyDescent="0.2">
      <c r="A1423" s="1">
        <v>1422</v>
      </c>
      <c r="B1423" s="1">
        <v>2011</v>
      </c>
      <c r="C1423" s="1" t="s">
        <v>31</v>
      </c>
      <c r="D1423" s="1" t="s">
        <v>108</v>
      </c>
      <c r="E1423" s="1" t="s">
        <v>198</v>
      </c>
      <c r="F1423" s="1" t="s">
        <v>32</v>
      </c>
      <c r="I1423" s="12">
        <v>9.1</v>
      </c>
      <c r="J1423" s="12">
        <v>26</v>
      </c>
      <c r="K1423" s="1" t="s">
        <v>34</v>
      </c>
      <c r="L1423" s="16">
        <v>3727</v>
      </c>
      <c r="N1423" s="16">
        <v>33910</v>
      </c>
      <c r="O1423" s="15">
        <v>30.3</v>
      </c>
      <c r="P1423" s="15">
        <v>7.9</v>
      </c>
      <c r="Q1423" s="15">
        <v>40.200000000000003</v>
      </c>
      <c r="R1423" s="15">
        <v>65</v>
      </c>
      <c r="T1423" s="15"/>
      <c r="U1423" s="15">
        <v>40.6</v>
      </c>
      <c r="V1423" s="15">
        <v>3.6</v>
      </c>
      <c r="W1423" s="12"/>
      <c r="X1423" s="15"/>
      <c r="Y1423" s="15">
        <v>72.5</v>
      </c>
      <c r="Z1423" s="12">
        <v>2.38</v>
      </c>
      <c r="AB1423" s="16"/>
      <c r="AD1423" s="16"/>
      <c r="AE1423" s="1">
        <v>1</v>
      </c>
    </row>
    <row r="1424" spans="1:31" x14ac:dyDescent="0.2">
      <c r="A1424" s="1">
        <v>1423</v>
      </c>
      <c r="B1424" s="1">
        <v>2008</v>
      </c>
      <c r="C1424" s="1" t="s">
        <v>31</v>
      </c>
      <c r="D1424" s="8" t="s">
        <v>54</v>
      </c>
      <c r="E1424" s="8" t="s">
        <v>60</v>
      </c>
      <c r="F1424" s="8" t="s">
        <v>32</v>
      </c>
      <c r="G1424" s="8"/>
      <c r="H1424" s="8"/>
      <c r="I1424" s="12">
        <v>10.039999999999999</v>
      </c>
      <c r="J1424" s="7">
        <v>28.685714285714287</v>
      </c>
      <c r="K1424" s="13" t="s">
        <v>34</v>
      </c>
      <c r="L1424" s="14">
        <v>3727</v>
      </c>
      <c r="M1424" s="14" t="s">
        <v>34</v>
      </c>
      <c r="N1424" s="14">
        <v>37441</v>
      </c>
      <c r="O1424" s="13">
        <v>31.9</v>
      </c>
      <c r="P1424" s="13">
        <v>9</v>
      </c>
      <c r="Q1424" s="13">
        <v>35.799999999999997</v>
      </c>
      <c r="R1424" s="13">
        <v>67.8</v>
      </c>
      <c r="S1424" s="13"/>
      <c r="T1424" s="13"/>
      <c r="U1424" s="13">
        <v>38.6</v>
      </c>
      <c r="V1424" s="13"/>
      <c r="W1424" s="13"/>
      <c r="X1424" s="15"/>
      <c r="Y1424" s="13">
        <v>77.400000000000006</v>
      </c>
      <c r="Z1424" s="7">
        <v>2.44</v>
      </c>
      <c r="AB1424" s="16"/>
      <c r="AD1424" s="16"/>
      <c r="AE1424" s="1">
        <v>1</v>
      </c>
    </row>
    <row r="1425" spans="1:31" x14ac:dyDescent="0.2">
      <c r="A1425" s="1">
        <v>1424</v>
      </c>
      <c r="B1425" s="1">
        <v>2019</v>
      </c>
      <c r="C1425" s="1" t="s">
        <v>31</v>
      </c>
      <c r="D1425" s="1" t="s">
        <v>37</v>
      </c>
      <c r="E1425" s="1" t="s">
        <v>724</v>
      </c>
      <c r="F1425" s="1" t="s">
        <v>32</v>
      </c>
      <c r="G1425" s="1">
        <v>115</v>
      </c>
      <c r="I1425" s="12">
        <v>9.1999999999999993</v>
      </c>
      <c r="J1425" s="7">
        <v>26.2</v>
      </c>
      <c r="K1425" s="1" t="s">
        <v>34</v>
      </c>
      <c r="L1425" s="5">
        <v>3727.5</v>
      </c>
      <c r="N1425" s="5">
        <v>34130.639886111399</v>
      </c>
      <c r="O1425" s="6">
        <v>31.157499999999999</v>
      </c>
      <c r="P1425" s="6">
        <v>9.0024999999999995</v>
      </c>
      <c r="Q1425" s="6">
        <v>38.912500000000001</v>
      </c>
      <c r="R1425" s="6">
        <v>62.9</v>
      </c>
      <c r="S1425" s="3"/>
      <c r="T1425" s="6">
        <v>22.11</v>
      </c>
      <c r="U1425" s="6">
        <v>35.869999999999997</v>
      </c>
      <c r="V1425" s="6">
        <v>8.73</v>
      </c>
      <c r="W1425" s="3">
        <v>0.74919999999999998</v>
      </c>
      <c r="X1425" s="6"/>
      <c r="Y1425" s="6">
        <v>72.172499999999999</v>
      </c>
      <c r="Z1425" s="3">
        <v>2.2442632524368902</v>
      </c>
      <c r="AB1425" s="16"/>
      <c r="AD1425" s="16"/>
      <c r="AE1425" s="1">
        <v>1</v>
      </c>
    </row>
    <row r="1426" spans="1:31" x14ac:dyDescent="0.2">
      <c r="A1426" s="1">
        <v>1425</v>
      </c>
      <c r="B1426" s="1">
        <v>2010</v>
      </c>
      <c r="C1426" s="1" t="s">
        <v>31</v>
      </c>
      <c r="D1426" s="1" t="s">
        <v>916</v>
      </c>
      <c r="E1426" s="8" t="s">
        <v>143</v>
      </c>
      <c r="F1426" s="1" t="s">
        <v>83</v>
      </c>
      <c r="I1426" s="12">
        <v>6.75</v>
      </c>
      <c r="J1426" s="7">
        <v>19.285714285714299</v>
      </c>
      <c r="K1426" s="1" t="s">
        <v>34</v>
      </c>
      <c r="L1426" s="14">
        <v>3728</v>
      </c>
      <c r="N1426" s="14">
        <v>25162</v>
      </c>
      <c r="O1426" s="13">
        <v>28.8</v>
      </c>
      <c r="P1426" s="13">
        <v>8.6</v>
      </c>
      <c r="Q1426" s="13">
        <v>38.5</v>
      </c>
      <c r="R1426" s="13">
        <v>57.7</v>
      </c>
      <c r="S1426" s="13"/>
      <c r="T1426" s="15"/>
      <c r="U1426" s="13">
        <v>37.1</v>
      </c>
      <c r="V1426" s="13">
        <v>6.6</v>
      </c>
      <c r="W1426" s="12"/>
      <c r="X1426" s="15"/>
      <c r="Y1426" s="13">
        <v>74.599999999999994</v>
      </c>
      <c r="Z1426" s="7">
        <v>1.5</v>
      </c>
      <c r="AB1426" s="16"/>
      <c r="AD1426" s="16"/>
      <c r="AE1426" s="1">
        <v>1</v>
      </c>
    </row>
    <row r="1427" spans="1:31" x14ac:dyDescent="0.2">
      <c r="A1427" s="1">
        <v>1426</v>
      </c>
      <c r="B1427" s="1">
        <v>2019</v>
      </c>
      <c r="C1427" s="1" t="s">
        <v>31</v>
      </c>
      <c r="D1427" s="1" t="s">
        <v>108</v>
      </c>
      <c r="E1427" s="1" t="s">
        <v>667</v>
      </c>
      <c r="F1427" s="1" t="s">
        <v>32</v>
      </c>
      <c r="G1427" s="1">
        <v>118</v>
      </c>
      <c r="I1427" s="12">
        <v>9.6</v>
      </c>
      <c r="J1427" s="7">
        <v>27.4</v>
      </c>
      <c r="K1427" s="1" t="s">
        <v>34</v>
      </c>
      <c r="L1427" s="5">
        <v>3728</v>
      </c>
      <c r="M1427" s="1" t="s">
        <v>34</v>
      </c>
      <c r="N1427" s="5">
        <v>35754.1</v>
      </c>
      <c r="O1427" s="6">
        <v>30.805</v>
      </c>
      <c r="P1427" s="6">
        <v>9.6999999999999993</v>
      </c>
      <c r="Q1427" s="6">
        <v>36.8675</v>
      </c>
      <c r="R1427" s="6">
        <v>61.272500000000001</v>
      </c>
      <c r="S1427" s="3"/>
      <c r="T1427" s="6">
        <v>20.692499999999999</v>
      </c>
      <c r="U1427" s="6">
        <v>37.659999999999997</v>
      </c>
      <c r="V1427" s="6">
        <v>8.4275000000000002</v>
      </c>
      <c r="W1427" s="3">
        <v>0.754</v>
      </c>
      <c r="X1427" s="6"/>
      <c r="Y1427" s="6">
        <v>72.599999999999994</v>
      </c>
      <c r="Z1427" s="3">
        <v>2.15963519695002</v>
      </c>
      <c r="AB1427" s="16"/>
      <c r="AD1427" s="16"/>
      <c r="AE1427" s="1">
        <v>1</v>
      </c>
    </row>
    <row r="1428" spans="1:31" x14ac:dyDescent="0.2">
      <c r="A1428" s="1">
        <v>1427</v>
      </c>
      <c r="B1428" s="1">
        <v>2009</v>
      </c>
      <c r="C1428" s="1" t="s">
        <v>31</v>
      </c>
      <c r="D1428" s="1" t="s">
        <v>916</v>
      </c>
      <c r="E1428" s="8" t="s">
        <v>66</v>
      </c>
      <c r="F1428" s="1" t="s">
        <v>32</v>
      </c>
      <c r="H1428" s="1" t="s">
        <v>34</v>
      </c>
      <c r="I1428" s="12">
        <v>8.73</v>
      </c>
      <c r="J1428" s="7">
        <v>24.9</v>
      </c>
      <c r="K1428" s="1" t="s">
        <v>34</v>
      </c>
      <c r="L1428" s="14">
        <v>3732</v>
      </c>
      <c r="M1428" s="1" t="s">
        <v>34</v>
      </c>
      <c r="N1428" s="14">
        <v>32606</v>
      </c>
      <c r="O1428" s="13">
        <v>31.9</v>
      </c>
      <c r="P1428" s="13">
        <v>8.6999999999999993</v>
      </c>
      <c r="Q1428" s="13">
        <v>39.6</v>
      </c>
      <c r="R1428" s="13">
        <v>59.5</v>
      </c>
      <c r="S1428" s="13"/>
      <c r="T1428" s="15" t="s">
        <v>89</v>
      </c>
      <c r="U1428" s="13">
        <v>38.5</v>
      </c>
      <c r="V1428" s="13">
        <v>6</v>
      </c>
      <c r="W1428" s="12" t="s">
        <v>89</v>
      </c>
      <c r="X1428" s="15"/>
      <c r="Y1428" s="13">
        <v>76.900000000000006</v>
      </c>
      <c r="Z1428" s="7">
        <v>2.0499999999999998</v>
      </c>
      <c r="AB1428" s="16"/>
      <c r="AD1428" s="16"/>
      <c r="AE1428" s="1">
        <v>1</v>
      </c>
    </row>
    <row r="1429" spans="1:31" x14ac:dyDescent="0.2">
      <c r="A1429" s="1">
        <v>1428</v>
      </c>
      <c r="B1429" s="1">
        <v>2011</v>
      </c>
      <c r="C1429" s="1" t="s">
        <v>31</v>
      </c>
      <c r="D1429" s="1" t="s">
        <v>125</v>
      </c>
      <c r="E1429" s="1" t="s">
        <v>218</v>
      </c>
      <c r="F1429" s="1" t="s">
        <v>32</v>
      </c>
      <c r="I1429" s="12">
        <v>9.07</v>
      </c>
      <c r="J1429" s="12">
        <v>31.7</v>
      </c>
      <c r="K1429" s="1" t="s">
        <v>34</v>
      </c>
      <c r="L1429" s="16">
        <v>3732</v>
      </c>
      <c r="N1429" s="16">
        <v>33910</v>
      </c>
      <c r="O1429" s="15">
        <v>28.7</v>
      </c>
      <c r="P1429" s="15">
        <v>8</v>
      </c>
      <c r="Q1429" s="15">
        <v>40.799999999999997</v>
      </c>
      <c r="R1429" s="15">
        <v>64.3</v>
      </c>
      <c r="T1429" s="15"/>
      <c r="U1429" s="15">
        <v>38.5</v>
      </c>
      <c r="V1429" s="15">
        <v>4.5</v>
      </c>
      <c r="W1429" s="12"/>
      <c r="X1429" s="15"/>
      <c r="Y1429" s="15">
        <v>72.599999999999994</v>
      </c>
      <c r="Z1429" s="12">
        <v>2.37</v>
      </c>
      <c r="AB1429" s="16"/>
      <c r="AD1429" s="16"/>
      <c r="AE1429" s="1">
        <v>1</v>
      </c>
    </row>
    <row r="1430" spans="1:31" x14ac:dyDescent="0.2">
      <c r="A1430" s="1">
        <v>1429</v>
      </c>
      <c r="B1430" s="1">
        <v>2017</v>
      </c>
      <c r="C1430" s="1" t="s">
        <v>31</v>
      </c>
      <c r="D1430" s="8" t="s">
        <v>291</v>
      </c>
      <c r="E1430" s="8" t="s">
        <v>451</v>
      </c>
      <c r="F1430" s="1" t="s">
        <v>32</v>
      </c>
      <c r="G1430" s="8">
        <v>116</v>
      </c>
      <c r="I1430" s="12">
        <v>8.4749979799999995</v>
      </c>
      <c r="J1430" s="3">
        <v>24.214279900000001</v>
      </c>
      <c r="K1430" s="1" t="s">
        <v>34</v>
      </c>
      <c r="L1430" s="5">
        <v>3739</v>
      </c>
      <c r="N1430" s="5">
        <v>31687.6214</v>
      </c>
      <c r="O1430" s="6">
        <v>31.497923100000001</v>
      </c>
      <c r="P1430" s="6">
        <v>7.0875000000000004</v>
      </c>
      <c r="Q1430" s="6">
        <v>34.97</v>
      </c>
      <c r="R1430" s="6">
        <v>55.422499999999999</v>
      </c>
      <c r="S1430" s="3"/>
      <c r="T1430" s="6">
        <v>21.5075</v>
      </c>
      <c r="U1430" s="6">
        <v>41</v>
      </c>
      <c r="V1430" s="6">
        <v>3.2</v>
      </c>
      <c r="W1430" s="3">
        <v>0.81</v>
      </c>
      <c r="X1430" s="6"/>
      <c r="Y1430" s="6">
        <v>74.400000000000006</v>
      </c>
      <c r="Z1430" s="3">
        <v>1.64603831</v>
      </c>
      <c r="AB1430" s="16"/>
      <c r="AD1430" s="16"/>
      <c r="AE1430" s="1">
        <v>1</v>
      </c>
    </row>
    <row r="1431" spans="1:31" x14ac:dyDescent="0.2">
      <c r="A1431" s="1">
        <v>1430</v>
      </c>
      <c r="B1431" s="1">
        <v>2011</v>
      </c>
      <c r="C1431" s="1" t="s">
        <v>31</v>
      </c>
      <c r="D1431" s="1" t="s">
        <v>916</v>
      </c>
      <c r="E1431" s="1" t="s">
        <v>201</v>
      </c>
      <c r="F1431" s="1" t="s">
        <v>32</v>
      </c>
      <c r="H1431" s="1" t="s">
        <v>34</v>
      </c>
      <c r="I1431" s="12">
        <v>9.4700000000000006</v>
      </c>
      <c r="J1431" s="12">
        <v>31.5</v>
      </c>
      <c r="K1431" s="1" t="s">
        <v>34</v>
      </c>
      <c r="L1431" s="16">
        <v>3739</v>
      </c>
      <c r="N1431" s="16">
        <v>35420</v>
      </c>
      <c r="O1431" s="15">
        <v>28.3</v>
      </c>
      <c r="P1431" s="15">
        <v>7.8</v>
      </c>
      <c r="Q1431" s="15">
        <v>41.3</v>
      </c>
      <c r="R1431" s="15">
        <v>64.900000000000006</v>
      </c>
      <c r="T1431" s="15"/>
      <c r="U1431" s="15">
        <v>40.6</v>
      </c>
      <c r="V1431" s="15">
        <v>3.4</v>
      </c>
      <c r="W1431" s="12"/>
      <c r="X1431" s="15"/>
      <c r="Y1431" s="15">
        <v>72.7</v>
      </c>
      <c r="Z1431" s="12">
        <v>2.54</v>
      </c>
      <c r="AB1431" s="16"/>
      <c r="AD1431" s="16"/>
      <c r="AE1431" s="1">
        <v>1</v>
      </c>
    </row>
    <row r="1432" spans="1:31" x14ac:dyDescent="0.2">
      <c r="A1432" s="1">
        <v>1431</v>
      </c>
      <c r="B1432" s="1">
        <v>2011</v>
      </c>
      <c r="C1432" s="1" t="s">
        <v>31</v>
      </c>
      <c r="D1432" s="1" t="s">
        <v>33</v>
      </c>
      <c r="E1432" s="1" t="s">
        <v>104</v>
      </c>
      <c r="F1432" s="1" t="s">
        <v>32</v>
      </c>
      <c r="I1432" s="12">
        <v>9.07</v>
      </c>
      <c r="J1432" s="12">
        <v>28.3</v>
      </c>
      <c r="K1432" s="1" t="s">
        <v>34</v>
      </c>
      <c r="L1432" s="16">
        <v>3741</v>
      </c>
      <c r="N1432" s="16">
        <v>33965</v>
      </c>
      <c r="O1432" s="15">
        <v>25.5</v>
      </c>
      <c r="P1432" s="15">
        <v>7.6</v>
      </c>
      <c r="Q1432" s="15">
        <v>41</v>
      </c>
      <c r="R1432" s="15">
        <v>65.3</v>
      </c>
      <c r="T1432" s="15"/>
      <c r="U1432" s="15">
        <v>39.5</v>
      </c>
      <c r="V1432" s="15">
        <v>3.8</v>
      </c>
      <c r="W1432" s="12"/>
      <c r="X1432" s="15"/>
      <c r="Y1432" s="15">
        <v>72.599999999999994</v>
      </c>
      <c r="Z1432" s="12">
        <v>2.4300000000000002</v>
      </c>
      <c r="AB1432" s="16"/>
      <c r="AD1432" s="16"/>
      <c r="AE1432" s="1">
        <v>1</v>
      </c>
    </row>
    <row r="1433" spans="1:31" x14ac:dyDescent="0.2">
      <c r="A1433" s="1">
        <v>1432</v>
      </c>
      <c r="B1433" s="1">
        <v>2011</v>
      </c>
      <c r="C1433" s="1" t="s">
        <v>31</v>
      </c>
      <c r="D1433" s="1" t="s">
        <v>916</v>
      </c>
      <c r="E1433" s="1" t="s">
        <v>166</v>
      </c>
      <c r="F1433" s="1" t="s">
        <v>32</v>
      </c>
      <c r="I1433" s="12">
        <v>8.5399999999999991</v>
      </c>
      <c r="J1433" s="12">
        <v>29.7</v>
      </c>
      <c r="K1433" s="1" t="s">
        <v>34</v>
      </c>
      <c r="L1433" s="16">
        <v>3742</v>
      </c>
      <c r="N1433" s="16">
        <v>31927</v>
      </c>
      <c r="O1433" s="15">
        <v>26.8</v>
      </c>
      <c r="P1433" s="15">
        <v>7.6</v>
      </c>
      <c r="Q1433" s="15">
        <v>46</v>
      </c>
      <c r="R1433" s="15">
        <v>66.900000000000006</v>
      </c>
      <c r="T1433" s="15"/>
      <c r="U1433" s="15">
        <v>34.799999999999997</v>
      </c>
      <c r="V1433" s="15">
        <v>3.6</v>
      </c>
      <c r="W1433" s="12"/>
      <c r="X1433" s="15"/>
      <c r="Y1433" s="15">
        <v>72.5</v>
      </c>
      <c r="Z1433" s="12">
        <v>2.63</v>
      </c>
      <c r="AB1433" s="16"/>
      <c r="AD1433" s="16"/>
      <c r="AE1433" s="1">
        <v>1</v>
      </c>
    </row>
    <row r="1434" spans="1:31" ht="17" x14ac:dyDescent="0.2">
      <c r="A1434" s="1">
        <v>1433</v>
      </c>
      <c r="B1434" s="1">
        <v>2019</v>
      </c>
      <c r="C1434" s="1" t="s">
        <v>31</v>
      </c>
      <c r="D1434" s="1" t="s">
        <v>916</v>
      </c>
      <c r="E1434" s="9" t="s">
        <v>649</v>
      </c>
      <c r="F1434" s="1" t="s">
        <v>83</v>
      </c>
      <c r="G1434" s="9">
        <v>130</v>
      </c>
      <c r="H1434" s="1" t="s">
        <v>34</v>
      </c>
      <c r="I1434" s="12">
        <v>7.63</v>
      </c>
      <c r="J1434" s="3">
        <v>21.79</v>
      </c>
      <c r="L1434" s="5">
        <v>3744</v>
      </c>
      <c r="M1434" s="6" t="s">
        <v>34</v>
      </c>
      <c r="N1434" s="5">
        <v>28546.799999999999</v>
      </c>
      <c r="O1434" s="6">
        <v>37.657499999999999</v>
      </c>
      <c r="P1434" s="6">
        <v>10.02</v>
      </c>
      <c r="Q1434" s="6">
        <v>44.01</v>
      </c>
      <c r="R1434" s="6">
        <v>59.097499999999997</v>
      </c>
      <c r="S1434" s="3"/>
      <c r="T1434" s="6">
        <v>24.22</v>
      </c>
      <c r="U1434" s="6">
        <v>25.817499999999999</v>
      </c>
      <c r="V1434" s="6">
        <v>9.51</v>
      </c>
      <c r="W1434" s="3">
        <v>0.77650000000000008</v>
      </c>
      <c r="X1434" s="6"/>
      <c r="Y1434" s="6">
        <v>74.62</v>
      </c>
      <c r="Z1434" s="3">
        <v>1.99</v>
      </c>
      <c r="AB1434" s="16"/>
      <c r="AD1434" s="16"/>
      <c r="AE1434" s="1">
        <v>1</v>
      </c>
    </row>
    <row r="1435" spans="1:31" x14ac:dyDescent="0.2">
      <c r="A1435" s="1">
        <v>1434</v>
      </c>
      <c r="B1435" s="1">
        <v>2008</v>
      </c>
      <c r="C1435" s="1" t="s">
        <v>31</v>
      </c>
      <c r="D1435" s="8" t="s">
        <v>78</v>
      </c>
      <c r="E1435" s="8" t="s">
        <v>79</v>
      </c>
      <c r="F1435" s="8" t="s">
        <v>32</v>
      </c>
      <c r="G1435" s="8"/>
      <c r="H1435" s="8"/>
      <c r="I1435" s="12">
        <v>9.77</v>
      </c>
      <c r="J1435" s="7">
        <v>27.914285714285715</v>
      </c>
      <c r="K1435" s="13" t="s">
        <v>34</v>
      </c>
      <c r="L1435" s="14">
        <v>3745</v>
      </c>
      <c r="M1435" s="14" t="s">
        <v>34</v>
      </c>
      <c r="N1435" s="14">
        <v>36576</v>
      </c>
      <c r="O1435" s="13">
        <v>31.7</v>
      </c>
      <c r="P1435" s="13">
        <v>8.8000000000000007</v>
      </c>
      <c r="Q1435" s="13">
        <v>35.200000000000003</v>
      </c>
      <c r="R1435" s="13">
        <v>71</v>
      </c>
      <c r="S1435" s="13"/>
      <c r="T1435" s="13"/>
      <c r="U1435" s="13">
        <v>37.5</v>
      </c>
      <c r="V1435" s="13"/>
      <c r="W1435" s="13"/>
      <c r="X1435" s="15"/>
      <c r="Y1435" s="13">
        <v>77.8</v>
      </c>
      <c r="Z1435" s="7">
        <v>2.4300000000000002</v>
      </c>
      <c r="AB1435" s="16"/>
      <c r="AD1435" s="16"/>
      <c r="AE1435" s="1">
        <v>1</v>
      </c>
    </row>
    <row r="1436" spans="1:31" x14ac:dyDescent="0.2">
      <c r="A1436" s="1">
        <v>1435</v>
      </c>
      <c r="B1436" s="1">
        <v>2011</v>
      </c>
      <c r="C1436" s="1" t="s">
        <v>31</v>
      </c>
      <c r="D1436" s="1" t="s">
        <v>71</v>
      </c>
      <c r="E1436" s="1" t="s">
        <v>226</v>
      </c>
      <c r="F1436" s="1" t="s">
        <v>32</v>
      </c>
      <c r="I1436" s="12">
        <v>9.2899999999999991</v>
      </c>
      <c r="J1436" s="12">
        <v>29.9</v>
      </c>
      <c r="K1436" s="1" t="s">
        <v>34</v>
      </c>
      <c r="L1436" s="16">
        <v>3749</v>
      </c>
      <c r="N1436" s="16">
        <v>34904</v>
      </c>
      <c r="O1436" s="15">
        <v>27.1</v>
      </c>
      <c r="P1436" s="15">
        <v>8</v>
      </c>
      <c r="Q1436" s="15">
        <v>42</v>
      </c>
      <c r="R1436" s="15">
        <v>67.7</v>
      </c>
      <c r="T1436" s="15"/>
      <c r="U1436" s="15">
        <v>36.799999999999997</v>
      </c>
      <c r="V1436" s="15">
        <v>4.9000000000000004</v>
      </c>
      <c r="W1436" s="12"/>
      <c r="X1436" s="15"/>
      <c r="Y1436" s="15">
        <v>71.900000000000006</v>
      </c>
      <c r="Z1436" s="12">
        <v>2.63</v>
      </c>
      <c r="AB1436" s="16"/>
      <c r="AD1436" s="16"/>
      <c r="AE1436" s="1">
        <v>1</v>
      </c>
    </row>
    <row r="1437" spans="1:31" x14ac:dyDescent="0.2">
      <c r="A1437" s="1">
        <v>1436</v>
      </c>
      <c r="B1437" s="1">
        <v>2008</v>
      </c>
      <c r="C1437" s="1" t="s">
        <v>31</v>
      </c>
      <c r="D1437" s="28" t="s">
        <v>914</v>
      </c>
      <c r="E1437" s="8" t="s">
        <v>42</v>
      </c>
      <c r="F1437" s="8" t="s">
        <v>32</v>
      </c>
      <c r="G1437" s="8"/>
      <c r="H1437" s="8"/>
      <c r="I1437" s="12">
        <v>9.32</v>
      </c>
      <c r="J1437" s="7">
        <v>26.62857142857143</v>
      </c>
      <c r="K1437" s="13" t="s">
        <v>34</v>
      </c>
      <c r="L1437" s="14">
        <v>3752</v>
      </c>
      <c r="M1437" s="14"/>
      <c r="N1437" s="14">
        <v>34992</v>
      </c>
      <c r="O1437" s="13">
        <v>32.200000000000003</v>
      </c>
      <c r="P1437" s="13">
        <v>8.1999999999999993</v>
      </c>
      <c r="Q1437" s="13">
        <v>32.700000000000003</v>
      </c>
      <c r="R1437" s="13">
        <v>68.5</v>
      </c>
      <c r="S1437" s="13"/>
      <c r="T1437" s="13"/>
      <c r="U1437" s="13">
        <v>42.8</v>
      </c>
      <c r="V1437" s="13"/>
      <c r="W1437" s="13"/>
      <c r="X1437" s="15"/>
      <c r="Y1437" s="13">
        <v>77.400000000000006</v>
      </c>
      <c r="Z1437" s="7">
        <v>2.0299999999999998</v>
      </c>
      <c r="AB1437" s="16"/>
      <c r="AD1437" s="16"/>
      <c r="AE1437" s="1">
        <v>1</v>
      </c>
    </row>
    <row r="1438" spans="1:31" x14ac:dyDescent="0.2">
      <c r="A1438" s="1">
        <v>1437</v>
      </c>
      <c r="B1438" s="1">
        <v>2011</v>
      </c>
      <c r="C1438" s="1" t="s">
        <v>31</v>
      </c>
      <c r="D1438" s="1" t="s">
        <v>71</v>
      </c>
      <c r="E1438" s="1" t="s">
        <v>225</v>
      </c>
      <c r="F1438" s="1" t="s">
        <v>32</v>
      </c>
      <c r="H1438" s="1" t="s">
        <v>34</v>
      </c>
      <c r="I1438" s="12">
        <v>9.98</v>
      </c>
      <c r="J1438" s="12">
        <v>30.8</v>
      </c>
      <c r="K1438" s="1" t="s">
        <v>34</v>
      </c>
      <c r="L1438" s="16">
        <v>3754</v>
      </c>
      <c r="M1438" s="1" t="s">
        <v>34</v>
      </c>
      <c r="N1438" s="16">
        <v>37452</v>
      </c>
      <c r="O1438" s="15">
        <v>27.9</v>
      </c>
      <c r="P1438" s="15">
        <v>8.5</v>
      </c>
      <c r="Q1438" s="15">
        <v>40.9</v>
      </c>
      <c r="R1438" s="15">
        <v>65.099999999999994</v>
      </c>
      <c r="T1438" s="15"/>
      <c r="U1438" s="15">
        <v>38</v>
      </c>
      <c r="V1438" s="15">
        <v>4.5</v>
      </c>
      <c r="W1438" s="12"/>
      <c r="X1438" s="15"/>
      <c r="Y1438" s="15">
        <v>72.7</v>
      </c>
      <c r="Z1438" s="12">
        <v>2.66</v>
      </c>
      <c r="AB1438" s="16"/>
      <c r="AD1438" s="16"/>
      <c r="AE1438" s="1">
        <v>1</v>
      </c>
    </row>
    <row r="1439" spans="1:31" ht="17" x14ac:dyDescent="0.2">
      <c r="A1439" s="1">
        <v>1438</v>
      </c>
      <c r="B1439" s="1">
        <v>2019</v>
      </c>
      <c r="C1439" s="1" t="s">
        <v>31</v>
      </c>
      <c r="D1439" s="9" t="s">
        <v>391</v>
      </c>
      <c r="E1439" s="9" t="s">
        <v>703</v>
      </c>
      <c r="F1439" s="1" t="s">
        <v>83</v>
      </c>
      <c r="G1439" s="1">
        <v>115</v>
      </c>
      <c r="I1439" s="12">
        <v>3.7749999999999999</v>
      </c>
      <c r="J1439" s="3">
        <v>10.785</v>
      </c>
      <c r="L1439" s="5">
        <v>3755.75</v>
      </c>
      <c r="N1439" s="5">
        <v>14188.4</v>
      </c>
      <c r="O1439" s="6">
        <v>29.9725</v>
      </c>
      <c r="P1439" s="6">
        <v>8.5525000000000002</v>
      </c>
      <c r="Q1439" s="6">
        <v>32.322499999999998</v>
      </c>
      <c r="R1439" s="6">
        <v>60.752499999999998</v>
      </c>
      <c r="S1439" s="3"/>
      <c r="T1439" s="6">
        <v>18.190000000000001</v>
      </c>
      <c r="U1439" s="6">
        <v>46.13</v>
      </c>
      <c r="V1439" s="6">
        <v>7.1624999999999996</v>
      </c>
      <c r="W1439" s="3">
        <v>0.77262500000000001</v>
      </c>
      <c r="X1439" s="6"/>
      <c r="Y1439" s="6">
        <v>74.275000000000006</v>
      </c>
      <c r="Z1439" s="3">
        <v>0.73750000000000004</v>
      </c>
      <c r="AB1439" s="16"/>
      <c r="AD1439" s="16"/>
      <c r="AE1439" s="1">
        <v>1</v>
      </c>
    </row>
    <row r="1440" spans="1:31" x14ac:dyDescent="0.2">
      <c r="A1440" s="1">
        <v>1439</v>
      </c>
      <c r="B1440" s="1">
        <v>2008</v>
      </c>
      <c r="C1440" s="1" t="s">
        <v>31</v>
      </c>
      <c r="D1440" s="28" t="s">
        <v>914</v>
      </c>
      <c r="E1440" s="8" t="s">
        <v>69</v>
      </c>
      <c r="F1440" s="8" t="s">
        <v>32</v>
      </c>
      <c r="G1440" s="8"/>
      <c r="H1440" s="8"/>
      <c r="I1440" s="12">
        <v>8.91</v>
      </c>
      <c r="J1440" s="7">
        <v>25.457142857142859</v>
      </c>
      <c r="K1440" s="13" t="s">
        <v>34</v>
      </c>
      <c r="L1440" s="14">
        <v>3759</v>
      </c>
      <c r="M1440" s="14"/>
      <c r="N1440" s="14">
        <v>33492</v>
      </c>
      <c r="O1440" s="13">
        <v>32</v>
      </c>
      <c r="P1440" s="13">
        <v>8.9</v>
      </c>
      <c r="Q1440" s="13">
        <v>33.4</v>
      </c>
      <c r="R1440" s="13">
        <v>69.400000000000006</v>
      </c>
      <c r="S1440" s="13"/>
      <c r="T1440" s="13"/>
      <c r="U1440" s="13">
        <v>40.700000000000003</v>
      </c>
      <c r="V1440" s="13"/>
      <c r="W1440" s="13"/>
      <c r="X1440" s="15"/>
      <c r="Y1440" s="13">
        <v>77.8</v>
      </c>
      <c r="Z1440" s="7">
        <v>2.06</v>
      </c>
      <c r="AB1440" s="16"/>
      <c r="AD1440" s="16"/>
      <c r="AE1440" s="1">
        <v>1</v>
      </c>
    </row>
    <row r="1441" spans="1:31" ht="17" x14ac:dyDescent="0.2">
      <c r="A1441" s="1">
        <v>1440</v>
      </c>
      <c r="B1441" s="1">
        <v>2019</v>
      </c>
      <c r="C1441" s="1" t="s">
        <v>31</v>
      </c>
      <c r="D1441" s="9" t="s">
        <v>108</v>
      </c>
      <c r="E1441" s="9" t="s">
        <v>666</v>
      </c>
      <c r="F1441" s="1" t="s">
        <v>83</v>
      </c>
      <c r="G1441" s="1">
        <v>116</v>
      </c>
      <c r="I1441" s="12">
        <v>6.3</v>
      </c>
      <c r="J1441" s="3">
        <v>18</v>
      </c>
      <c r="L1441" s="5">
        <v>3761.5</v>
      </c>
      <c r="N1441" s="5">
        <v>23733.275000000001</v>
      </c>
      <c r="O1441" s="6">
        <v>37.445</v>
      </c>
      <c r="P1441" s="6">
        <v>8.8650000000000002</v>
      </c>
      <c r="Q1441" s="6">
        <v>31.445</v>
      </c>
      <c r="R1441" s="6">
        <v>64.09</v>
      </c>
      <c r="S1441" s="3"/>
      <c r="T1441" s="6">
        <v>17.1675</v>
      </c>
      <c r="U1441" s="6">
        <v>45.15</v>
      </c>
      <c r="V1441" s="6">
        <v>7.4874999999999998</v>
      </c>
      <c r="W1441" s="3">
        <v>0.76327500000000004</v>
      </c>
      <c r="X1441" s="6"/>
      <c r="Y1441" s="6">
        <v>73.44</v>
      </c>
      <c r="Z1441" s="3">
        <v>1.2649999999999999</v>
      </c>
      <c r="AB1441" s="16"/>
      <c r="AD1441" s="16"/>
      <c r="AE1441" s="1">
        <v>1</v>
      </c>
    </row>
    <row r="1442" spans="1:31" x14ac:dyDescent="0.2">
      <c r="A1442" s="1">
        <v>1441</v>
      </c>
      <c r="B1442" s="1">
        <v>2011</v>
      </c>
      <c r="C1442" s="1" t="s">
        <v>31</v>
      </c>
      <c r="D1442" s="1" t="s">
        <v>37</v>
      </c>
      <c r="E1442" s="1" t="s">
        <v>153</v>
      </c>
      <c r="F1442" s="1" t="s">
        <v>32</v>
      </c>
      <c r="I1442" s="12">
        <v>8.4499999999999993</v>
      </c>
      <c r="J1442" s="12">
        <v>24.1</v>
      </c>
      <c r="K1442" s="1" t="s">
        <v>34</v>
      </c>
      <c r="L1442" s="16">
        <v>3763</v>
      </c>
      <c r="N1442" s="16">
        <v>31755</v>
      </c>
      <c r="O1442" s="15">
        <v>31.3</v>
      </c>
      <c r="P1442" s="15">
        <v>8</v>
      </c>
      <c r="Q1442" s="15">
        <v>41.9</v>
      </c>
      <c r="R1442" s="15">
        <v>68</v>
      </c>
      <c r="T1442" s="15"/>
      <c r="U1442" s="15">
        <v>36.6</v>
      </c>
      <c r="V1442" s="15">
        <v>5.4</v>
      </c>
      <c r="W1442" s="12"/>
      <c r="X1442" s="15"/>
      <c r="Y1442" s="15">
        <v>72.400000000000006</v>
      </c>
      <c r="Z1442" s="12">
        <v>2.41</v>
      </c>
      <c r="AB1442" s="16"/>
      <c r="AD1442" s="16"/>
      <c r="AE1442" s="1">
        <v>1</v>
      </c>
    </row>
    <row r="1443" spans="1:31" x14ac:dyDescent="0.2">
      <c r="A1443" s="1">
        <v>1442</v>
      </c>
      <c r="B1443" s="1">
        <v>2011</v>
      </c>
      <c r="C1443" s="1" t="s">
        <v>31</v>
      </c>
      <c r="D1443" s="1" t="s">
        <v>54</v>
      </c>
      <c r="E1443" s="1" t="s">
        <v>200</v>
      </c>
      <c r="F1443" s="1" t="s">
        <v>32</v>
      </c>
      <c r="I1443" s="12">
        <v>8.8699999999999992</v>
      </c>
      <c r="J1443" s="12">
        <v>25.3</v>
      </c>
      <c r="K1443" s="1" t="s">
        <v>34</v>
      </c>
      <c r="L1443" s="16">
        <v>3764</v>
      </c>
      <c r="N1443" s="16">
        <v>33400</v>
      </c>
      <c r="O1443" s="15">
        <v>31.4</v>
      </c>
      <c r="P1443" s="15">
        <v>8</v>
      </c>
      <c r="Q1443" s="15">
        <v>40.200000000000003</v>
      </c>
      <c r="R1443" s="15">
        <v>65.599999999999994</v>
      </c>
      <c r="T1443" s="15"/>
      <c r="U1443" s="15">
        <v>39.1</v>
      </c>
      <c r="V1443" s="15">
        <v>4.2</v>
      </c>
      <c r="W1443" s="12"/>
      <c r="X1443" s="15"/>
      <c r="Y1443" s="15">
        <v>73.099999999999994</v>
      </c>
      <c r="Z1443" s="12">
        <v>2.34</v>
      </c>
      <c r="AB1443" s="16"/>
      <c r="AD1443" s="16"/>
      <c r="AE1443" s="1">
        <v>1</v>
      </c>
    </row>
    <row r="1444" spans="1:31" x14ac:dyDescent="0.2">
      <c r="A1444" s="1">
        <v>1443</v>
      </c>
      <c r="B1444" s="1">
        <v>2019</v>
      </c>
      <c r="C1444" s="1" t="s">
        <v>31</v>
      </c>
      <c r="D1444" s="1" t="s">
        <v>37</v>
      </c>
      <c r="E1444" s="1" t="s">
        <v>725</v>
      </c>
      <c r="F1444" s="1" t="s">
        <v>32</v>
      </c>
      <c r="G1444" s="1">
        <v>114</v>
      </c>
      <c r="H1444" s="1" t="s">
        <v>34</v>
      </c>
      <c r="I1444" s="12">
        <v>9.8000000000000007</v>
      </c>
      <c r="J1444" s="7">
        <v>28</v>
      </c>
      <c r="K1444" s="1" t="s">
        <v>34</v>
      </c>
      <c r="L1444" s="5">
        <v>3769</v>
      </c>
      <c r="M1444" s="1" t="s">
        <v>34</v>
      </c>
      <c r="N1444" s="5">
        <v>36918.800000000003</v>
      </c>
      <c r="O1444" s="6">
        <v>32.462499999999999</v>
      </c>
      <c r="P1444" s="6">
        <v>9.5</v>
      </c>
      <c r="Q1444" s="6">
        <v>37.192500000000003</v>
      </c>
      <c r="R1444" s="6">
        <v>64.400000000000006</v>
      </c>
      <c r="S1444" s="3"/>
      <c r="T1444" s="6">
        <v>20.81</v>
      </c>
      <c r="U1444" s="6">
        <v>35.75</v>
      </c>
      <c r="V1444" s="6">
        <v>8.8475000000000001</v>
      </c>
      <c r="W1444" s="3">
        <v>0.75599999999999989</v>
      </c>
      <c r="X1444" s="6"/>
      <c r="Y1444" s="6">
        <v>72.8</v>
      </c>
      <c r="Z1444" s="3">
        <v>2.34</v>
      </c>
      <c r="AB1444" s="16"/>
      <c r="AD1444" s="16"/>
      <c r="AE1444" s="1">
        <v>1</v>
      </c>
    </row>
    <row r="1445" spans="1:31" x14ac:dyDescent="0.2">
      <c r="A1445" s="1">
        <v>1444</v>
      </c>
      <c r="B1445" s="1">
        <v>2019</v>
      </c>
      <c r="C1445" s="1" t="s">
        <v>31</v>
      </c>
      <c r="D1445" s="1" t="s">
        <v>37</v>
      </c>
      <c r="E1445" s="1" t="s">
        <v>620</v>
      </c>
      <c r="F1445" s="1" t="s">
        <v>32</v>
      </c>
      <c r="G1445" s="1">
        <v>116</v>
      </c>
      <c r="H1445" s="1" t="s">
        <v>34</v>
      </c>
      <c r="I1445" s="12">
        <v>9.8000000000000007</v>
      </c>
      <c r="J1445" s="7">
        <v>28.1</v>
      </c>
      <c r="K1445" s="1" t="s">
        <v>34</v>
      </c>
      <c r="L1445" s="5">
        <v>3769</v>
      </c>
      <c r="M1445" s="1" t="s">
        <v>34</v>
      </c>
      <c r="N1445" s="5">
        <v>37089.699999999997</v>
      </c>
      <c r="O1445" s="6">
        <v>33.642499999999998</v>
      </c>
      <c r="P1445" s="6">
        <v>8.9700000000000006</v>
      </c>
      <c r="Q1445" s="6">
        <v>36.717500000000001</v>
      </c>
      <c r="R1445" s="6">
        <v>61.44</v>
      </c>
      <c r="S1445" s="3"/>
      <c r="T1445" s="6">
        <v>20.83</v>
      </c>
      <c r="U1445" s="6">
        <v>38.577500000000001</v>
      </c>
      <c r="V1445" s="6">
        <v>8.2899999999999991</v>
      </c>
      <c r="W1445" s="3">
        <v>0.7609999999999999</v>
      </c>
      <c r="X1445" s="6"/>
      <c r="Y1445" s="6">
        <v>73.2</v>
      </c>
      <c r="Z1445" s="3">
        <v>2.22951880031134</v>
      </c>
      <c r="AB1445" s="16"/>
      <c r="AD1445" s="16"/>
      <c r="AE1445" s="1">
        <v>1</v>
      </c>
    </row>
    <row r="1446" spans="1:31" x14ac:dyDescent="0.2">
      <c r="A1446" s="1">
        <v>1445</v>
      </c>
      <c r="B1446" s="1">
        <v>2010</v>
      </c>
      <c r="C1446" s="1" t="s">
        <v>31</v>
      </c>
      <c r="D1446" s="1" t="s">
        <v>805</v>
      </c>
      <c r="E1446" s="8" t="s">
        <v>167</v>
      </c>
      <c r="F1446" s="1" t="s">
        <v>32</v>
      </c>
      <c r="I1446" s="12">
        <v>8.5</v>
      </c>
      <c r="J1446" s="7">
        <v>24.285714285714299</v>
      </c>
      <c r="K1446" s="1" t="s">
        <v>34</v>
      </c>
      <c r="L1446" s="14">
        <v>3771</v>
      </c>
      <c r="N1446" s="14">
        <v>32045</v>
      </c>
      <c r="O1446" s="13">
        <v>32.299999999999997</v>
      </c>
      <c r="P1446" s="13">
        <v>10.3</v>
      </c>
      <c r="Q1446" s="13">
        <v>36.6</v>
      </c>
      <c r="R1446" s="13">
        <v>61.9</v>
      </c>
      <c r="S1446" s="13"/>
      <c r="T1446" s="15"/>
      <c r="U1446" s="13">
        <v>41.9</v>
      </c>
      <c r="V1446" s="13">
        <v>5.9</v>
      </c>
      <c r="W1446" s="12"/>
      <c r="X1446" s="15"/>
      <c r="Y1446" s="13">
        <v>74.2</v>
      </c>
      <c r="Z1446" s="7">
        <v>1.92</v>
      </c>
      <c r="AB1446" s="16"/>
      <c r="AD1446" s="16"/>
      <c r="AE1446" s="1">
        <v>1</v>
      </c>
    </row>
    <row r="1447" spans="1:31" ht="17" x14ac:dyDescent="0.2">
      <c r="A1447" s="1">
        <v>1446</v>
      </c>
      <c r="B1447" s="1">
        <v>2019</v>
      </c>
      <c r="C1447" s="1" t="s">
        <v>31</v>
      </c>
      <c r="D1447" s="9" t="s">
        <v>391</v>
      </c>
      <c r="E1447" s="9" t="s">
        <v>702</v>
      </c>
      <c r="F1447" s="1" t="s">
        <v>83</v>
      </c>
      <c r="G1447" s="1">
        <v>114</v>
      </c>
      <c r="I1447" s="12">
        <v>6.5750000000000002</v>
      </c>
      <c r="J1447" s="3">
        <v>18.785</v>
      </c>
      <c r="L1447" s="5">
        <v>3771.75</v>
      </c>
      <c r="N1447" s="5">
        <v>24758.5</v>
      </c>
      <c r="O1447" s="6">
        <v>38.545000000000002</v>
      </c>
      <c r="P1447" s="6">
        <v>9.4949999999999992</v>
      </c>
      <c r="Q1447" s="6">
        <v>34.01</v>
      </c>
      <c r="R1447" s="6">
        <v>64.41</v>
      </c>
      <c r="S1447" s="3"/>
      <c r="T1447" s="6">
        <v>18.399999999999999</v>
      </c>
      <c r="U1447" s="6">
        <v>41.192500000000003</v>
      </c>
      <c r="V1447" s="6">
        <v>7.3624999999999998</v>
      </c>
      <c r="W1447" s="3">
        <v>0.77900000000000003</v>
      </c>
      <c r="X1447" s="6"/>
      <c r="Y1447" s="6">
        <v>74.849999999999994</v>
      </c>
      <c r="Z1447" s="3">
        <v>1.44</v>
      </c>
      <c r="AB1447" s="16"/>
      <c r="AD1447" s="16"/>
      <c r="AE1447" s="1">
        <v>1</v>
      </c>
    </row>
    <row r="1448" spans="1:31" x14ac:dyDescent="0.2">
      <c r="A1448" s="1">
        <v>1447</v>
      </c>
      <c r="B1448" s="1">
        <v>2019</v>
      </c>
      <c r="C1448" s="1" t="s">
        <v>31</v>
      </c>
      <c r="D1448" s="1" t="s">
        <v>700</v>
      </c>
      <c r="E1448" s="1" t="s">
        <v>702</v>
      </c>
      <c r="F1448" s="1" t="s">
        <v>32</v>
      </c>
      <c r="G1448" s="1">
        <v>114</v>
      </c>
      <c r="H1448" s="1" t="s">
        <v>34</v>
      </c>
      <c r="I1448" s="12">
        <v>9.8000000000000007</v>
      </c>
      <c r="J1448" s="7">
        <v>27.9</v>
      </c>
      <c r="K1448" s="1" t="s">
        <v>34</v>
      </c>
      <c r="L1448" s="5">
        <v>3772</v>
      </c>
      <c r="M1448" s="1" t="s">
        <v>34</v>
      </c>
      <c r="N1448" s="5">
        <v>36820</v>
      </c>
      <c r="O1448" s="6">
        <v>33.227499999999999</v>
      </c>
      <c r="P1448" s="6">
        <v>9.5</v>
      </c>
      <c r="Q1448" s="6">
        <v>37.774999999999999</v>
      </c>
      <c r="R1448" s="6">
        <v>64.2</v>
      </c>
      <c r="S1448" s="3"/>
      <c r="T1448" s="6">
        <v>21.1525</v>
      </c>
      <c r="U1448" s="6">
        <v>36.592500000000001</v>
      </c>
      <c r="V1448" s="6">
        <v>8.14</v>
      </c>
      <c r="W1448" s="3">
        <v>0.75297499999999995</v>
      </c>
      <c r="X1448" s="6"/>
      <c r="Y1448" s="6">
        <v>72.512500000000003</v>
      </c>
      <c r="Z1448" s="3">
        <v>2.3661884191109701</v>
      </c>
      <c r="AB1448" s="16"/>
      <c r="AD1448" s="16"/>
      <c r="AE1448" s="1">
        <v>1</v>
      </c>
    </row>
    <row r="1449" spans="1:31" x14ac:dyDescent="0.2">
      <c r="A1449" s="1">
        <v>1448</v>
      </c>
      <c r="B1449" s="1">
        <v>2019</v>
      </c>
      <c r="C1449" s="1" t="s">
        <v>31</v>
      </c>
      <c r="D1449" s="1" t="s">
        <v>108</v>
      </c>
      <c r="E1449" s="1" t="s">
        <v>718</v>
      </c>
      <c r="F1449" s="1" t="s">
        <v>32</v>
      </c>
      <c r="G1449" s="1">
        <v>115</v>
      </c>
      <c r="H1449" s="1" t="s">
        <v>34</v>
      </c>
      <c r="I1449" s="12">
        <v>10.1</v>
      </c>
      <c r="J1449" s="7">
        <v>28.9</v>
      </c>
      <c r="K1449" s="1" t="s">
        <v>34</v>
      </c>
      <c r="L1449" s="5">
        <v>3773.2</v>
      </c>
      <c r="M1449" s="1" t="s">
        <v>34</v>
      </c>
      <c r="N1449" s="5">
        <v>38196.6</v>
      </c>
      <c r="O1449" s="6">
        <v>38.152500000000003</v>
      </c>
      <c r="P1449" s="6">
        <v>8.3550000000000004</v>
      </c>
      <c r="Q1449" s="6">
        <v>34.232500000000002</v>
      </c>
      <c r="R1449" s="6">
        <v>61.107500000000002</v>
      </c>
      <c r="S1449" s="3"/>
      <c r="T1449" s="6">
        <v>19.237500000000001</v>
      </c>
      <c r="U1449" s="6">
        <v>43.4</v>
      </c>
      <c r="V1449" s="6">
        <v>7.7474999999999996</v>
      </c>
      <c r="W1449" s="3">
        <v>0.77500000000000002</v>
      </c>
      <c r="X1449" s="6"/>
      <c r="Y1449" s="6">
        <v>74.5</v>
      </c>
      <c r="Z1449" s="3">
        <v>2.1131899511855599</v>
      </c>
      <c r="AB1449" s="16"/>
      <c r="AD1449" s="16"/>
      <c r="AE1449" s="1">
        <v>1</v>
      </c>
    </row>
    <row r="1450" spans="1:31" x14ac:dyDescent="0.2">
      <c r="A1450" s="1">
        <v>1449</v>
      </c>
      <c r="B1450" s="1">
        <v>2011</v>
      </c>
      <c r="C1450" s="1" t="s">
        <v>31</v>
      </c>
      <c r="D1450" s="1" t="s">
        <v>916</v>
      </c>
      <c r="E1450" s="1" t="s">
        <v>166</v>
      </c>
      <c r="F1450" s="1" t="s">
        <v>83</v>
      </c>
      <c r="H1450" s="1" t="s">
        <v>34</v>
      </c>
      <c r="I1450" s="12">
        <v>7.51</v>
      </c>
      <c r="J1450" s="12">
        <v>21.5</v>
      </c>
      <c r="K1450" s="1" t="s">
        <v>34</v>
      </c>
      <c r="L1450" s="16">
        <v>3775</v>
      </c>
      <c r="M1450" s="1" t="s">
        <v>34</v>
      </c>
      <c r="N1450" s="16">
        <v>28340</v>
      </c>
      <c r="O1450" s="15">
        <v>34.700000000000003</v>
      </c>
      <c r="P1450" s="15">
        <v>7.6</v>
      </c>
      <c r="Q1450" s="15">
        <v>38.700000000000003</v>
      </c>
      <c r="R1450" s="15">
        <v>63.1</v>
      </c>
      <c r="T1450" s="15"/>
      <c r="U1450" s="15">
        <v>40.1</v>
      </c>
      <c r="V1450" s="15">
        <v>4.8</v>
      </c>
      <c r="W1450" s="12"/>
      <c r="X1450" s="15"/>
      <c r="Y1450" s="15">
        <v>74.900000000000006</v>
      </c>
      <c r="Z1450" s="12">
        <v>1.91</v>
      </c>
      <c r="AB1450" s="16"/>
      <c r="AD1450" s="16"/>
      <c r="AE1450" s="1">
        <v>1</v>
      </c>
    </row>
    <row r="1451" spans="1:31" x14ac:dyDescent="0.2">
      <c r="A1451" s="1">
        <v>1450</v>
      </c>
      <c r="B1451" s="1">
        <v>2011</v>
      </c>
      <c r="C1451" s="1" t="s">
        <v>31</v>
      </c>
      <c r="D1451" s="1" t="s">
        <v>125</v>
      </c>
      <c r="E1451" s="1" t="s">
        <v>216</v>
      </c>
      <c r="F1451" s="1" t="s">
        <v>32</v>
      </c>
      <c r="I1451" s="12">
        <v>8.52</v>
      </c>
      <c r="J1451" s="12">
        <v>31.9</v>
      </c>
      <c r="K1451" s="1" t="s">
        <v>34</v>
      </c>
      <c r="L1451" s="16">
        <v>3775</v>
      </c>
      <c r="N1451" s="16">
        <v>32182</v>
      </c>
      <c r="O1451" s="15">
        <v>28.4</v>
      </c>
      <c r="P1451" s="15">
        <v>8.1999999999999993</v>
      </c>
      <c r="Q1451" s="15">
        <v>40.700000000000003</v>
      </c>
      <c r="R1451" s="15">
        <v>64.599999999999994</v>
      </c>
      <c r="T1451" s="15"/>
      <c r="U1451" s="15">
        <v>40.200000000000003</v>
      </c>
      <c r="V1451" s="15">
        <v>4.3</v>
      </c>
      <c r="W1451" s="12"/>
      <c r="X1451" s="15"/>
      <c r="Y1451" s="15">
        <v>73.2</v>
      </c>
      <c r="Z1451" s="12">
        <v>2.2400000000000002</v>
      </c>
      <c r="AB1451" s="16"/>
      <c r="AD1451" s="16"/>
      <c r="AE1451" s="1">
        <v>1</v>
      </c>
    </row>
    <row r="1452" spans="1:31" x14ac:dyDescent="0.2">
      <c r="A1452" s="1">
        <v>1451</v>
      </c>
      <c r="B1452" s="1">
        <v>2012</v>
      </c>
      <c r="C1452" s="1" t="s">
        <v>31</v>
      </c>
      <c r="D1452" s="1" t="s">
        <v>37</v>
      </c>
      <c r="E1452" s="1" t="s">
        <v>290</v>
      </c>
      <c r="F1452" s="1" t="s">
        <v>32</v>
      </c>
      <c r="I1452" s="12">
        <v>8.4</v>
      </c>
      <c r="J1452" s="12">
        <v>24</v>
      </c>
      <c r="K1452" s="1" t="s">
        <v>34</v>
      </c>
      <c r="L1452" s="16">
        <v>3776</v>
      </c>
      <c r="N1452" s="16">
        <v>31709</v>
      </c>
      <c r="O1452" s="15">
        <v>30.2</v>
      </c>
      <c r="P1452" s="15">
        <v>7.6</v>
      </c>
      <c r="Q1452" s="15">
        <v>40.200000000000003</v>
      </c>
      <c r="R1452" s="15">
        <v>65.7</v>
      </c>
      <c r="T1452" s="15"/>
      <c r="U1452" s="15">
        <v>37.5</v>
      </c>
      <c r="V1452" s="15">
        <v>6</v>
      </c>
      <c r="W1452" s="12">
        <v>0.76</v>
      </c>
      <c r="X1452" s="15"/>
      <c r="Y1452" s="15"/>
      <c r="Z1452" s="12">
        <v>2.2200000000000002</v>
      </c>
      <c r="AB1452" s="16"/>
      <c r="AD1452" s="16"/>
      <c r="AE1452" s="1">
        <v>1</v>
      </c>
    </row>
    <row r="1453" spans="1:31" x14ac:dyDescent="0.2">
      <c r="A1453" s="1">
        <v>1452</v>
      </c>
      <c r="B1453" s="1">
        <v>2012</v>
      </c>
      <c r="C1453" s="1" t="s">
        <v>31</v>
      </c>
      <c r="D1453" s="1" t="s">
        <v>805</v>
      </c>
      <c r="E1453" s="1" t="s">
        <v>269</v>
      </c>
      <c r="F1453" s="1" t="s">
        <v>32</v>
      </c>
      <c r="I1453" s="12">
        <v>7.78</v>
      </c>
      <c r="J1453" s="12">
        <v>22.2</v>
      </c>
      <c r="K1453" s="1" t="s">
        <v>34</v>
      </c>
      <c r="L1453" s="16">
        <v>3777</v>
      </c>
      <c r="N1453" s="16">
        <v>29364</v>
      </c>
      <c r="O1453" s="15">
        <v>31.2</v>
      </c>
      <c r="P1453" s="15">
        <v>7.9</v>
      </c>
      <c r="Q1453" s="15">
        <v>39.200000000000003</v>
      </c>
      <c r="R1453" s="15">
        <v>65.2</v>
      </c>
      <c r="T1453" s="15"/>
      <c r="U1453" s="15">
        <v>39.700000000000003</v>
      </c>
      <c r="V1453" s="15">
        <v>4.9000000000000004</v>
      </c>
      <c r="W1453" s="12">
        <v>0.76</v>
      </c>
      <c r="X1453" s="15"/>
      <c r="Y1453" s="15"/>
      <c r="Z1453" s="12">
        <v>1.99</v>
      </c>
      <c r="AB1453" s="16"/>
      <c r="AD1453" s="16"/>
      <c r="AE1453" s="1">
        <v>1</v>
      </c>
    </row>
    <row r="1454" spans="1:31" x14ac:dyDescent="0.2">
      <c r="A1454" s="1">
        <v>1453</v>
      </c>
      <c r="B1454" s="1">
        <v>2012</v>
      </c>
      <c r="C1454" s="1" t="s">
        <v>31</v>
      </c>
      <c r="D1454" s="1" t="s">
        <v>125</v>
      </c>
      <c r="E1454" s="1" t="s">
        <v>265</v>
      </c>
      <c r="F1454" s="1" t="s">
        <v>32</v>
      </c>
      <c r="I1454" s="12">
        <v>9</v>
      </c>
      <c r="J1454" s="12">
        <v>25.7</v>
      </c>
      <c r="K1454" s="1" t="s">
        <v>34</v>
      </c>
      <c r="L1454" s="16">
        <v>3777</v>
      </c>
      <c r="N1454" s="16">
        <v>33988</v>
      </c>
      <c r="O1454" s="15">
        <v>30.9</v>
      </c>
      <c r="P1454" s="15">
        <v>7.7</v>
      </c>
      <c r="Q1454" s="15">
        <v>40.1</v>
      </c>
      <c r="R1454" s="15">
        <v>66.3</v>
      </c>
      <c r="T1454" s="15"/>
      <c r="U1454" s="15">
        <v>38.6</v>
      </c>
      <c r="V1454" s="15">
        <v>6.2</v>
      </c>
      <c r="W1454" s="12">
        <v>0.76</v>
      </c>
      <c r="X1454" s="15"/>
      <c r="Y1454" s="15"/>
      <c r="Z1454" s="12">
        <v>2.39</v>
      </c>
      <c r="AB1454" s="16"/>
      <c r="AD1454" s="16"/>
      <c r="AE1454" s="1">
        <v>1</v>
      </c>
    </row>
    <row r="1455" spans="1:31" x14ac:dyDescent="0.2">
      <c r="A1455" s="1">
        <v>1454</v>
      </c>
      <c r="B1455" s="1">
        <v>2019</v>
      </c>
      <c r="C1455" s="1" t="s">
        <v>31</v>
      </c>
      <c r="D1455" s="1" t="s">
        <v>805</v>
      </c>
      <c r="E1455" s="1" t="s">
        <v>715</v>
      </c>
      <c r="F1455" s="1" t="s">
        <v>32</v>
      </c>
      <c r="I1455" s="12">
        <v>8.9</v>
      </c>
      <c r="J1455" s="7">
        <v>25.6</v>
      </c>
      <c r="K1455" s="1" t="s">
        <v>34</v>
      </c>
      <c r="L1455" s="5">
        <v>3778.7</v>
      </c>
      <c r="N1455" s="5">
        <v>33795.293219664898</v>
      </c>
      <c r="O1455" s="6">
        <v>33.58</v>
      </c>
      <c r="P1455" s="6">
        <v>9.6</v>
      </c>
      <c r="Q1455" s="6">
        <v>37.3125</v>
      </c>
      <c r="R1455" s="6">
        <v>62.9</v>
      </c>
      <c r="S1455" s="3"/>
      <c r="T1455" s="6">
        <v>20.887499999999999</v>
      </c>
      <c r="U1455" s="6">
        <v>36.795000000000002</v>
      </c>
      <c r="V1455" s="6">
        <v>7.7975000000000003</v>
      </c>
      <c r="W1455" s="3">
        <v>0.755</v>
      </c>
      <c r="X1455" s="6"/>
      <c r="Y1455" s="6">
        <v>72.7</v>
      </c>
      <c r="Z1455" s="3">
        <v>2.0958648030000799</v>
      </c>
      <c r="AB1455" s="16"/>
      <c r="AD1455" s="16"/>
      <c r="AE1455" s="1">
        <v>1</v>
      </c>
    </row>
    <row r="1456" spans="1:31" x14ac:dyDescent="0.2">
      <c r="A1456" s="1">
        <v>1455</v>
      </c>
      <c r="B1456" s="1">
        <v>2008</v>
      </c>
      <c r="C1456" s="1" t="s">
        <v>31</v>
      </c>
      <c r="D1456" s="8" t="s">
        <v>78</v>
      </c>
      <c r="E1456" s="8" t="s">
        <v>80</v>
      </c>
      <c r="F1456" s="8" t="s">
        <v>32</v>
      </c>
      <c r="G1456" s="8"/>
      <c r="H1456" s="8"/>
      <c r="I1456" s="12">
        <v>9.91</v>
      </c>
      <c r="J1456" s="7">
        <v>28.314285714285717</v>
      </c>
      <c r="K1456" s="13" t="s">
        <v>34</v>
      </c>
      <c r="L1456" s="14">
        <v>3780</v>
      </c>
      <c r="M1456" s="14" t="s">
        <v>34</v>
      </c>
      <c r="N1456" s="14">
        <v>37438</v>
      </c>
      <c r="O1456" s="13">
        <v>31.9</v>
      </c>
      <c r="P1456" s="13">
        <v>9.1999999999999993</v>
      </c>
      <c r="Q1456" s="13">
        <v>29.1</v>
      </c>
      <c r="R1456" s="13">
        <v>71.599999999999994</v>
      </c>
      <c r="S1456" s="13"/>
      <c r="T1456" s="13"/>
      <c r="U1456" s="13">
        <v>44.3</v>
      </c>
      <c r="V1456" s="13"/>
      <c r="W1456" s="13"/>
      <c r="X1456" s="15"/>
      <c r="Y1456" s="13">
        <v>78</v>
      </c>
      <c r="Z1456" s="7">
        <v>2.08</v>
      </c>
      <c r="AB1456" s="16"/>
      <c r="AD1456" s="16"/>
      <c r="AE1456" s="1">
        <v>1</v>
      </c>
    </row>
    <row r="1457" spans="1:31" x14ac:dyDescent="0.2">
      <c r="A1457" s="1">
        <v>1456</v>
      </c>
      <c r="B1457" s="1">
        <v>2008</v>
      </c>
      <c r="C1457" s="1" t="s">
        <v>31</v>
      </c>
      <c r="D1457" s="8" t="s">
        <v>33</v>
      </c>
      <c r="E1457" s="8">
        <v>3515</v>
      </c>
      <c r="F1457" s="8" t="s">
        <v>32</v>
      </c>
      <c r="G1457" s="8"/>
      <c r="H1457" s="8"/>
      <c r="I1457" s="12">
        <v>9.3699999999999992</v>
      </c>
      <c r="J1457" s="7">
        <v>26.771428571428572</v>
      </c>
      <c r="K1457" s="13" t="s">
        <v>34</v>
      </c>
      <c r="L1457" s="14">
        <v>3782</v>
      </c>
      <c r="M1457" s="8"/>
      <c r="N1457" s="14">
        <v>35455</v>
      </c>
      <c r="O1457" s="13">
        <v>34.4</v>
      </c>
      <c r="P1457" s="13">
        <v>8.6999999999999993</v>
      </c>
      <c r="Q1457" s="13">
        <v>27.8</v>
      </c>
      <c r="R1457" s="13">
        <v>73.5</v>
      </c>
      <c r="S1457" s="13"/>
      <c r="T1457" s="13"/>
      <c r="U1457" s="13">
        <v>45.8</v>
      </c>
      <c r="V1457" s="13"/>
      <c r="W1457" s="13"/>
      <c r="X1457" s="15"/>
      <c r="Y1457" s="13">
        <v>78</v>
      </c>
      <c r="Z1457" s="7">
        <v>1.9</v>
      </c>
      <c r="AB1457" s="16"/>
      <c r="AD1457" s="16"/>
      <c r="AE1457" s="1">
        <v>1</v>
      </c>
    </row>
    <row r="1458" spans="1:31" ht="17" x14ac:dyDescent="0.2">
      <c r="A1458" s="1">
        <v>1457</v>
      </c>
      <c r="B1458" s="1">
        <v>2019</v>
      </c>
      <c r="C1458" s="1" t="s">
        <v>31</v>
      </c>
      <c r="D1458" s="9" t="s">
        <v>37</v>
      </c>
      <c r="E1458" s="9" t="s">
        <v>725</v>
      </c>
      <c r="F1458" s="1" t="s">
        <v>83</v>
      </c>
      <c r="G1458" s="1">
        <v>114</v>
      </c>
      <c r="I1458" s="12">
        <v>6.7249999999999996</v>
      </c>
      <c r="J1458" s="3">
        <v>19.215</v>
      </c>
      <c r="L1458" s="5">
        <v>3783.5</v>
      </c>
      <c r="N1458" s="5">
        <v>25418.95</v>
      </c>
      <c r="O1458" s="6">
        <v>35.435000000000002</v>
      </c>
      <c r="P1458" s="6">
        <v>9.4574999999999996</v>
      </c>
      <c r="Q1458" s="6">
        <v>31.997499999999999</v>
      </c>
      <c r="R1458" s="6">
        <v>66.25</v>
      </c>
      <c r="S1458" s="3"/>
      <c r="T1458" s="6">
        <v>17.434999999999999</v>
      </c>
      <c r="U1458" s="6">
        <v>41.3675</v>
      </c>
      <c r="V1458" s="6">
        <v>7.63</v>
      </c>
      <c r="W1458" s="3">
        <v>0.77112499999999995</v>
      </c>
      <c r="X1458" s="6"/>
      <c r="Y1458" s="6">
        <v>74.14</v>
      </c>
      <c r="Z1458" s="3">
        <v>1.4225000000000001</v>
      </c>
      <c r="AB1458" s="16"/>
      <c r="AD1458" s="16"/>
      <c r="AE1458" s="1">
        <v>1</v>
      </c>
    </row>
    <row r="1459" spans="1:31" x14ac:dyDescent="0.2">
      <c r="A1459" s="1">
        <v>1458</v>
      </c>
      <c r="B1459" s="1">
        <v>2011</v>
      </c>
      <c r="C1459" s="1" t="s">
        <v>31</v>
      </c>
      <c r="D1459" s="1" t="s">
        <v>108</v>
      </c>
      <c r="E1459" s="1" t="s">
        <v>113</v>
      </c>
      <c r="F1459" s="1" t="s">
        <v>32</v>
      </c>
      <c r="H1459" s="1" t="s">
        <v>34</v>
      </c>
      <c r="I1459" s="12">
        <v>9.59</v>
      </c>
      <c r="J1459" s="12">
        <v>36.1</v>
      </c>
      <c r="K1459" s="1" t="s">
        <v>34</v>
      </c>
      <c r="L1459" s="16">
        <v>3787</v>
      </c>
      <c r="M1459" s="1" t="s">
        <v>34</v>
      </c>
      <c r="N1459" s="16">
        <v>36315</v>
      </c>
      <c r="O1459" s="15">
        <v>32.200000000000003</v>
      </c>
      <c r="P1459" s="15">
        <v>8</v>
      </c>
      <c r="Q1459" s="15">
        <v>39.4</v>
      </c>
      <c r="R1459" s="15">
        <v>66.599999999999994</v>
      </c>
      <c r="T1459" s="15"/>
      <c r="U1459" s="15">
        <v>40.5</v>
      </c>
      <c r="V1459" s="15">
        <v>4.8</v>
      </c>
      <c r="W1459" s="12"/>
      <c r="X1459" s="15"/>
      <c r="Y1459" s="15">
        <v>73.2</v>
      </c>
      <c r="Z1459" s="12">
        <v>2.52</v>
      </c>
      <c r="AB1459" s="16"/>
      <c r="AD1459" s="16"/>
      <c r="AE1459" s="1">
        <v>1</v>
      </c>
    </row>
    <row r="1460" spans="1:31" x14ac:dyDescent="0.2">
      <c r="A1460" s="1">
        <v>1459</v>
      </c>
      <c r="B1460" s="1">
        <v>2011</v>
      </c>
      <c r="C1460" s="1" t="s">
        <v>31</v>
      </c>
      <c r="D1460" s="1" t="s">
        <v>37</v>
      </c>
      <c r="E1460" s="1" t="s">
        <v>220</v>
      </c>
      <c r="F1460" s="1" t="s">
        <v>32</v>
      </c>
      <c r="H1460" s="1" t="s">
        <v>34</v>
      </c>
      <c r="I1460" s="12">
        <v>9.93</v>
      </c>
      <c r="J1460" s="12">
        <v>28.4</v>
      </c>
      <c r="K1460" s="1" t="s">
        <v>34</v>
      </c>
      <c r="L1460" s="16">
        <v>3791</v>
      </c>
      <c r="M1460" s="1" t="s">
        <v>34</v>
      </c>
      <c r="N1460" s="16">
        <v>37651</v>
      </c>
      <c r="O1460" s="15">
        <v>31.3</v>
      </c>
      <c r="P1460" s="15">
        <v>7.9</v>
      </c>
      <c r="Q1460" s="15">
        <v>40.4</v>
      </c>
      <c r="R1460" s="15">
        <v>66.3</v>
      </c>
      <c r="T1460" s="15"/>
      <c r="U1460" s="15">
        <v>39.6</v>
      </c>
      <c r="V1460" s="15">
        <v>4.5999999999999996</v>
      </c>
      <c r="W1460" s="12"/>
      <c r="X1460" s="15"/>
      <c r="Y1460" s="15">
        <v>73</v>
      </c>
      <c r="Z1460" s="12">
        <v>2.66</v>
      </c>
      <c r="AB1460" s="16"/>
      <c r="AD1460" s="16"/>
      <c r="AE1460" s="1">
        <v>1</v>
      </c>
    </row>
    <row r="1461" spans="1:31" x14ac:dyDescent="0.2">
      <c r="A1461" s="1">
        <v>1460</v>
      </c>
      <c r="B1461" s="1">
        <v>2019</v>
      </c>
      <c r="C1461" s="1" t="s">
        <v>31</v>
      </c>
      <c r="D1461" s="1" t="s">
        <v>402</v>
      </c>
      <c r="E1461" s="1" t="s">
        <v>713</v>
      </c>
      <c r="F1461" s="1" t="s">
        <v>32</v>
      </c>
      <c r="G1461" s="1">
        <v>117</v>
      </c>
      <c r="I1461" s="12">
        <v>9.1</v>
      </c>
      <c r="J1461" s="7">
        <v>26.1</v>
      </c>
      <c r="K1461" s="1" t="s">
        <v>34</v>
      </c>
      <c r="L1461" s="5">
        <v>3792.5</v>
      </c>
      <c r="N1461" s="5">
        <v>34669.599999999999</v>
      </c>
      <c r="O1461" s="6">
        <v>34.602499999999999</v>
      </c>
      <c r="P1461" s="6">
        <v>8.75</v>
      </c>
      <c r="Q1461" s="6">
        <v>36.08</v>
      </c>
      <c r="R1461" s="6">
        <v>61.244999999999997</v>
      </c>
      <c r="S1461" s="3"/>
      <c r="T1461" s="6">
        <v>20.23</v>
      </c>
      <c r="U1461" s="6">
        <v>41.6</v>
      </c>
      <c r="V1461" s="6">
        <v>6.6275000000000004</v>
      </c>
      <c r="W1461" s="3">
        <v>0.7659999999999999</v>
      </c>
      <c r="X1461" s="6"/>
      <c r="Y1461" s="6">
        <v>73.7</v>
      </c>
      <c r="Z1461" s="3">
        <v>2.01159385759785</v>
      </c>
      <c r="AB1461" s="16"/>
      <c r="AD1461" s="16"/>
      <c r="AE1461" s="1">
        <v>1</v>
      </c>
    </row>
    <row r="1462" spans="1:31" x14ac:dyDescent="0.2">
      <c r="A1462" s="1">
        <v>1461</v>
      </c>
      <c r="B1462" s="1">
        <v>2012</v>
      </c>
      <c r="C1462" s="1" t="s">
        <v>31</v>
      </c>
      <c r="D1462" s="1" t="s">
        <v>108</v>
      </c>
      <c r="E1462" s="1" t="s">
        <v>278</v>
      </c>
      <c r="F1462" s="1" t="s">
        <v>32</v>
      </c>
      <c r="I1462" s="12">
        <v>9.7200000000000006</v>
      </c>
      <c r="J1462" s="12">
        <v>27.8</v>
      </c>
      <c r="K1462" s="1" t="s">
        <v>34</v>
      </c>
      <c r="L1462" s="16">
        <v>3794</v>
      </c>
      <c r="M1462" s="1" t="s">
        <v>34</v>
      </c>
      <c r="N1462" s="16">
        <v>36851</v>
      </c>
      <c r="O1462" s="15">
        <v>33.1</v>
      </c>
      <c r="P1462" s="15">
        <v>7.8</v>
      </c>
      <c r="Q1462" s="15">
        <v>38.4</v>
      </c>
      <c r="R1462" s="15">
        <v>66.099999999999994</v>
      </c>
      <c r="T1462" s="15"/>
      <c r="U1462" s="15">
        <v>39.9</v>
      </c>
      <c r="V1462" s="15">
        <v>6.3</v>
      </c>
      <c r="W1462" s="12">
        <v>0.77</v>
      </c>
      <c r="X1462" s="15"/>
      <c r="Y1462" s="15"/>
      <c r="Z1462" s="12">
        <v>2.46</v>
      </c>
      <c r="AB1462" s="16"/>
      <c r="AD1462" s="16"/>
      <c r="AE1462" s="1">
        <v>1</v>
      </c>
    </row>
    <row r="1463" spans="1:31" x14ac:dyDescent="0.2">
      <c r="A1463" s="1">
        <v>1462</v>
      </c>
      <c r="B1463" s="1">
        <v>2011</v>
      </c>
      <c r="C1463" s="1" t="s">
        <v>31</v>
      </c>
      <c r="D1463" s="1" t="s">
        <v>805</v>
      </c>
      <c r="E1463" s="1" t="s">
        <v>209</v>
      </c>
      <c r="F1463" s="1" t="s">
        <v>32</v>
      </c>
      <c r="I1463" s="12">
        <v>8.5500000000000007</v>
      </c>
      <c r="J1463" s="12">
        <v>31.5</v>
      </c>
      <c r="K1463" s="1" t="s">
        <v>34</v>
      </c>
      <c r="L1463" s="16">
        <v>3797</v>
      </c>
      <c r="N1463" s="16">
        <v>32473</v>
      </c>
      <c r="O1463" s="15">
        <v>28.1</v>
      </c>
      <c r="P1463" s="15">
        <v>8.1999999999999993</v>
      </c>
      <c r="Q1463" s="15">
        <v>38.200000000000003</v>
      </c>
      <c r="R1463" s="15">
        <v>65.099999999999994</v>
      </c>
      <c r="T1463" s="15"/>
      <c r="U1463" s="15">
        <v>40.4</v>
      </c>
      <c r="V1463" s="15">
        <v>4.7</v>
      </c>
      <c r="W1463" s="12"/>
      <c r="X1463" s="15"/>
      <c r="Y1463" s="15">
        <v>73.3</v>
      </c>
      <c r="Z1463" s="12">
        <v>2.13</v>
      </c>
      <c r="AB1463" s="16"/>
      <c r="AD1463" s="16"/>
      <c r="AE1463" s="1">
        <v>1</v>
      </c>
    </row>
    <row r="1464" spans="1:31" x14ac:dyDescent="0.2">
      <c r="A1464" s="1">
        <v>1463</v>
      </c>
      <c r="B1464" s="1">
        <v>2011</v>
      </c>
      <c r="C1464" s="1" t="s">
        <v>31</v>
      </c>
      <c r="D1464" s="1" t="s">
        <v>108</v>
      </c>
      <c r="E1464" s="1" t="s">
        <v>197</v>
      </c>
      <c r="F1464" s="1" t="s">
        <v>32</v>
      </c>
      <c r="I1464" s="12">
        <v>8.8699999999999992</v>
      </c>
      <c r="J1464" s="12">
        <v>25.3</v>
      </c>
      <c r="K1464" s="1" t="s">
        <v>34</v>
      </c>
      <c r="L1464" s="16">
        <v>3798</v>
      </c>
      <c r="N1464" s="16">
        <v>33714</v>
      </c>
      <c r="O1464" s="15">
        <v>32.1</v>
      </c>
      <c r="P1464" s="15">
        <v>7.9</v>
      </c>
      <c r="Q1464" s="15">
        <v>38.5</v>
      </c>
      <c r="R1464" s="15">
        <v>65.2</v>
      </c>
      <c r="T1464" s="15"/>
      <c r="U1464" s="15">
        <v>42.5</v>
      </c>
      <c r="V1464" s="15">
        <v>3.8</v>
      </c>
      <c r="W1464" s="12"/>
      <c r="X1464" s="15"/>
      <c r="Y1464" s="15">
        <v>73.5</v>
      </c>
      <c r="Z1464" s="12">
        <v>2.23</v>
      </c>
      <c r="AB1464" s="16"/>
      <c r="AD1464" s="16"/>
      <c r="AE1464" s="1">
        <v>1</v>
      </c>
    </row>
    <row r="1465" spans="1:31" x14ac:dyDescent="0.2">
      <c r="A1465" s="1">
        <v>1464</v>
      </c>
      <c r="B1465" s="1">
        <v>2019</v>
      </c>
      <c r="C1465" s="1" t="s">
        <v>31</v>
      </c>
      <c r="D1465" s="1" t="s">
        <v>805</v>
      </c>
      <c r="E1465" s="1" t="s">
        <v>714</v>
      </c>
      <c r="F1465" s="1" t="s">
        <v>32</v>
      </c>
      <c r="H1465" s="1" t="s">
        <v>34</v>
      </c>
      <c r="I1465" s="12">
        <v>10.5</v>
      </c>
      <c r="J1465" s="7">
        <v>29.9</v>
      </c>
      <c r="K1465" s="1" t="s">
        <v>34</v>
      </c>
      <c r="L1465" s="5">
        <v>3798.2</v>
      </c>
      <c r="M1465" s="1" t="s">
        <v>34</v>
      </c>
      <c r="N1465" s="5">
        <v>39741.599999999999</v>
      </c>
      <c r="O1465" s="6">
        <v>32.78</v>
      </c>
      <c r="P1465" s="6">
        <v>9.6999999999999993</v>
      </c>
      <c r="Q1465" s="6">
        <v>36.517499999999998</v>
      </c>
      <c r="R1465" s="6">
        <v>62.5</v>
      </c>
      <c r="S1465" s="3"/>
      <c r="T1465" s="6">
        <v>20.285</v>
      </c>
      <c r="U1465" s="6">
        <v>37.950000000000003</v>
      </c>
      <c r="V1465" s="6">
        <v>7.59</v>
      </c>
      <c r="W1465" s="3">
        <v>0.76400000000000001</v>
      </c>
      <c r="X1465" s="6"/>
      <c r="Y1465" s="6">
        <v>73.5</v>
      </c>
      <c r="Z1465" s="3">
        <v>2.3845935226907402</v>
      </c>
      <c r="AB1465" s="16"/>
      <c r="AD1465" s="16"/>
      <c r="AE1465" s="1">
        <v>1</v>
      </c>
    </row>
    <row r="1466" spans="1:31" x14ac:dyDescent="0.2">
      <c r="A1466" s="1">
        <v>1465</v>
      </c>
      <c r="B1466" s="1">
        <v>2012</v>
      </c>
      <c r="C1466" s="1" t="s">
        <v>31</v>
      </c>
      <c r="D1466" s="1" t="s">
        <v>108</v>
      </c>
      <c r="E1466" s="1" t="s">
        <v>274</v>
      </c>
      <c r="F1466" s="1" t="s">
        <v>32</v>
      </c>
      <c r="H1466" s="1" t="s">
        <v>34</v>
      </c>
      <c r="I1466" s="12">
        <v>10.32</v>
      </c>
      <c r="J1466" s="12">
        <v>29.5</v>
      </c>
      <c r="K1466" s="1" t="s">
        <v>34</v>
      </c>
      <c r="L1466" s="16">
        <v>3803</v>
      </c>
      <c r="M1466" s="1" t="s">
        <v>34</v>
      </c>
      <c r="N1466" s="16">
        <v>39260</v>
      </c>
      <c r="O1466" s="15">
        <v>33.200000000000003</v>
      </c>
      <c r="P1466" s="15">
        <v>7.8</v>
      </c>
      <c r="Q1466" s="15">
        <v>39.4</v>
      </c>
      <c r="R1466" s="15">
        <v>67.8</v>
      </c>
      <c r="T1466" s="15"/>
      <c r="U1466" s="15">
        <v>40.9</v>
      </c>
      <c r="V1466" s="15">
        <v>4.9000000000000004</v>
      </c>
      <c r="W1466" s="12">
        <v>0.77</v>
      </c>
      <c r="X1466" s="15"/>
      <c r="Y1466" s="15"/>
      <c r="Z1466" s="12">
        <v>2.76</v>
      </c>
      <c r="AB1466" s="16"/>
      <c r="AD1466" s="16"/>
      <c r="AE1466" s="1">
        <v>1</v>
      </c>
    </row>
    <row r="1467" spans="1:31" x14ac:dyDescent="0.2">
      <c r="A1467" s="1">
        <v>1466</v>
      </c>
      <c r="B1467" s="1">
        <v>2011</v>
      </c>
      <c r="C1467" s="1" t="s">
        <v>31</v>
      </c>
      <c r="D1467" s="1" t="s">
        <v>125</v>
      </c>
      <c r="E1467" s="1" t="s">
        <v>127</v>
      </c>
      <c r="F1467" s="1" t="s">
        <v>32</v>
      </c>
      <c r="I1467" s="12">
        <v>9.2100000000000009</v>
      </c>
      <c r="J1467" s="12">
        <v>31.6</v>
      </c>
      <c r="K1467" s="1" t="s">
        <v>34</v>
      </c>
      <c r="L1467" s="16">
        <v>3808</v>
      </c>
      <c r="N1467" s="16">
        <v>35070</v>
      </c>
      <c r="O1467" s="15">
        <v>28.5</v>
      </c>
      <c r="P1467" s="15">
        <v>7.7</v>
      </c>
      <c r="Q1467" s="15">
        <v>39.6</v>
      </c>
      <c r="R1467" s="15">
        <v>65.8</v>
      </c>
      <c r="T1467" s="15"/>
      <c r="U1467" s="15">
        <v>40.5</v>
      </c>
      <c r="V1467" s="15">
        <v>4</v>
      </c>
      <c r="W1467" s="12"/>
      <c r="X1467" s="15"/>
      <c r="Y1467" s="15">
        <v>73.5</v>
      </c>
      <c r="Z1467" s="12">
        <v>2.4</v>
      </c>
      <c r="AB1467" s="16"/>
      <c r="AD1467" s="16"/>
      <c r="AE1467" s="1">
        <v>1</v>
      </c>
    </row>
    <row r="1468" spans="1:31" x14ac:dyDescent="0.2">
      <c r="A1468" s="1">
        <v>1467</v>
      </c>
      <c r="B1468" s="1">
        <v>2019</v>
      </c>
      <c r="C1468" s="1" t="s">
        <v>31</v>
      </c>
      <c r="D1468" s="1" t="s">
        <v>916</v>
      </c>
      <c r="E1468" s="1" t="s">
        <v>601</v>
      </c>
      <c r="F1468" s="1" t="s">
        <v>32</v>
      </c>
      <c r="G1468" s="8">
        <v>124</v>
      </c>
      <c r="I1468" s="12">
        <v>9.4102889384266195</v>
      </c>
      <c r="J1468" s="7">
        <v>26.9</v>
      </c>
      <c r="K1468" s="1" t="s">
        <v>34</v>
      </c>
      <c r="L1468" s="5">
        <v>3809.5</v>
      </c>
      <c r="M1468" s="1" t="s">
        <v>34</v>
      </c>
      <c r="N1468" s="5">
        <v>35933.1</v>
      </c>
      <c r="O1468" s="6">
        <v>32.865000000000002</v>
      </c>
      <c r="P1468" s="6">
        <v>9.4</v>
      </c>
      <c r="Q1468" s="6">
        <v>35.952500000000001</v>
      </c>
      <c r="R1468" s="6">
        <v>60.975000000000001</v>
      </c>
      <c r="S1468" s="3"/>
      <c r="T1468" s="6">
        <v>20.1875</v>
      </c>
      <c r="U1468" s="6">
        <v>39.200000000000003</v>
      </c>
      <c r="V1468" s="6">
        <v>8.3975000000000009</v>
      </c>
      <c r="W1468" s="3">
        <v>0.76800000000000002</v>
      </c>
      <c r="X1468" s="6"/>
      <c r="Y1468" s="6">
        <v>73.900000000000006</v>
      </c>
      <c r="Z1468" s="3">
        <v>2.1</v>
      </c>
      <c r="AB1468" s="16"/>
      <c r="AD1468" s="16"/>
      <c r="AE1468" s="1">
        <v>1</v>
      </c>
    </row>
    <row r="1469" spans="1:31" x14ac:dyDescent="0.2">
      <c r="A1469" s="1">
        <v>1468</v>
      </c>
      <c r="B1469" s="1">
        <v>2019</v>
      </c>
      <c r="C1469" s="1" t="s">
        <v>31</v>
      </c>
      <c r="D1469" s="1" t="s">
        <v>805</v>
      </c>
      <c r="E1469" s="1" t="s">
        <v>717</v>
      </c>
      <c r="F1469" s="1" t="s">
        <v>83</v>
      </c>
      <c r="H1469" s="1" t="s">
        <v>34</v>
      </c>
      <c r="I1469" s="12">
        <v>7.9</v>
      </c>
      <c r="J1469" s="3">
        <v>22.57</v>
      </c>
      <c r="L1469" s="5">
        <v>3811.25</v>
      </c>
      <c r="M1469" s="1" t="s">
        <v>34</v>
      </c>
      <c r="N1469" s="5">
        <v>30111.4</v>
      </c>
      <c r="O1469" s="6">
        <v>37.020000000000003</v>
      </c>
      <c r="P1469" s="6">
        <v>9.8800000000000008</v>
      </c>
      <c r="Q1469" s="6">
        <v>35.49</v>
      </c>
      <c r="R1469" s="6">
        <v>61.827500000000001</v>
      </c>
      <c r="S1469" s="3"/>
      <c r="T1469" s="6">
        <v>18.837499999999999</v>
      </c>
      <c r="U1469" s="6">
        <v>36.532499999999999</v>
      </c>
      <c r="V1469" s="6">
        <v>8.84</v>
      </c>
      <c r="W1469" s="3">
        <v>0.80200000000000005</v>
      </c>
      <c r="X1469" s="6"/>
      <c r="Y1469" s="6">
        <v>76.91</v>
      </c>
      <c r="Z1469" s="3">
        <v>1.7275</v>
      </c>
      <c r="AB1469" s="16"/>
      <c r="AD1469" s="16"/>
      <c r="AE1469" s="1">
        <v>1</v>
      </c>
    </row>
    <row r="1470" spans="1:31" x14ac:dyDescent="0.2">
      <c r="A1470" s="1">
        <v>1469</v>
      </c>
      <c r="B1470" s="1">
        <v>2019</v>
      </c>
      <c r="C1470" s="1" t="s">
        <v>31</v>
      </c>
      <c r="D1470" s="22" t="s">
        <v>917</v>
      </c>
      <c r="E1470" s="1" t="s">
        <v>728</v>
      </c>
      <c r="F1470" s="1" t="s">
        <v>32</v>
      </c>
      <c r="I1470" s="12">
        <v>8.3000000000000007</v>
      </c>
      <c r="J1470" s="7">
        <v>23.7</v>
      </c>
      <c r="K1470" s="1" t="s">
        <v>34</v>
      </c>
      <c r="L1470" s="5">
        <v>3831</v>
      </c>
      <c r="N1470" s="5">
        <v>31796.2</v>
      </c>
      <c r="O1470" s="6">
        <v>33.387500000000003</v>
      </c>
      <c r="P1470" s="6">
        <v>9.5</v>
      </c>
      <c r="Q1470" s="6">
        <v>33.994999999999997</v>
      </c>
      <c r="R1470" s="6">
        <v>60.265000000000001</v>
      </c>
      <c r="S1470" s="3"/>
      <c r="T1470" s="6">
        <v>19.079999999999998</v>
      </c>
      <c r="U1470" s="6">
        <v>41.3</v>
      </c>
      <c r="V1470" s="6">
        <v>8.25</v>
      </c>
      <c r="W1470" s="3">
        <v>0.77300000000000002</v>
      </c>
      <c r="X1470" s="6"/>
      <c r="Y1470" s="6">
        <v>74.3</v>
      </c>
      <c r="Z1470" s="3">
        <v>1.7036401145944799</v>
      </c>
      <c r="AB1470" s="16"/>
      <c r="AD1470" s="16"/>
      <c r="AE1470" s="1">
        <v>1</v>
      </c>
    </row>
    <row r="1471" spans="1:31" ht="17" x14ac:dyDescent="0.2">
      <c r="A1471" s="1">
        <v>1470</v>
      </c>
      <c r="B1471" s="1">
        <v>2019</v>
      </c>
      <c r="C1471" s="1" t="s">
        <v>31</v>
      </c>
      <c r="D1471" s="8" t="s">
        <v>874</v>
      </c>
      <c r="E1471" s="9" t="s">
        <v>730</v>
      </c>
      <c r="F1471" s="1" t="s">
        <v>83</v>
      </c>
      <c r="G1471" s="1">
        <v>119</v>
      </c>
      <c r="H1471" s="1" t="s">
        <v>34</v>
      </c>
      <c r="I1471" s="12">
        <v>7.78</v>
      </c>
      <c r="J1471" s="3">
        <v>22.21</v>
      </c>
      <c r="L1471" s="5">
        <v>3835.75</v>
      </c>
      <c r="M1471" s="1" t="s">
        <v>34</v>
      </c>
      <c r="N1471" s="5">
        <v>29799.7</v>
      </c>
      <c r="O1471" s="6">
        <v>37.65</v>
      </c>
      <c r="P1471" s="6">
        <v>9.5649999999999995</v>
      </c>
      <c r="Q1471" s="6">
        <v>37.572499999999998</v>
      </c>
      <c r="R1471" s="6">
        <v>56.897500000000001</v>
      </c>
      <c r="S1471" s="3"/>
      <c r="T1471" s="6">
        <v>21.0625</v>
      </c>
      <c r="U1471" s="6">
        <v>36.854999999999997</v>
      </c>
      <c r="V1471" s="6">
        <v>7.9950000000000001</v>
      </c>
      <c r="W1471" s="3">
        <v>0.78029999999999999</v>
      </c>
      <c r="X1471" s="6"/>
      <c r="Y1471" s="6">
        <v>74.959999999999994</v>
      </c>
      <c r="Z1471" s="3">
        <v>1.66</v>
      </c>
      <c r="AB1471" s="16"/>
      <c r="AD1471" s="16"/>
      <c r="AE1471" s="1">
        <v>1</v>
      </c>
    </row>
    <row r="1472" spans="1:31" x14ac:dyDescent="0.2">
      <c r="A1472" s="1">
        <v>1471</v>
      </c>
      <c r="B1472" s="1">
        <v>2019</v>
      </c>
      <c r="C1472" s="1" t="s">
        <v>31</v>
      </c>
      <c r="D1472" s="1" t="s">
        <v>916</v>
      </c>
      <c r="E1472" s="1" t="s">
        <v>707</v>
      </c>
      <c r="F1472" s="1" t="s">
        <v>32</v>
      </c>
      <c r="I1472" s="12">
        <v>9.5</v>
      </c>
      <c r="J1472" s="7">
        <v>27</v>
      </c>
      <c r="K1472" s="1" t="s">
        <v>34</v>
      </c>
      <c r="L1472" s="5">
        <v>3842.2</v>
      </c>
      <c r="M1472" s="1" t="s">
        <v>34</v>
      </c>
      <c r="N1472" s="5">
        <v>36293.9</v>
      </c>
      <c r="O1472" s="6">
        <v>33.49</v>
      </c>
      <c r="P1472" s="6">
        <v>9.0150000000000006</v>
      </c>
      <c r="Q1472" s="6">
        <v>35.602499999999999</v>
      </c>
      <c r="R1472" s="6">
        <v>60.372500000000002</v>
      </c>
      <c r="S1472" s="3"/>
      <c r="T1472" s="6">
        <v>19.727499999999999</v>
      </c>
      <c r="U1472" s="6">
        <v>41.5</v>
      </c>
      <c r="V1472" s="6">
        <v>8.0850000000000009</v>
      </c>
      <c r="W1472" s="3">
        <v>0.77400000000000002</v>
      </c>
      <c r="X1472" s="6"/>
      <c r="Y1472" s="6">
        <v>74.400000000000006</v>
      </c>
      <c r="Z1472" s="3">
        <v>2.0374136979673998</v>
      </c>
      <c r="AB1472" s="16"/>
      <c r="AD1472" s="16"/>
      <c r="AE1472" s="1">
        <v>1</v>
      </c>
    </row>
    <row r="1473" spans="1:31" x14ac:dyDescent="0.2">
      <c r="A1473" s="1">
        <v>1472</v>
      </c>
      <c r="B1473" s="1">
        <v>2011</v>
      </c>
      <c r="C1473" s="1" t="s">
        <v>31</v>
      </c>
      <c r="D1473" s="1" t="s">
        <v>54</v>
      </c>
      <c r="E1473" s="1" t="s">
        <v>203</v>
      </c>
      <c r="F1473" s="1" t="s">
        <v>32</v>
      </c>
      <c r="I1473" s="12">
        <v>9.34</v>
      </c>
      <c r="J1473" s="12">
        <v>26.7</v>
      </c>
      <c r="K1473" s="1" t="s">
        <v>34</v>
      </c>
      <c r="L1473" s="16">
        <v>3843</v>
      </c>
      <c r="M1473" s="1" t="s">
        <v>34</v>
      </c>
      <c r="N1473" s="16">
        <v>35895</v>
      </c>
      <c r="O1473" s="15">
        <v>32.299999999999997</v>
      </c>
      <c r="P1473" s="15">
        <v>8</v>
      </c>
      <c r="Q1473" s="15">
        <v>39.200000000000003</v>
      </c>
      <c r="R1473" s="15">
        <v>65.5</v>
      </c>
      <c r="T1473" s="15"/>
      <c r="U1473" s="15">
        <v>41.3</v>
      </c>
      <c r="V1473" s="15">
        <v>4.4000000000000004</v>
      </c>
      <c r="W1473" s="12"/>
      <c r="X1473" s="15"/>
      <c r="Y1473" s="15">
        <v>74.3</v>
      </c>
      <c r="Z1473" s="12">
        <v>2.4</v>
      </c>
      <c r="AB1473" s="16"/>
      <c r="AD1473" s="16"/>
      <c r="AE1473" s="1">
        <v>1</v>
      </c>
    </row>
    <row r="1474" spans="1:31" x14ac:dyDescent="0.2">
      <c r="A1474" s="1">
        <v>1473</v>
      </c>
      <c r="B1474" s="1">
        <v>2011</v>
      </c>
      <c r="C1474" s="1" t="s">
        <v>31</v>
      </c>
      <c r="D1474" s="28" t="s">
        <v>914</v>
      </c>
      <c r="E1474" s="1" t="s">
        <v>205</v>
      </c>
      <c r="F1474" s="1" t="s">
        <v>32</v>
      </c>
      <c r="H1474" s="1" t="s">
        <v>34</v>
      </c>
      <c r="I1474" s="12">
        <v>9.99</v>
      </c>
      <c r="J1474" s="12">
        <v>32.299999999999997</v>
      </c>
      <c r="K1474" s="1" t="s">
        <v>34</v>
      </c>
      <c r="L1474" s="16">
        <v>3854</v>
      </c>
      <c r="M1474" s="1" t="s">
        <v>34</v>
      </c>
      <c r="N1474" s="16">
        <v>38535</v>
      </c>
      <c r="O1474" s="15">
        <v>29.2</v>
      </c>
      <c r="P1474" s="15">
        <v>7.8</v>
      </c>
      <c r="Q1474" s="15">
        <v>39.299999999999997</v>
      </c>
      <c r="R1474" s="15">
        <v>66.900000000000006</v>
      </c>
      <c r="T1474" s="15"/>
      <c r="U1474" s="15">
        <v>41.8</v>
      </c>
      <c r="V1474" s="15">
        <v>3.6</v>
      </c>
      <c r="W1474" s="12"/>
      <c r="X1474" s="15"/>
      <c r="Y1474" s="15">
        <v>73.8</v>
      </c>
      <c r="Z1474" s="12">
        <v>2.62</v>
      </c>
      <c r="AB1474" s="16"/>
      <c r="AD1474" s="16"/>
      <c r="AE1474" s="1">
        <v>1</v>
      </c>
    </row>
    <row r="1475" spans="1:31" ht="17" x14ac:dyDescent="0.2">
      <c r="A1475" s="1">
        <v>1474</v>
      </c>
      <c r="B1475" s="1">
        <v>2019</v>
      </c>
      <c r="C1475" s="1" t="s">
        <v>31</v>
      </c>
      <c r="D1475" s="9" t="s">
        <v>108</v>
      </c>
      <c r="E1475" s="9" t="s">
        <v>667</v>
      </c>
      <c r="F1475" s="1" t="s">
        <v>83</v>
      </c>
      <c r="G1475" s="1">
        <v>118</v>
      </c>
      <c r="I1475" s="12">
        <v>6.8</v>
      </c>
      <c r="J1475" s="3">
        <v>19.43</v>
      </c>
      <c r="K1475" s="1" t="s">
        <v>34</v>
      </c>
      <c r="L1475" s="5">
        <v>3874.8</v>
      </c>
      <c r="N1475" s="5">
        <v>26284.125</v>
      </c>
      <c r="O1475" s="6">
        <v>33.92</v>
      </c>
      <c r="P1475" s="6">
        <v>9.8800000000000008</v>
      </c>
      <c r="Q1475" s="6">
        <v>34.267499999999998</v>
      </c>
      <c r="R1475" s="6">
        <v>64.19</v>
      </c>
      <c r="S1475" s="3"/>
      <c r="T1475" s="6">
        <v>18.807500000000001</v>
      </c>
      <c r="U1475" s="6">
        <v>39.494999999999997</v>
      </c>
      <c r="V1475" s="6">
        <v>8.3475000000000001</v>
      </c>
      <c r="W1475" s="3">
        <v>0.77859999999999996</v>
      </c>
      <c r="X1475" s="6"/>
      <c r="Y1475" s="6">
        <v>74.81</v>
      </c>
      <c r="Z1475" s="3">
        <v>1.4950000000000001</v>
      </c>
      <c r="AB1475" s="16"/>
      <c r="AD1475" s="16"/>
      <c r="AE1475" s="1">
        <v>1</v>
      </c>
    </row>
    <row r="1476" spans="1:31" ht="17" x14ac:dyDescent="0.2">
      <c r="A1476" s="1">
        <v>1475</v>
      </c>
      <c r="B1476" s="1">
        <v>2019</v>
      </c>
      <c r="C1476" s="1" t="s">
        <v>31</v>
      </c>
      <c r="D1476" s="1" t="s">
        <v>805</v>
      </c>
      <c r="E1476" s="9" t="s">
        <v>715</v>
      </c>
      <c r="F1476" s="1" t="s">
        <v>83</v>
      </c>
      <c r="I1476" s="12">
        <v>5.5750000000000002</v>
      </c>
      <c r="J1476" s="3">
        <v>15.93</v>
      </c>
      <c r="K1476" s="1" t="s">
        <v>34</v>
      </c>
      <c r="L1476" s="5">
        <v>3878</v>
      </c>
      <c r="N1476" s="5">
        <v>21604.25</v>
      </c>
      <c r="O1476" s="6">
        <v>37</v>
      </c>
      <c r="P1476" s="6">
        <v>8.7449999999999992</v>
      </c>
      <c r="Q1476" s="6">
        <v>35.549999999999997</v>
      </c>
      <c r="R1476" s="6">
        <v>65.02</v>
      </c>
      <c r="S1476" s="3"/>
      <c r="T1476" s="6">
        <v>18.649999999999999</v>
      </c>
      <c r="U1476" s="6">
        <v>41.06</v>
      </c>
      <c r="V1476" s="6">
        <v>7.7324999999999999</v>
      </c>
      <c r="W1476" s="3">
        <v>0.76787499999999997</v>
      </c>
      <c r="X1476" s="6"/>
      <c r="Y1476" s="6">
        <v>73.849999999999994</v>
      </c>
      <c r="Z1476" s="3">
        <v>1.29</v>
      </c>
      <c r="AB1476" s="16"/>
      <c r="AD1476" s="16"/>
      <c r="AE1476" s="1">
        <v>1</v>
      </c>
    </row>
    <row r="1477" spans="1:31" ht="17" x14ac:dyDescent="0.2">
      <c r="A1477" s="1">
        <v>1476</v>
      </c>
      <c r="B1477" s="1">
        <v>2019</v>
      </c>
      <c r="C1477" s="1" t="s">
        <v>31</v>
      </c>
      <c r="D1477" s="1" t="s">
        <v>916</v>
      </c>
      <c r="E1477" s="9" t="s">
        <v>601</v>
      </c>
      <c r="F1477" s="1" t="s">
        <v>83</v>
      </c>
      <c r="G1477" s="9">
        <v>124</v>
      </c>
      <c r="I1477" s="12">
        <v>6.875</v>
      </c>
      <c r="J1477" s="3">
        <v>19.642499999999998</v>
      </c>
      <c r="K1477" s="1" t="s">
        <v>34</v>
      </c>
      <c r="L1477" s="5">
        <v>3879.8</v>
      </c>
      <c r="N1477" s="5">
        <v>26663.625</v>
      </c>
      <c r="O1477" s="6">
        <v>38.4925</v>
      </c>
      <c r="P1477" s="6">
        <v>9.5175000000000001</v>
      </c>
      <c r="Q1477" s="6">
        <v>32.659999999999997</v>
      </c>
      <c r="R1477" s="6">
        <v>65.849999999999994</v>
      </c>
      <c r="S1477" s="3"/>
      <c r="T1477" s="6">
        <v>17.84</v>
      </c>
      <c r="U1477" s="6">
        <v>42.024999999999999</v>
      </c>
      <c r="V1477" s="6">
        <v>8.5150000000000006</v>
      </c>
      <c r="W1477" s="3">
        <v>0.77829999999999999</v>
      </c>
      <c r="X1477" s="6"/>
      <c r="Y1477" s="6">
        <v>74.78</v>
      </c>
      <c r="Z1477" s="3">
        <v>1.4750000000000001</v>
      </c>
      <c r="AB1477" s="16"/>
      <c r="AD1477" s="16"/>
      <c r="AE1477" s="1">
        <v>1</v>
      </c>
    </row>
    <row r="1478" spans="1:31" ht="17" x14ac:dyDescent="0.2">
      <c r="A1478" s="1">
        <v>1477</v>
      </c>
      <c r="B1478" s="1">
        <v>2019</v>
      </c>
      <c r="C1478" s="1" t="s">
        <v>31</v>
      </c>
      <c r="D1478" s="9" t="s">
        <v>391</v>
      </c>
      <c r="E1478" s="9" t="s">
        <v>701</v>
      </c>
      <c r="F1478" s="1" t="s">
        <v>83</v>
      </c>
      <c r="G1478" s="1">
        <v>113</v>
      </c>
      <c r="I1478" s="12">
        <v>6.625</v>
      </c>
      <c r="J1478" s="3">
        <v>18.927499999999998</v>
      </c>
      <c r="K1478" s="1" t="s">
        <v>34</v>
      </c>
      <c r="L1478" s="5">
        <v>3911</v>
      </c>
      <c r="N1478" s="5">
        <v>25917.825000000001</v>
      </c>
      <c r="O1478" s="6">
        <v>38.572499999999998</v>
      </c>
      <c r="P1478" s="6">
        <v>8.8975000000000009</v>
      </c>
      <c r="Q1478" s="6">
        <v>31.36</v>
      </c>
      <c r="R1478" s="6">
        <v>68.37</v>
      </c>
      <c r="S1478" s="3"/>
      <c r="T1478" s="6">
        <v>16.9375</v>
      </c>
      <c r="U1478" s="6">
        <v>45.18</v>
      </c>
      <c r="V1478" s="6">
        <v>7.34</v>
      </c>
      <c r="W1478" s="3">
        <v>0.77749999999999997</v>
      </c>
      <c r="X1478" s="6"/>
      <c r="Y1478" s="6">
        <v>74.72</v>
      </c>
      <c r="Z1478" s="3">
        <v>1.4075</v>
      </c>
      <c r="AB1478" s="16"/>
      <c r="AD1478" s="16"/>
      <c r="AE1478" s="1">
        <v>1</v>
      </c>
    </row>
    <row r="1479" spans="1:31" ht="17" x14ac:dyDescent="0.2">
      <c r="A1479" s="1">
        <v>1478</v>
      </c>
      <c r="B1479" s="1">
        <v>2019</v>
      </c>
      <c r="C1479" s="1" t="s">
        <v>31</v>
      </c>
      <c r="D1479" s="9" t="s">
        <v>108</v>
      </c>
      <c r="E1479" s="9" t="s">
        <v>718</v>
      </c>
      <c r="F1479" s="1" t="s">
        <v>83</v>
      </c>
      <c r="G1479" s="1">
        <v>115</v>
      </c>
      <c r="I1479" s="12">
        <v>6.2</v>
      </c>
      <c r="J1479" s="3">
        <v>17.715</v>
      </c>
      <c r="K1479" s="1" t="s">
        <v>34</v>
      </c>
      <c r="L1479" s="5">
        <v>3916.3</v>
      </c>
      <c r="N1479" s="5">
        <v>24290.05</v>
      </c>
      <c r="O1479" s="6">
        <v>32.299999999999997</v>
      </c>
      <c r="P1479" s="6">
        <v>9.36</v>
      </c>
      <c r="Q1479" s="6">
        <v>31.37</v>
      </c>
      <c r="R1479" s="6">
        <v>65.64</v>
      </c>
      <c r="S1479" s="3"/>
      <c r="T1479" s="6">
        <v>16.844999999999999</v>
      </c>
      <c r="U1479" s="6">
        <v>44.08</v>
      </c>
      <c r="V1479" s="6">
        <v>8.4574999999999996</v>
      </c>
      <c r="W1479" s="3">
        <v>0.78099999999999992</v>
      </c>
      <c r="X1479" s="6"/>
      <c r="Y1479" s="6">
        <v>75.03</v>
      </c>
      <c r="Z1479" s="3">
        <v>1.2749999999999999</v>
      </c>
      <c r="AB1479" s="16"/>
      <c r="AD1479" s="16"/>
      <c r="AE1479" s="1">
        <v>1</v>
      </c>
    </row>
    <row r="1480" spans="1:31" ht="17" x14ac:dyDescent="0.2">
      <c r="A1480" s="1">
        <v>1479</v>
      </c>
      <c r="B1480" s="1">
        <v>2019</v>
      </c>
      <c r="C1480" s="1" t="s">
        <v>31</v>
      </c>
      <c r="D1480" s="1" t="s">
        <v>916</v>
      </c>
      <c r="E1480" s="9" t="s">
        <v>656</v>
      </c>
      <c r="F1480" s="1" t="s">
        <v>83</v>
      </c>
      <c r="G1480" s="1">
        <v>124</v>
      </c>
      <c r="H1480" s="1" t="s">
        <v>34</v>
      </c>
      <c r="I1480" s="12">
        <v>7.6</v>
      </c>
      <c r="J1480" s="3">
        <v>21.72</v>
      </c>
      <c r="K1480" s="1" t="s">
        <v>34</v>
      </c>
      <c r="L1480" s="5">
        <v>3945.5</v>
      </c>
      <c r="M1480" s="6" t="s">
        <v>34</v>
      </c>
      <c r="N1480" s="5">
        <v>29992.3</v>
      </c>
      <c r="O1480" s="6">
        <v>47.24</v>
      </c>
      <c r="P1480" s="6">
        <v>8.6675000000000004</v>
      </c>
      <c r="Q1480" s="6">
        <v>32.479999999999997</v>
      </c>
      <c r="R1480" s="6">
        <v>64.435000000000002</v>
      </c>
      <c r="S1480" s="3"/>
      <c r="T1480" s="6">
        <v>18</v>
      </c>
      <c r="U1480" s="6">
        <v>45.13</v>
      </c>
      <c r="V1480" s="6">
        <v>7.6275000000000004</v>
      </c>
      <c r="W1480" s="3">
        <v>0.78420000000000001</v>
      </c>
      <c r="X1480" s="6"/>
      <c r="Y1480" s="6">
        <v>75.319999999999993</v>
      </c>
      <c r="Z1480" s="3">
        <v>1.595</v>
      </c>
      <c r="AB1480" s="16"/>
      <c r="AD1480" s="16"/>
      <c r="AE1480" s="1">
        <v>1</v>
      </c>
    </row>
    <row r="1481" spans="1:31" ht="17" x14ac:dyDescent="0.2">
      <c r="A1481" s="1">
        <v>1480</v>
      </c>
      <c r="B1481" s="1">
        <v>2019</v>
      </c>
      <c r="C1481" s="1" t="s">
        <v>31</v>
      </c>
      <c r="D1481" s="9" t="s">
        <v>37</v>
      </c>
      <c r="E1481" s="9" t="s">
        <v>724</v>
      </c>
      <c r="F1481" s="1" t="s">
        <v>83</v>
      </c>
      <c r="G1481" s="8">
        <v>115</v>
      </c>
      <c r="H1481" s="1" t="s">
        <v>34</v>
      </c>
      <c r="I1481" s="12">
        <v>7.4</v>
      </c>
      <c r="J1481" s="3">
        <v>21.15</v>
      </c>
      <c r="K1481" s="1" t="s">
        <v>34</v>
      </c>
      <c r="L1481" s="5">
        <v>3948.3</v>
      </c>
      <c r="M1481" s="1" t="s">
        <v>34</v>
      </c>
      <c r="N1481" s="5">
        <v>29228.5</v>
      </c>
      <c r="O1481" s="6">
        <v>35.847499999999997</v>
      </c>
      <c r="P1481" s="6">
        <v>9.3450000000000006</v>
      </c>
      <c r="Q1481" s="6">
        <v>34.234999999999999</v>
      </c>
      <c r="R1481" s="6">
        <v>64.912499999999994</v>
      </c>
      <c r="S1481" s="3"/>
      <c r="T1481" s="6">
        <v>18.377500000000001</v>
      </c>
      <c r="U1481" s="6">
        <v>39.427500000000002</v>
      </c>
      <c r="V1481" s="6">
        <v>7.9325000000000001</v>
      </c>
      <c r="W1481" s="3">
        <v>0.79010000000000002</v>
      </c>
      <c r="X1481" s="6"/>
      <c r="Y1481" s="6">
        <v>75.849999999999994</v>
      </c>
      <c r="Z1481" s="3">
        <v>1.64</v>
      </c>
      <c r="AB1481" s="16"/>
      <c r="AD1481" s="16"/>
      <c r="AE1481" s="1">
        <v>1</v>
      </c>
    </row>
    <row r="1482" spans="1:31" ht="17" x14ac:dyDescent="0.2">
      <c r="A1482" s="1">
        <v>1481</v>
      </c>
      <c r="B1482" s="1">
        <v>2019</v>
      </c>
      <c r="C1482" s="1" t="s">
        <v>31</v>
      </c>
      <c r="D1482" s="9" t="s">
        <v>719</v>
      </c>
      <c r="E1482" s="9" t="s">
        <v>722</v>
      </c>
      <c r="F1482" s="1" t="s">
        <v>83</v>
      </c>
      <c r="I1482" s="12">
        <v>6.95</v>
      </c>
      <c r="J1482" s="3">
        <v>19.855</v>
      </c>
      <c r="K1482" s="1" t="s">
        <v>34</v>
      </c>
      <c r="L1482" s="5">
        <v>3949.3</v>
      </c>
      <c r="M1482" s="1" t="s">
        <v>34</v>
      </c>
      <c r="N1482" s="5">
        <v>27382.2</v>
      </c>
      <c r="O1482" s="6">
        <v>34.914999999999999</v>
      </c>
      <c r="P1482" s="6">
        <v>10.23</v>
      </c>
      <c r="Q1482" s="6">
        <v>40.130000000000003</v>
      </c>
      <c r="R1482" s="6">
        <v>61.317500000000003</v>
      </c>
      <c r="S1482" s="3"/>
      <c r="T1482" s="6">
        <v>21.265000000000001</v>
      </c>
      <c r="U1482" s="6">
        <v>30.695</v>
      </c>
      <c r="V1482" s="6">
        <v>8.9975000000000005</v>
      </c>
      <c r="W1482" s="3">
        <v>0.78670000000000007</v>
      </c>
      <c r="X1482" s="6"/>
      <c r="Y1482" s="6">
        <v>75.540000000000006</v>
      </c>
      <c r="Z1482" s="3">
        <v>1.6924999999999999</v>
      </c>
      <c r="AB1482" s="16"/>
      <c r="AD1482" s="16"/>
      <c r="AE1482" s="1">
        <v>1</v>
      </c>
    </row>
    <row r="1483" spans="1:31" ht="17" x14ac:dyDescent="0.2">
      <c r="A1483" s="1">
        <v>1482</v>
      </c>
      <c r="B1483" s="1">
        <v>2019</v>
      </c>
      <c r="C1483" s="1" t="s">
        <v>31</v>
      </c>
      <c r="D1483" s="9" t="s">
        <v>402</v>
      </c>
      <c r="E1483" s="8" t="s">
        <v>710</v>
      </c>
      <c r="F1483" s="1" t="s">
        <v>83</v>
      </c>
      <c r="G1483" s="1">
        <v>115</v>
      </c>
      <c r="I1483" s="12">
        <v>6.2750000000000004</v>
      </c>
      <c r="J1483" s="3">
        <v>17.93</v>
      </c>
      <c r="K1483" s="1" t="s">
        <v>34</v>
      </c>
      <c r="L1483" s="5">
        <v>3956.5</v>
      </c>
      <c r="N1483" s="5">
        <v>24860.174999999999</v>
      </c>
      <c r="O1483" s="6">
        <v>40.802500000000002</v>
      </c>
      <c r="P1483" s="6">
        <v>9.1425000000000001</v>
      </c>
      <c r="Q1483" s="6">
        <v>32.962499999999999</v>
      </c>
      <c r="R1483" s="6">
        <v>61.647500000000001</v>
      </c>
      <c r="S1483" s="3"/>
      <c r="T1483" s="6">
        <v>18.0425</v>
      </c>
      <c r="U1483" s="6">
        <v>42.564999999999998</v>
      </c>
      <c r="V1483" s="6">
        <v>7.2175000000000002</v>
      </c>
      <c r="W1483" s="3">
        <v>0.79220000000000002</v>
      </c>
      <c r="X1483" s="6"/>
      <c r="Y1483" s="6">
        <v>76.040000000000006</v>
      </c>
      <c r="Z1483" s="3">
        <v>1.2725</v>
      </c>
      <c r="AB1483" s="16"/>
      <c r="AD1483" s="16"/>
      <c r="AE1483" s="1">
        <v>1</v>
      </c>
    </row>
    <row r="1484" spans="1:31" ht="17" x14ac:dyDescent="0.2">
      <c r="A1484" s="1">
        <v>1483</v>
      </c>
      <c r="B1484" s="1">
        <v>2019</v>
      </c>
      <c r="C1484" s="1" t="s">
        <v>31</v>
      </c>
      <c r="D1484" s="8" t="s">
        <v>874</v>
      </c>
      <c r="E1484" s="9" t="s">
        <v>726</v>
      </c>
      <c r="F1484" s="1" t="s">
        <v>83</v>
      </c>
      <c r="G1484" s="1">
        <v>117</v>
      </c>
      <c r="I1484" s="12">
        <v>6.85</v>
      </c>
      <c r="J1484" s="3">
        <v>19.57</v>
      </c>
      <c r="K1484" s="1" t="s">
        <v>34</v>
      </c>
      <c r="L1484" s="5">
        <v>3966.5</v>
      </c>
      <c r="M1484" s="1" t="s">
        <v>34</v>
      </c>
      <c r="N1484" s="5">
        <v>27167.5</v>
      </c>
      <c r="O1484" s="6">
        <v>38.147500000000001</v>
      </c>
      <c r="P1484" s="6">
        <v>9.5649999999999995</v>
      </c>
      <c r="Q1484" s="6">
        <v>33.017499999999998</v>
      </c>
      <c r="R1484" s="6">
        <v>58.82</v>
      </c>
      <c r="S1484" s="3"/>
      <c r="T1484" s="6">
        <v>18.16</v>
      </c>
      <c r="U1484" s="6">
        <v>43.15</v>
      </c>
      <c r="V1484" s="6">
        <v>7.1475</v>
      </c>
      <c r="W1484" s="3">
        <v>0.7833</v>
      </c>
      <c r="X1484" s="6"/>
      <c r="Y1484" s="6">
        <v>75.239999999999995</v>
      </c>
      <c r="Z1484" s="3">
        <v>1.33</v>
      </c>
      <c r="AB1484" s="16"/>
      <c r="AD1484" s="16"/>
      <c r="AE1484" s="1">
        <v>1</v>
      </c>
    </row>
    <row r="1485" spans="1:31" ht="17" x14ac:dyDescent="0.2">
      <c r="A1485" s="1">
        <v>1484</v>
      </c>
      <c r="B1485" s="1">
        <v>2019</v>
      </c>
      <c r="C1485" s="1" t="s">
        <v>31</v>
      </c>
      <c r="D1485" s="9" t="s">
        <v>391</v>
      </c>
      <c r="E1485" s="9" t="s">
        <v>706</v>
      </c>
      <c r="F1485" s="1" t="s">
        <v>83</v>
      </c>
      <c r="G1485" s="1">
        <v>118</v>
      </c>
      <c r="I1485" s="12">
        <v>6.6749999999999998</v>
      </c>
      <c r="J1485" s="3">
        <v>19.072500000000002</v>
      </c>
      <c r="K1485" s="1" t="s">
        <v>34</v>
      </c>
      <c r="L1485" s="5">
        <v>3969.8</v>
      </c>
      <c r="N1485" s="5">
        <v>26501.974999999999</v>
      </c>
      <c r="O1485" s="6">
        <v>33.5625</v>
      </c>
      <c r="P1485" s="6">
        <v>9.98</v>
      </c>
      <c r="Q1485" s="6">
        <v>33.049999999999997</v>
      </c>
      <c r="R1485" s="6">
        <v>66.290000000000006</v>
      </c>
      <c r="S1485" s="3"/>
      <c r="T1485" s="6">
        <v>17.875</v>
      </c>
      <c r="U1485" s="6">
        <v>41.13</v>
      </c>
      <c r="V1485" s="6">
        <v>8.3625000000000007</v>
      </c>
      <c r="W1485" s="3">
        <v>0.78599999999999992</v>
      </c>
      <c r="X1485" s="6"/>
      <c r="Y1485" s="6">
        <v>75.48</v>
      </c>
      <c r="Z1485" s="3">
        <v>1.46</v>
      </c>
      <c r="AB1485" s="16"/>
      <c r="AD1485" s="16"/>
      <c r="AE1485" s="1">
        <v>1</v>
      </c>
    </row>
    <row r="1486" spans="1:31" ht="17" x14ac:dyDescent="0.2">
      <c r="A1486" s="1">
        <v>1485</v>
      </c>
      <c r="B1486" s="1">
        <v>2019</v>
      </c>
      <c r="C1486" s="1" t="s">
        <v>31</v>
      </c>
      <c r="D1486" s="9" t="s">
        <v>391</v>
      </c>
      <c r="E1486" s="9" t="s">
        <v>704</v>
      </c>
      <c r="F1486" s="1" t="s">
        <v>83</v>
      </c>
      <c r="G1486" s="1">
        <v>116</v>
      </c>
      <c r="I1486" s="12">
        <v>5.4749999999999996</v>
      </c>
      <c r="J1486" s="3">
        <v>15.645</v>
      </c>
      <c r="K1486" s="1" t="s">
        <v>34</v>
      </c>
      <c r="L1486" s="5">
        <v>3987</v>
      </c>
      <c r="N1486" s="5">
        <v>21803.3</v>
      </c>
      <c r="O1486" s="6">
        <v>28.672499999999999</v>
      </c>
      <c r="P1486" s="6">
        <v>9.74</v>
      </c>
      <c r="Q1486" s="6">
        <v>40.64</v>
      </c>
      <c r="R1486" s="6">
        <v>61.7</v>
      </c>
      <c r="S1486" s="3"/>
      <c r="T1486" s="6">
        <v>22.06</v>
      </c>
      <c r="U1486" s="6">
        <v>30.895</v>
      </c>
      <c r="V1486" s="6">
        <v>8.5875000000000004</v>
      </c>
      <c r="W1486" s="3">
        <v>0.79799999999999993</v>
      </c>
      <c r="X1486" s="6"/>
      <c r="Y1486" s="6">
        <v>76.55</v>
      </c>
      <c r="Z1486" s="3">
        <v>1.3725000000000001</v>
      </c>
      <c r="AB1486" s="16"/>
      <c r="AD1486" s="16"/>
      <c r="AE1486" s="1">
        <v>1</v>
      </c>
    </row>
    <row r="1487" spans="1:31" ht="17" x14ac:dyDescent="0.2">
      <c r="A1487" s="1">
        <v>1486</v>
      </c>
      <c r="B1487" s="1">
        <v>2019</v>
      </c>
      <c r="C1487" s="1" t="s">
        <v>31</v>
      </c>
      <c r="D1487" s="9" t="s">
        <v>719</v>
      </c>
      <c r="E1487" s="9" t="s">
        <v>723</v>
      </c>
      <c r="F1487" s="1" t="s">
        <v>83</v>
      </c>
      <c r="I1487" s="12">
        <v>6.3</v>
      </c>
      <c r="J1487" s="3">
        <v>18</v>
      </c>
      <c r="K1487" s="1" t="s">
        <v>34</v>
      </c>
      <c r="L1487" s="5">
        <v>4009.3</v>
      </c>
      <c r="N1487" s="5">
        <v>25263.325000000001</v>
      </c>
      <c r="O1487" s="6">
        <v>30.8825</v>
      </c>
      <c r="P1487" s="6">
        <v>9.75</v>
      </c>
      <c r="Q1487" s="6">
        <v>38.325000000000003</v>
      </c>
      <c r="R1487" s="6">
        <v>58.772500000000001</v>
      </c>
      <c r="S1487" s="3"/>
      <c r="T1487" s="6">
        <v>21.55</v>
      </c>
      <c r="U1487" s="6">
        <v>34.462499999999999</v>
      </c>
      <c r="V1487" s="6">
        <v>9.23</v>
      </c>
      <c r="W1487" s="3">
        <v>0.79669999999999996</v>
      </c>
      <c r="X1487" s="6"/>
      <c r="Y1487" s="6">
        <v>76.44</v>
      </c>
      <c r="Z1487" s="3">
        <v>1.4225000000000001</v>
      </c>
      <c r="AB1487" s="16"/>
      <c r="AD1487" s="16"/>
      <c r="AE1487" s="1">
        <v>1</v>
      </c>
    </row>
    <row r="1488" spans="1:31" ht="17" x14ac:dyDescent="0.2">
      <c r="A1488" s="1">
        <v>1487</v>
      </c>
      <c r="B1488" s="1">
        <v>2019</v>
      </c>
      <c r="C1488" s="1" t="s">
        <v>31</v>
      </c>
      <c r="D1488" s="1" t="s">
        <v>805</v>
      </c>
      <c r="E1488" s="9" t="s">
        <v>714</v>
      </c>
      <c r="F1488" s="1" t="s">
        <v>83</v>
      </c>
      <c r="I1488" s="12">
        <v>5.875</v>
      </c>
      <c r="J1488" s="3">
        <v>16.787500000000001</v>
      </c>
      <c r="K1488" s="1" t="s">
        <v>34</v>
      </c>
      <c r="L1488" s="5">
        <v>4063.3</v>
      </c>
      <c r="N1488" s="5">
        <v>23864.724999999999</v>
      </c>
      <c r="O1488" s="6">
        <v>36.932499999999997</v>
      </c>
      <c r="P1488" s="6">
        <v>9.32</v>
      </c>
      <c r="Q1488" s="6">
        <v>34.182499999999997</v>
      </c>
      <c r="R1488" s="6">
        <v>63.5075</v>
      </c>
      <c r="S1488" s="3"/>
      <c r="T1488" s="6">
        <v>18.37</v>
      </c>
      <c r="U1488" s="6">
        <v>40.49</v>
      </c>
      <c r="V1488" s="6">
        <v>7.9524999999999997</v>
      </c>
      <c r="W1488" s="3">
        <v>0.79110000000000003</v>
      </c>
      <c r="X1488" s="6"/>
      <c r="Y1488" s="6">
        <v>75.930000000000007</v>
      </c>
      <c r="Z1488" s="3">
        <v>1.2625</v>
      </c>
      <c r="AB1488" s="16"/>
      <c r="AD1488" s="16"/>
      <c r="AE1488" s="1">
        <v>1</v>
      </c>
    </row>
    <row r="1489" spans="1:31" x14ac:dyDescent="0.2">
      <c r="A1489" s="1">
        <v>1488</v>
      </c>
      <c r="B1489" s="1">
        <v>2009</v>
      </c>
      <c r="C1489" s="1" t="s">
        <v>88</v>
      </c>
      <c r="D1489" s="1" t="s">
        <v>916</v>
      </c>
      <c r="E1489" s="8" t="s">
        <v>92</v>
      </c>
      <c r="F1489" s="1" t="s">
        <v>32</v>
      </c>
      <c r="I1489" s="12">
        <v>6.34</v>
      </c>
      <c r="J1489" s="7">
        <v>18.1142857142857</v>
      </c>
      <c r="N1489" s="16" t="s">
        <v>89</v>
      </c>
      <c r="O1489" s="13">
        <v>30.8</v>
      </c>
      <c r="P1489" s="13">
        <v>8.5</v>
      </c>
      <c r="Q1489" s="13">
        <v>49.8</v>
      </c>
      <c r="R1489" s="13">
        <v>52.8</v>
      </c>
      <c r="S1489" s="13"/>
      <c r="T1489" s="13">
        <v>34.1</v>
      </c>
      <c r="U1489" s="13">
        <v>21.7</v>
      </c>
      <c r="V1489" s="13">
        <v>2.7</v>
      </c>
      <c r="W1489" s="12" t="s">
        <v>89</v>
      </c>
      <c r="X1489" s="13">
        <v>76.400000000000006</v>
      </c>
      <c r="Y1489" s="13">
        <v>61.2</v>
      </c>
      <c r="Z1489" s="7">
        <v>1.67</v>
      </c>
      <c r="AA1489" s="13">
        <v>2.2999999999999998</v>
      </c>
      <c r="AB1489" s="14">
        <v>23</v>
      </c>
      <c r="AC1489" s="13">
        <v>7.8</v>
      </c>
      <c r="AD1489" s="16">
        <f>AC1489*10</f>
        <v>78</v>
      </c>
      <c r="AE1489" s="1">
        <v>0</v>
      </c>
    </row>
    <row r="1490" spans="1:31" x14ac:dyDescent="0.2">
      <c r="A1490" s="1">
        <v>1489</v>
      </c>
      <c r="B1490" s="1">
        <v>2009</v>
      </c>
      <c r="C1490" s="1" t="s">
        <v>88</v>
      </c>
      <c r="D1490" s="1" t="s">
        <v>916</v>
      </c>
      <c r="E1490" s="8" t="s">
        <v>145</v>
      </c>
      <c r="F1490" s="1" t="s">
        <v>32</v>
      </c>
      <c r="I1490" s="12">
        <v>6.89</v>
      </c>
      <c r="J1490" s="7">
        <v>19.685714285714301</v>
      </c>
      <c r="N1490" s="16" t="s">
        <v>89</v>
      </c>
      <c r="O1490" s="13">
        <v>36</v>
      </c>
      <c r="P1490" s="13">
        <v>9.1</v>
      </c>
      <c r="Q1490" s="13">
        <v>47.3</v>
      </c>
      <c r="R1490" s="13">
        <v>56.1</v>
      </c>
      <c r="S1490" s="13"/>
      <c r="T1490" s="13">
        <v>32</v>
      </c>
      <c r="U1490" s="13">
        <v>22.7</v>
      </c>
      <c r="V1490" s="13">
        <v>3.4</v>
      </c>
      <c r="W1490" s="12" t="s">
        <v>89</v>
      </c>
      <c r="X1490" s="13">
        <v>79.2</v>
      </c>
      <c r="Y1490" s="13">
        <v>63</v>
      </c>
      <c r="Z1490" s="7">
        <v>1.83</v>
      </c>
      <c r="AA1490" s="13">
        <v>1.3</v>
      </c>
      <c r="AB1490" s="14">
        <v>13</v>
      </c>
      <c r="AC1490" s="13">
        <v>0.8</v>
      </c>
      <c r="AD1490" s="16">
        <f>AC1490*10</f>
        <v>8</v>
      </c>
      <c r="AE1490" s="1">
        <v>0</v>
      </c>
    </row>
    <row r="1491" spans="1:31" x14ac:dyDescent="0.2">
      <c r="A1491" s="1">
        <v>1490</v>
      </c>
      <c r="B1491" s="1">
        <v>2009</v>
      </c>
      <c r="C1491" s="1" t="s">
        <v>88</v>
      </c>
      <c r="D1491" s="1" t="s">
        <v>916</v>
      </c>
      <c r="E1491" s="8" t="s">
        <v>93</v>
      </c>
      <c r="F1491" s="1" t="s">
        <v>32</v>
      </c>
      <c r="I1491" s="12">
        <v>7.44</v>
      </c>
      <c r="J1491" s="7">
        <v>21.257142857142899</v>
      </c>
      <c r="N1491" s="16" t="s">
        <v>89</v>
      </c>
      <c r="O1491" s="13">
        <v>29.2</v>
      </c>
      <c r="P1491" s="13">
        <v>8.5</v>
      </c>
      <c r="Q1491" s="13">
        <v>54.3</v>
      </c>
      <c r="R1491" s="13">
        <v>53.8</v>
      </c>
      <c r="S1491" s="13"/>
      <c r="T1491" s="13">
        <v>36.4</v>
      </c>
      <c r="U1491" s="13">
        <v>14.2</v>
      </c>
      <c r="V1491" s="13">
        <v>1.7</v>
      </c>
      <c r="W1491" s="12" t="s">
        <v>89</v>
      </c>
      <c r="X1491" s="13">
        <v>74.900000000000006</v>
      </c>
      <c r="Y1491" s="13">
        <v>60.8</v>
      </c>
      <c r="Z1491" s="7">
        <v>2.17</v>
      </c>
      <c r="AA1491" s="13">
        <v>1</v>
      </c>
      <c r="AB1491" s="14">
        <v>10</v>
      </c>
      <c r="AC1491" s="13">
        <v>4.3</v>
      </c>
      <c r="AD1491" s="16">
        <f>AC1491*10</f>
        <v>43</v>
      </c>
      <c r="AE1491" s="1">
        <v>0</v>
      </c>
    </row>
    <row r="1492" spans="1:31" x14ac:dyDescent="0.2">
      <c r="A1492" s="1">
        <v>1491</v>
      </c>
      <c r="B1492" s="1">
        <v>2009</v>
      </c>
      <c r="C1492" s="1" t="s">
        <v>88</v>
      </c>
      <c r="D1492" s="1" t="s">
        <v>916</v>
      </c>
      <c r="E1492" s="8" t="s">
        <v>144</v>
      </c>
      <c r="F1492" s="1" t="s">
        <v>32</v>
      </c>
      <c r="I1492" s="12">
        <v>7.47</v>
      </c>
      <c r="J1492" s="7">
        <v>21.342857142857099</v>
      </c>
      <c r="N1492" s="16" t="s">
        <v>89</v>
      </c>
      <c r="O1492" s="13">
        <v>30.1</v>
      </c>
      <c r="P1492" s="13">
        <v>8.1999999999999993</v>
      </c>
      <c r="Q1492" s="13">
        <v>50.4</v>
      </c>
      <c r="R1492" s="13">
        <v>52.2</v>
      </c>
      <c r="S1492" s="13"/>
      <c r="T1492" s="13">
        <v>34.5</v>
      </c>
      <c r="U1492" s="13">
        <v>20.6</v>
      </c>
      <c r="V1492" s="13">
        <v>2.4</v>
      </c>
      <c r="W1492" s="12" t="s">
        <v>89</v>
      </c>
      <c r="X1492" s="13">
        <v>75.900000000000006</v>
      </c>
      <c r="Y1492" s="13">
        <v>60.9</v>
      </c>
      <c r="Z1492" s="7">
        <v>1.95</v>
      </c>
      <c r="AA1492" s="13">
        <v>1</v>
      </c>
      <c r="AB1492" s="14">
        <v>10</v>
      </c>
      <c r="AC1492" s="13">
        <v>6.5</v>
      </c>
      <c r="AD1492" s="16">
        <f>AC1492*10</f>
        <v>65</v>
      </c>
      <c r="AE1492" s="1">
        <v>0</v>
      </c>
    </row>
    <row r="1493" spans="1:31" x14ac:dyDescent="0.2">
      <c r="A1493" s="19">
        <v>1492</v>
      </c>
      <c r="B1493" s="19">
        <v>2022</v>
      </c>
      <c r="C1493" s="19" t="s">
        <v>31</v>
      </c>
      <c r="D1493" s="1" t="s">
        <v>916</v>
      </c>
      <c r="E1493" s="19" t="s">
        <v>650</v>
      </c>
      <c r="F1493" s="19" t="s">
        <v>32</v>
      </c>
      <c r="G1493" s="19"/>
      <c r="H1493" s="19"/>
      <c r="I1493" s="19">
        <v>7.82</v>
      </c>
      <c r="J1493" s="19">
        <v>22.34</v>
      </c>
      <c r="K1493" s="19"/>
      <c r="L1493" s="19">
        <v>3436</v>
      </c>
      <c r="M1493" s="19"/>
      <c r="N1493" s="20">
        <v>26695.240572658</v>
      </c>
      <c r="O1493" s="19">
        <v>35.4</v>
      </c>
      <c r="P1493" s="19">
        <v>6.4</v>
      </c>
      <c r="Q1493" s="19">
        <v>39.700000000000003</v>
      </c>
      <c r="R1493" s="19">
        <v>61.4</v>
      </c>
      <c r="S1493" s="19"/>
      <c r="T1493" s="19">
        <v>21.6</v>
      </c>
      <c r="U1493" s="19">
        <v>36.200000000000003</v>
      </c>
      <c r="V1493" s="21">
        <v>8.3745114340000004</v>
      </c>
      <c r="W1493" s="19">
        <v>0.72</v>
      </c>
      <c r="X1493" s="19"/>
      <c r="Y1493" s="19">
        <v>73.7</v>
      </c>
      <c r="Z1493" s="19"/>
      <c r="AA1493" s="19">
        <v>2.2999999999999998</v>
      </c>
      <c r="AB1493" s="19">
        <v>23</v>
      </c>
      <c r="AC1493" s="19"/>
      <c r="AD1493" s="19"/>
      <c r="AE1493" s="19">
        <v>1</v>
      </c>
    </row>
    <row r="1494" spans="1:31" x14ac:dyDescent="0.2">
      <c r="A1494" s="19">
        <v>1493</v>
      </c>
      <c r="B1494" s="19">
        <v>2022</v>
      </c>
      <c r="C1494" s="19" t="s">
        <v>31</v>
      </c>
      <c r="D1494" s="1" t="s">
        <v>916</v>
      </c>
      <c r="E1494" s="19" t="s">
        <v>852</v>
      </c>
      <c r="F1494" s="19" t="s">
        <v>32</v>
      </c>
      <c r="G1494" s="19"/>
      <c r="H1494" s="19"/>
      <c r="I1494" s="19">
        <v>7.9</v>
      </c>
      <c r="J1494" s="19">
        <v>22.58</v>
      </c>
      <c r="K1494" s="19" t="s">
        <v>34</v>
      </c>
      <c r="L1494" s="19">
        <v>3693</v>
      </c>
      <c r="M1494" s="19" t="s">
        <v>34</v>
      </c>
      <c r="N1494" s="20">
        <v>29249.235945542001</v>
      </c>
      <c r="O1494" s="19">
        <v>40.299999999999997</v>
      </c>
      <c r="P1494" s="19">
        <v>6.2</v>
      </c>
      <c r="Q1494" s="19">
        <v>31.9</v>
      </c>
      <c r="R1494" s="19">
        <v>61.8</v>
      </c>
      <c r="S1494" s="19"/>
      <c r="T1494" s="19">
        <v>16.399999999999999</v>
      </c>
      <c r="U1494" s="19">
        <v>50.2</v>
      </c>
      <c r="V1494" s="21">
        <v>6.9356710609999999</v>
      </c>
      <c r="W1494" s="19">
        <v>0.76</v>
      </c>
      <c r="X1494" s="19"/>
      <c r="Y1494" s="19">
        <v>76.3</v>
      </c>
      <c r="Z1494" s="19"/>
      <c r="AA1494" s="19">
        <v>1.4</v>
      </c>
      <c r="AB1494" s="19">
        <v>14</v>
      </c>
      <c r="AC1494" s="19"/>
      <c r="AD1494" s="19"/>
      <c r="AE1494" s="19">
        <v>1</v>
      </c>
    </row>
    <row r="1495" spans="1:31" x14ac:dyDescent="0.2">
      <c r="A1495" s="19">
        <v>1494</v>
      </c>
      <c r="B1495" s="19">
        <v>2022</v>
      </c>
      <c r="C1495" s="19" t="s">
        <v>31</v>
      </c>
      <c r="D1495" s="1" t="s">
        <v>916</v>
      </c>
      <c r="E1495" s="19" t="s">
        <v>853</v>
      </c>
      <c r="F1495" s="19" t="s">
        <v>32</v>
      </c>
      <c r="G1495" s="19"/>
      <c r="H1495" s="19"/>
      <c r="I1495" s="19">
        <v>6.46</v>
      </c>
      <c r="J1495" s="19">
        <v>18.46</v>
      </c>
      <c r="K1495" s="19"/>
      <c r="L1495" s="19">
        <v>3439</v>
      </c>
      <c r="M1495" s="19"/>
      <c r="N1495" s="20">
        <v>22250.179866107999</v>
      </c>
      <c r="O1495" s="19">
        <v>39.1</v>
      </c>
      <c r="P1495" s="19">
        <v>6</v>
      </c>
      <c r="Q1495" s="19">
        <v>37.6</v>
      </c>
      <c r="R1495" s="19">
        <v>57.9</v>
      </c>
      <c r="S1495" s="19"/>
      <c r="T1495" s="19">
        <v>20.5</v>
      </c>
      <c r="U1495" s="19">
        <v>42.2</v>
      </c>
      <c r="V1495" s="21">
        <v>7.4611781009999998</v>
      </c>
      <c r="W1495" s="19">
        <v>0.72</v>
      </c>
      <c r="X1495" s="19"/>
      <c r="Y1495" s="19">
        <v>73.3</v>
      </c>
      <c r="Z1495" s="19"/>
      <c r="AA1495" s="19">
        <v>0.8</v>
      </c>
      <c r="AB1495" s="19">
        <v>8</v>
      </c>
      <c r="AC1495" s="19"/>
      <c r="AD1495" s="19"/>
      <c r="AE1495" s="19">
        <v>1</v>
      </c>
    </row>
    <row r="1496" spans="1:31" x14ac:dyDescent="0.2">
      <c r="A1496" s="19">
        <v>1495</v>
      </c>
      <c r="B1496" s="19">
        <v>2022</v>
      </c>
      <c r="C1496" s="19" t="s">
        <v>31</v>
      </c>
      <c r="D1496" s="1" t="s">
        <v>916</v>
      </c>
      <c r="E1496" s="19" t="s">
        <v>854</v>
      </c>
      <c r="F1496" s="19" t="s">
        <v>32</v>
      </c>
      <c r="G1496" s="19"/>
      <c r="H1496" s="19"/>
      <c r="I1496" s="19">
        <v>6.66</v>
      </c>
      <c r="J1496" s="19">
        <v>19.02</v>
      </c>
      <c r="K1496" s="19"/>
      <c r="L1496" s="19">
        <v>3257</v>
      </c>
      <c r="M1496" s="19"/>
      <c r="N1496" s="20">
        <v>21677.885992486001</v>
      </c>
      <c r="O1496" s="19">
        <v>43.5</v>
      </c>
      <c r="P1496" s="19">
        <v>5.9</v>
      </c>
      <c r="Q1496" s="19">
        <v>44.9</v>
      </c>
      <c r="R1496" s="19">
        <v>59.5</v>
      </c>
      <c r="S1496" s="19"/>
      <c r="T1496" s="19">
        <v>24.4</v>
      </c>
      <c r="U1496" s="19">
        <v>33</v>
      </c>
      <c r="V1496" s="21">
        <v>7.5181710610000003</v>
      </c>
      <c r="W1496" s="19">
        <v>0.69</v>
      </c>
      <c r="X1496" s="19"/>
      <c r="Y1496" s="19">
        <v>71.400000000000006</v>
      </c>
      <c r="Z1496" s="19"/>
      <c r="AA1496" s="19">
        <v>1.4</v>
      </c>
      <c r="AB1496" s="19">
        <v>14</v>
      </c>
      <c r="AC1496" s="19"/>
      <c r="AD1496" s="19"/>
      <c r="AE1496" s="19">
        <v>1</v>
      </c>
    </row>
    <row r="1497" spans="1:31" x14ac:dyDescent="0.2">
      <c r="A1497" s="19">
        <v>1496</v>
      </c>
      <c r="B1497" s="19">
        <v>2022</v>
      </c>
      <c r="C1497" s="19" t="s">
        <v>31</v>
      </c>
      <c r="D1497" s="19" t="s">
        <v>985</v>
      </c>
      <c r="E1497" s="19" t="s">
        <v>855</v>
      </c>
      <c r="F1497" s="19" t="s">
        <v>32</v>
      </c>
      <c r="G1497" s="19">
        <v>115</v>
      </c>
      <c r="H1497" s="19"/>
      <c r="I1497" s="19">
        <v>7.86</v>
      </c>
      <c r="J1497" s="19">
        <v>22.47</v>
      </c>
      <c r="K1497" s="19"/>
      <c r="L1497" s="19">
        <v>3315</v>
      </c>
      <c r="M1497" s="19"/>
      <c r="N1497" s="20">
        <v>26104.170581817001</v>
      </c>
      <c r="O1497" s="19">
        <v>40.200000000000003</v>
      </c>
      <c r="P1497" s="19">
        <v>6.5</v>
      </c>
      <c r="Q1497" s="19">
        <v>42.3</v>
      </c>
      <c r="R1497" s="19">
        <v>57.7</v>
      </c>
      <c r="S1497" s="19"/>
      <c r="T1497" s="19">
        <v>23</v>
      </c>
      <c r="U1497" s="19">
        <v>38.799999999999997</v>
      </c>
      <c r="V1497" s="21">
        <v>7.5203621079999996</v>
      </c>
      <c r="W1497" s="19">
        <v>0.7</v>
      </c>
      <c r="X1497" s="19"/>
      <c r="Y1497" s="19">
        <v>71.7</v>
      </c>
      <c r="Z1497" s="19"/>
      <c r="AA1497" s="19">
        <v>1</v>
      </c>
      <c r="AB1497" s="19">
        <v>10</v>
      </c>
      <c r="AC1497" s="19"/>
      <c r="AD1497" s="19"/>
      <c r="AE1497" s="19">
        <v>1</v>
      </c>
    </row>
    <row r="1498" spans="1:31" x14ac:dyDescent="0.2">
      <c r="A1498" s="19">
        <v>1497</v>
      </c>
      <c r="B1498" s="19">
        <v>2022</v>
      </c>
      <c r="C1498" s="19" t="s">
        <v>31</v>
      </c>
      <c r="D1498" s="19" t="s">
        <v>985</v>
      </c>
      <c r="E1498" s="19" t="s">
        <v>856</v>
      </c>
      <c r="F1498" s="19" t="s">
        <v>32</v>
      </c>
      <c r="G1498" s="19">
        <v>117</v>
      </c>
      <c r="H1498" s="19"/>
      <c r="I1498" s="19">
        <v>7.1</v>
      </c>
      <c r="J1498" s="19">
        <v>20.29</v>
      </c>
      <c r="K1498" s="19"/>
      <c r="L1498" s="19">
        <v>3364</v>
      </c>
      <c r="M1498" s="19"/>
      <c r="N1498" s="20">
        <v>24031.673604477</v>
      </c>
      <c r="O1498" s="19">
        <v>39.4</v>
      </c>
      <c r="P1498" s="19">
        <v>5.8</v>
      </c>
      <c r="Q1498" s="19">
        <v>41.5</v>
      </c>
      <c r="R1498" s="19">
        <v>60.3</v>
      </c>
      <c r="S1498" s="19"/>
      <c r="T1498" s="19">
        <v>22.8</v>
      </c>
      <c r="U1498" s="19">
        <v>40.1</v>
      </c>
      <c r="V1498" s="21">
        <v>6.8178447670000004</v>
      </c>
      <c r="W1498" s="19">
        <v>0.71</v>
      </c>
      <c r="X1498" s="19"/>
      <c r="Y1498" s="19">
        <v>72.7</v>
      </c>
      <c r="Z1498" s="19"/>
      <c r="AA1498" s="19">
        <v>1.6</v>
      </c>
      <c r="AB1498" s="19">
        <v>16</v>
      </c>
      <c r="AC1498" s="19"/>
      <c r="AD1498" s="19"/>
      <c r="AE1498" s="19">
        <v>1</v>
      </c>
    </row>
    <row r="1499" spans="1:31" x14ac:dyDescent="0.2">
      <c r="A1499" s="19">
        <v>1498</v>
      </c>
      <c r="B1499" s="19">
        <v>2022</v>
      </c>
      <c r="C1499" s="19" t="s">
        <v>31</v>
      </c>
      <c r="D1499" s="19" t="s">
        <v>985</v>
      </c>
      <c r="E1499" s="19" t="s">
        <v>857</v>
      </c>
      <c r="F1499" s="19" t="s">
        <v>32</v>
      </c>
      <c r="G1499" s="19">
        <v>120</v>
      </c>
      <c r="H1499" s="19"/>
      <c r="I1499" s="19">
        <v>5.79</v>
      </c>
      <c r="J1499" s="19">
        <v>16.55</v>
      </c>
      <c r="K1499" s="19"/>
      <c r="L1499" s="19">
        <v>3453</v>
      </c>
      <c r="M1499" s="19"/>
      <c r="N1499" s="20">
        <v>19916.479302596999</v>
      </c>
      <c r="O1499" s="19">
        <v>45.8</v>
      </c>
      <c r="P1499" s="19">
        <v>5.7</v>
      </c>
      <c r="Q1499" s="19">
        <v>37.6</v>
      </c>
      <c r="R1499" s="19">
        <v>58.6</v>
      </c>
      <c r="S1499" s="19"/>
      <c r="T1499" s="19">
        <v>20.2</v>
      </c>
      <c r="U1499" s="19">
        <v>43.5</v>
      </c>
      <c r="V1499" s="21">
        <v>6.7874345610000004</v>
      </c>
      <c r="W1499" s="19">
        <v>0.72</v>
      </c>
      <c r="X1499" s="19"/>
      <c r="Y1499" s="19">
        <v>73.5</v>
      </c>
      <c r="Z1499" s="19"/>
      <c r="AA1499" s="19">
        <v>1.6</v>
      </c>
      <c r="AB1499" s="19">
        <v>16</v>
      </c>
      <c r="AC1499" s="19"/>
      <c r="AD1499" s="19"/>
      <c r="AE1499" s="19">
        <v>1</v>
      </c>
    </row>
    <row r="1500" spans="1:31" x14ac:dyDescent="0.2">
      <c r="A1500" s="19">
        <v>1499</v>
      </c>
      <c r="B1500" s="19">
        <v>2022</v>
      </c>
      <c r="C1500" s="19" t="s">
        <v>31</v>
      </c>
      <c r="D1500" s="19" t="s">
        <v>402</v>
      </c>
      <c r="E1500" s="19" t="s">
        <v>858</v>
      </c>
      <c r="F1500" s="19" t="s">
        <v>32</v>
      </c>
      <c r="G1500" s="19">
        <v>114</v>
      </c>
      <c r="H1500" s="19"/>
      <c r="I1500" s="19">
        <v>6.79</v>
      </c>
      <c r="J1500" s="19">
        <v>19.41</v>
      </c>
      <c r="K1500" s="19"/>
      <c r="L1500" s="19">
        <v>3506</v>
      </c>
      <c r="M1500" s="19"/>
      <c r="N1500" s="20">
        <v>23889.138263523</v>
      </c>
      <c r="O1500" s="19">
        <v>41.6</v>
      </c>
      <c r="P1500" s="19">
        <v>6.1</v>
      </c>
      <c r="Q1500" s="19">
        <v>37.1</v>
      </c>
      <c r="R1500" s="19">
        <v>58.3</v>
      </c>
      <c r="S1500" s="19"/>
      <c r="T1500" s="19">
        <v>19.899999999999999</v>
      </c>
      <c r="U1500" s="19">
        <v>43.9</v>
      </c>
      <c r="V1500" s="21">
        <v>7.4231710609999997</v>
      </c>
      <c r="W1500" s="19">
        <v>0.73</v>
      </c>
      <c r="X1500" s="19"/>
      <c r="Y1500" s="19">
        <v>74.2</v>
      </c>
      <c r="Z1500" s="19"/>
      <c r="AA1500" s="19">
        <v>1</v>
      </c>
      <c r="AB1500" s="19">
        <v>10</v>
      </c>
      <c r="AC1500" s="19"/>
      <c r="AD1500" s="19"/>
      <c r="AE1500" s="19">
        <v>1</v>
      </c>
    </row>
    <row r="1501" spans="1:31" x14ac:dyDescent="0.2">
      <c r="A1501" s="19">
        <v>1500</v>
      </c>
      <c r="B1501" s="19">
        <v>2022</v>
      </c>
      <c r="C1501" s="19" t="s">
        <v>31</v>
      </c>
      <c r="D1501" s="19" t="s">
        <v>402</v>
      </c>
      <c r="E1501" s="19" t="s">
        <v>859</v>
      </c>
      <c r="F1501" s="19" t="s">
        <v>32</v>
      </c>
      <c r="G1501" s="19">
        <v>118</v>
      </c>
      <c r="H1501" s="19"/>
      <c r="I1501" s="19">
        <v>7.82</v>
      </c>
      <c r="J1501" s="19">
        <v>22.35</v>
      </c>
      <c r="K1501" s="19"/>
      <c r="L1501" s="19">
        <v>3257</v>
      </c>
      <c r="M1501" s="19"/>
      <c r="N1501" s="20">
        <v>25666.234626388999</v>
      </c>
      <c r="O1501" s="19">
        <v>36</v>
      </c>
      <c r="P1501" s="19">
        <v>7.1</v>
      </c>
      <c r="Q1501" s="19">
        <v>42.2</v>
      </c>
      <c r="R1501" s="19">
        <v>57.1</v>
      </c>
      <c r="S1501" s="19"/>
      <c r="T1501" s="19">
        <v>23.3</v>
      </c>
      <c r="U1501" s="19">
        <v>33.4</v>
      </c>
      <c r="V1501" s="21">
        <v>7.1869379699999998</v>
      </c>
      <c r="W1501" s="19">
        <v>0.69</v>
      </c>
      <c r="X1501" s="19"/>
      <c r="Y1501" s="19">
        <v>71</v>
      </c>
      <c r="Z1501" s="19"/>
      <c r="AA1501" s="19">
        <v>1</v>
      </c>
      <c r="AB1501" s="19">
        <v>10</v>
      </c>
      <c r="AC1501" s="19"/>
      <c r="AD1501" s="19"/>
      <c r="AE1501" s="19">
        <v>1</v>
      </c>
    </row>
    <row r="1502" spans="1:31" x14ac:dyDescent="0.2">
      <c r="A1502" s="19">
        <v>1501</v>
      </c>
      <c r="B1502" s="19">
        <v>2022</v>
      </c>
      <c r="C1502" s="19" t="s">
        <v>31</v>
      </c>
      <c r="D1502" s="19" t="s">
        <v>402</v>
      </c>
      <c r="E1502" s="19" t="s">
        <v>860</v>
      </c>
      <c r="F1502" s="19" t="s">
        <v>32</v>
      </c>
      <c r="G1502" s="19">
        <v>118</v>
      </c>
      <c r="H1502" s="19"/>
      <c r="I1502" s="19">
        <v>7.15</v>
      </c>
      <c r="J1502" s="19">
        <v>20.420000000000002</v>
      </c>
      <c r="K1502" s="19"/>
      <c r="L1502" s="19">
        <v>3242</v>
      </c>
      <c r="M1502" s="19"/>
      <c r="N1502" s="20">
        <v>23355.911489460999</v>
      </c>
      <c r="O1502" s="19">
        <v>41.3</v>
      </c>
      <c r="P1502" s="19">
        <v>5.6</v>
      </c>
      <c r="Q1502" s="19">
        <v>50</v>
      </c>
      <c r="R1502" s="19">
        <v>63.2</v>
      </c>
      <c r="S1502" s="19"/>
      <c r="T1502" s="19">
        <v>27.3</v>
      </c>
      <c r="U1502" s="19">
        <v>30.5</v>
      </c>
      <c r="V1502" s="21">
        <v>6.4478447670000003</v>
      </c>
      <c r="W1502" s="19">
        <v>0.69</v>
      </c>
      <c r="X1502" s="19"/>
      <c r="Y1502" s="19">
        <v>71.900000000000006</v>
      </c>
      <c r="Z1502" s="19"/>
      <c r="AA1502" s="19">
        <v>1.1000000000000001</v>
      </c>
      <c r="AB1502" s="19">
        <v>11</v>
      </c>
      <c r="AC1502" s="19"/>
      <c r="AD1502" s="19"/>
      <c r="AE1502" s="19">
        <v>1</v>
      </c>
    </row>
    <row r="1503" spans="1:31" x14ac:dyDescent="0.2">
      <c r="A1503" s="19">
        <v>1502</v>
      </c>
      <c r="B1503" s="19">
        <v>2022</v>
      </c>
      <c r="C1503" s="19" t="s">
        <v>31</v>
      </c>
      <c r="D1503" s="19" t="s">
        <v>861</v>
      </c>
      <c r="E1503" s="19" t="s">
        <v>862</v>
      </c>
      <c r="F1503" s="19" t="s">
        <v>32</v>
      </c>
      <c r="G1503" s="19">
        <v>117</v>
      </c>
      <c r="H1503" s="19"/>
      <c r="I1503" s="19">
        <v>7.24</v>
      </c>
      <c r="J1503" s="19">
        <v>20.7</v>
      </c>
      <c r="K1503" s="19"/>
      <c r="L1503" s="19">
        <v>3343</v>
      </c>
      <c r="M1503" s="19"/>
      <c r="N1503" s="20">
        <v>24642.659119835</v>
      </c>
      <c r="O1503" s="19">
        <v>40.299999999999997</v>
      </c>
      <c r="P1503" s="19">
        <v>5.8</v>
      </c>
      <c r="Q1503" s="19">
        <v>44.9</v>
      </c>
      <c r="R1503" s="19">
        <v>62.2</v>
      </c>
      <c r="S1503" s="19"/>
      <c r="T1503" s="19">
        <v>24.1</v>
      </c>
      <c r="U1503" s="19">
        <v>33.9</v>
      </c>
      <c r="V1503" s="21">
        <v>7.9395380080000004</v>
      </c>
      <c r="W1503" s="19">
        <v>0.7</v>
      </c>
      <c r="X1503" s="19"/>
      <c r="Y1503" s="19">
        <v>72.7</v>
      </c>
      <c r="Z1503" s="19"/>
      <c r="AA1503" s="19">
        <v>0.9</v>
      </c>
      <c r="AB1503" s="19">
        <v>9</v>
      </c>
      <c r="AC1503" s="19"/>
      <c r="AD1503" s="19"/>
      <c r="AE1503" s="19">
        <v>1</v>
      </c>
    </row>
    <row r="1504" spans="1:31" x14ac:dyDescent="0.2">
      <c r="A1504" s="19">
        <v>1503</v>
      </c>
      <c r="B1504" s="19">
        <v>2022</v>
      </c>
      <c r="C1504" s="19" t="s">
        <v>31</v>
      </c>
      <c r="D1504" s="19" t="s">
        <v>861</v>
      </c>
      <c r="E1504" s="19" t="s">
        <v>863</v>
      </c>
      <c r="F1504" s="19" t="s">
        <v>32</v>
      </c>
      <c r="G1504" s="19">
        <v>116</v>
      </c>
      <c r="H1504" s="19"/>
      <c r="I1504" s="19">
        <v>6.59</v>
      </c>
      <c r="J1504" s="19">
        <v>18.84</v>
      </c>
      <c r="K1504" s="19"/>
      <c r="L1504" s="19">
        <v>3174</v>
      </c>
      <c r="M1504" s="19"/>
      <c r="N1504" s="20">
        <v>21125.370804147002</v>
      </c>
      <c r="O1504" s="19">
        <v>39.4</v>
      </c>
      <c r="P1504" s="19">
        <v>5.8</v>
      </c>
      <c r="Q1504" s="19">
        <v>49.7</v>
      </c>
      <c r="R1504" s="19">
        <v>61.4</v>
      </c>
      <c r="S1504" s="19"/>
      <c r="T1504" s="19">
        <v>27.2</v>
      </c>
      <c r="U1504" s="19">
        <v>29.7</v>
      </c>
      <c r="V1504" s="21">
        <v>6.874538008</v>
      </c>
      <c r="W1504" s="19">
        <v>0.68</v>
      </c>
      <c r="X1504" s="19"/>
      <c r="Y1504" s="19">
        <v>70.8</v>
      </c>
      <c r="Z1504" s="19"/>
      <c r="AA1504" s="19">
        <v>1.4</v>
      </c>
      <c r="AB1504" s="19">
        <v>14</v>
      </c>
      <c r="AC1504" s="19"/>
      <c r="AD1504" s="19"/>
      <c r="AE1504" s="19">
        <v>1</v>
      </c>
    </row>
    <row r="1505" spans="1:31" x14ac:dyDescent="0.2">
      <c r="A1505" s="19">
        <v>1504</v>
      </c>
      <c r="B1505" s="19">
        <v>2022</v>
      </c>
      <c r="C1505" s="19" t="s">
        <v>31</v>
      </c>
      <c r="D1505" s="19" t="s">
        <v>861</v>
      </c>
      <c r="E1505" s="19" t="s">
        <v>864</v>
      </c>
      <c r="F1505" s="19" t="s">
        <v>32</v>
      </c>
      <c r="G1505" s="19">
        <v>114</v>
      </c>
      <c r="H1505" s="19"/>
      <c r="I1505" s="19">
        <v>7.23</v>
      </c>
      <c r="J1505" s="19">
        <v>20.65</v>
      </c>
      <c r="K1505" s="19" t="s">
        <v>34</v>
      </c>
      <c r="L1505" s="19">
        <v>3631</v>
      </c>
      <c r="M1505" s="19"/>
      <c r="N1505" s="20">
        <v>26538.184167906002</v>
      </c>
      <c r="O1505" s="19">
        <v>41.2</v>
      </c>
      <c r="P1505" s="19">
        <v>6</v>
      </c>
      <c r="Q1505" s="19">
        <v>35.299999999999997</v>
      </c>
      <c r="R1505" s="19">
        <v>60.7</v>
      </c>
      <c r="S1505" s="19"/>
      <c r="T1505" s="19">
        <v>18</v>
      </c>
      <c r="U1505" s="19">
        <v>45.6</v>
      </c>
      <c r="V1505" s="21">
        <v>7.2706710609999998</v>
      </c>
      <c r="W1505" s="19">
        <v>0.75</v>
      </c>
      <c r="X1505" s="19"/>
      <c r="Y1505" s="19">
        <v>75.599999999999994</v>
      </c>
      <c r="Z1505" s="19"/>
      <c r="AA1505" s="19">
        <v>1.1000000000000001</v>
      </c>
      <c r="AB1505" s="19">
        <v>11</v>
      </c>
      <c r="AC1505" s="19"/>
      <c r="AD1505" s="19"/>
      <c r="AE1505" s="19">
        <v>1</v>
      </c>
    </row>
    <row r="1506" spans="1:31" x14ac:dyDescent="0.2">
      <c r="A1506" s="19">
        <v>1505</v>
      </c>
      <c r="B1506" s="19">
        <v>2022</v>
      </c>
      <c r="C1506" s="19" t="s">
        <v>31</v>
      </c>
      <c r="D1506" s="19" t="s">
        <v>861</v>
      </c>
      <c r="E1506" s="19" t="s">
        <v>865</v>
      </c>
      <c r="F1506" s="19" t="s">
        <v>32</v>
      </c>
      <c r="G1506" s="19">
        <v>116</v>
      </c>
      <c r="H1506" s="19"/>
      <c r="I1506" s="19">
        <v>6.32</v>
      </c>
      <c r="J1506" s="19">
        <v>18.05</v>
      </c>
      <c r="K1506" s="19"/>
      <c r="L1506" s="19">
        <v>3403</v>
      </c>
      <c r="M1506" s="19"/>
      <c r="N1506" s="20">
        <v>21530.533666596999</v>
      </c>
      <c r="O1506" s="19">
        <v>38.9</v>
      </c>
      <c r="P1506" s="19">
        <v>6</v>
      </c>
      <c r="Q1506" s="19">
        <v>40.200000000000003</v>
      </c>
      <c r="R1506" s="19">
        <v>59.5</v>
      </c>
      <c r="S1506" s="19"/>
      <c r="T1506" s="19">
        <v>21.7</v>
      </c>
      <c r="U1506" s="19">
        <v>39.6</v>
      </c>
      <c r="V1506" s="21">
        <v>8.0310399839999995</v>
      </c>
      <c r="W1506" s="19">
        <v>0.71</v>
      </c>
      <c r="X1506" s="19"/>
      <c r="Y1506" s="19">
        <v>73.2</v>
      </c>
      <c r="Z1506" s="19"/>
      <c r="AA1506" s="19">
        <v>0.9</v>
      </c>
      <c r="AB1506" s="19">
        <v>9</v>
      </c>
      <c r="AC1506" s="19"/>
      <c r="AD1506" s="19"/>
      <c r="AE1506" s="19">
        <v>1</v>
      </c>
    </row>
    <row r="1507" spans="1:31" x14ac:dyDescent="0.2">
      <c r="A1507" s="19">
        <v>1506</v>
      </c>
      <c r="B1507" s="19">
        <v>2022</v>
      </c>
      <c r="C1507" s="19" t="s">
        <v>31</v>
      </c>
      <c r="D1507" s="19" t="s">
        <v>861</v>
      </c>
      <c r="E1507" s="19" t="s">
        <v>866</v>
      </c>
      <c r="F1507" s="19" t="s">
        <v>32</v>
      </c>
      <c r="G1507" s="19">
        <v>117</v>
      </c>
      <c r="H1507" s="19"/>
      <c r="I1507" s="19">
        <v>7.18</v>
      </c>
      <c r="J1507" s="19">
        <v>20.53</v>
      </c>
      <c r="K1507" s="19"/>
      <c r="L1507" s="19">
        <v>3224</v>
      </c>
      <c r="M1507" s="19"/>
      <c r="N1507" s="20">
        <v>23107.325220297</v>
      </c>
      <c r="O1507" s="19">
        <v>38</v>
      </c>
      <c r="P1507" s="19">
        <v>5.2</v>
      </c>
      <c r="Q1507" s="19">
        <v>45.3</v>
      </c>
      <c r="R1507" s="19">
        <v>57.3</v>
      </c>
      <c r="S1507" s="19"/>
      <c r="T1507" s="19">
        <v>24.9</v>
      </c>
      <c r="U1507" s="19">
        <v>35.1</v>
      </c>
      <c r="V1507" s="21">
        <v>7.9495380080000002</v>
      </c>
      <c r="W1507" s="19">
        <v>0.69</v>
      </c>
      <c r="X1507" s="19"/>
      <c r="Y1507" s="19">
        <v>70.8</v>
      </c>
      <c r="Z1507" s="19"/>
      <c r="AA1507" s="19">
        <v>0.9</v>
      </c>
      <c r="AB1507" s="19">
        <v>9</v>
      </c>
      <c r="AC1507" s="19"/>
      <c r="AD1507" s="19"/>
      <c r="AE1507" s="19">
        <v>1</v>
      </c>
    </row>
    <row r="1508" spans="1:31" x14ac:dyDescent="0.2">
      <c r="A1508" s="19">
        <v>1507</v>
      </c>
      <c r="B1508" s="19">
        <v>2022</v>
      </c>
      <c r="C1508" s="19" t="s">
        <v>31</v>
      </c>
      <c r="D1508" s="19" t="s">
        <v>861</v>
      </c>
      <c r="E1508" s="19" t="s">
        <v>867</v>
      </c>
      <c r="F1508" s="19" t="s">
        <v>32</v>
      </c>
      <c r="G1508" s="19">
        <v>117</v>
      </c>
      <c r="H1508" s="19"/>
      <c r="I1508" s="19">
        <v>7.67</v>
      </c>
      <c r="J1508" s="19">
        <v>21.91</v>
      </c>
      <c r="K1508" s="19"/>
      <c r="L1508" s="19">
        <v>3332</v>
      </c>
      <c r="M1508" s="19"/>
      <c r="N1508" s="20">
        <v>25538.437020884001</v>
      </c>
      <c r="O1508" s="19">
        <v>40.5</v>
      </c>
      <c r="P1508" s="19">
        <v>6.5</v>
      </c>
      <c r="Q1508" s="19">
        <v>41.7</v>
      </c>
      <c r="R1508" s="19">
        <v>58.1</v>
      </c>
      <c r="S1508" s="19"/>
      <c r="T1508" s="19">
        <v>22.5</v>
      </c>
      <c r="U1508" s="19">
        <v>37</v>
      </c>
      <c r="V1508" s="21">
        <v>7.2810726419999998</v>
      </c>
      <c r="W1508" s="19">
        <v>0.7</v>
      </c>
      <c r="X1508" s="19"/>
      <c r="Y1508" s="19">
        <v>72</v>
      </c>
      <c r="Z1508" s="19"/>
      <c r="AA1508" s="19">
        <v>0.8</v>
      </c>
      <c r="AB1508" s="19">
        <v>8</v>
      </c>
      <c r="AC1508" s="19"/>
      <c r="AD1508" s="19"/>
      <c r="AE1508" s="19">
        <v>1</v>
      </c>
    </row>
    <row r="1509" spans="1:31" x14ac:dyDescent="0.2">
      <c r="A1509" s="19">
        <v>1508</v>
      </c>
      <c r="B1509" s="19">
        <v>2022</v>
      </c>
      <c r="C1509" s="19" t="s">
        <v>31</v>
      </c>
      <c r="D1509" s="19" t="s">
        <v>861</v>
      </c>
      <c r="E1509" s="19" t="s">
        <v>868</v>
      </c>
      <c r="F1509" s="19" t="s">
        <v>32</v>
      </c>
      <c r="G1509" s="19">
        <v>119</v>
      </c>
      <c r="H1509" s="19"/>
      <c r="I1509" s="19">
        <v>7.13</v>
      </c>
      <c r="J1509" s="19">
        <v>20.36</v>
      </c>
      <c r="K1509" s="19"/>
      <c r="L1509" s="19">
        <v>3324</v>
      </c>
      <c r="M1509" s="19"/>
      <c r="N1509" s="20">
        <v>23640.995233284</v>
      </c>
      <c r="O1509" s="19">
        <v>51.2</v>
      </c>
      <c r="P1509" s="19">
        <v>5</v>
      </c>
      <c r="Q1509" s="19">
        <v>45.9</v>
      </c>
      <c r="R1509" s="19">
        <v>60.9</v>
      </c>
      <c r="S1509" s="19"/>
      <c r="T1509" s="19">
        <v>25</v>
      </c>
      <c r="U1509" s="19">
        <v>36</v>
      </c>
      <c r="V1509" s="21">
        <v>6.2200237400000002</v>
      </c>
      <c r="W1509" s="19">
        <v>0.7</v>
      </c>
      <c r="X1509" s="19"/>
      <c r="Y1509" s="19">
        <v>72.400000000000006</v>
      </c>
      <c r="Z1509" s="19"/>
      <c r="AA1509" s="19">
        <v>1.2</v>
      </c>
      <c r="AB1509" s="19">
        <v>12</v>
      </c>
      <c r="AC1509" s="19"/>
      <c r="AD1509" s="19"/>
      <c r="AE1509" s="19">
        <v>1</v>
      </c>
    </row>
    <row r="1510" spans="1:31" x14ac:dyDescent="0.2">
      <c r="A1510" s="19">
        <v>1509</v>
      </c>
      <c r="B1510" s="19">
        <v>2022</v>
      </c>
      <c r="C1510" s="19" t="s">
        <v>31</v>
      </c>
      <c r="D1510" s="1" t="s">
        <v>805</v>
      </c>
      <c r="E1510" s="19" t="s">
        <v>869</v>
      </c>
      <c r="F1510" s="19" t="s">
        <v>32</v>
      </c>
      <c r="G1510" s="19">
        <v>120</v>
      </c>
      <c r="H1510" s="19"/>
      <c r="I1510" s="19">
        <v>6.02</v>
      </c>
      <c r="J1510" s="19">
        <v>17.190000000000001</v>
      </c>
      <c r="K1510" s="19"/>
      <c r="L1510" s="19">
        <v>3362</v>
      </c>
      <c r="M1510" s="19"/>
      <c r="N1510" s="20">
        <v>20312.612864415001</v>
      </c>
      <c r="O1510" s="19">
        <v>41.7</v>
      </c>
      <c r="P1510" s="19">
        <v>6.1</v>
      </c>
      <c r="Q1510" s="19">
        <v>40.299999999999997</v>
      </c>
      <c r="R1510" s="19">
        <v>57.7</v>
      </c>
      <c r="S1510" s="19"/>
      <c r="T1510" s="19">
        <v>21.6</v>
      </c>
      <c r="U1510" s="19">
        <v>38</v>
      </c>
      <c r="V1510" s="21">
        <v>7.7774345609999997</v>
      </c>
      <c r="W1510" s="19">
        <v>0.71</v>
      </c>
      <c r="X1510" s="19"/>
      <c r="Y1510" s="19">
        <v>72.3</v>
      </c>
      <c r="Z1510" s="19"/>
      <c r="AA1510" s="19">
        <v>1.4</v>
      </c>
      <c r="AB1510" s="19">
        <v>14</v>
      </c>
      <c r="AC1510" s="19"/>
      <c r="AD1510" s="19"/>
      <c r="AE1510" s="19">
        <v>1</v>
      </c>
    </row>
    <row r="1511" spans="1:31" x14ac:dyDescent="0.2">
      <c r="A1511" s="19">
        <v>1510</v>
      </c>
      <c r="B1511" s="19">
        <v>2022</v>
      </c>
      <c r="C1511" s="19" t="s">
        <v>31</v>
      </c>
      <c r="D1511" s="1" t="s">
        <v>805</v>
      </c>
      <c r="E1511" s="19" t="s">
        <v>870</v>
      </c>
      <c r="F1511" s="19" t="s">
        <v>32</v>
      </c>
      <c r="G1511" s="19">
        <v>120</v>
      </c>
      <c r="H1511" s="19"/>
      <c r="I1511" s="19">
        <v>5.16</v>
      </c>
      <c r="J1511" s="19">
        <v>14.76</v>
      </c>
      <c r="K1511" s="19"/>
      <c r="L1511" s="19">
        <v>3101</v>
      </c>
      <c r="M1511" s="19"/>
      <c r="N1511" s="20">
        <v>15872.353580047</v>
      </c>
      <c r="O1511" s="19">
        <v>44</v>
      </c>
      <c r="P1511" s="19">
        <v>5.3</v>
      </c>
      <c r="Q1511" s="19">
        <v>50.3</v>
      </c>
      <c r="R1511" s="19">
        <v>59.4</v>
      </c>
      <c r="S1511" s="19"/>
      <c r="T1511" s="19">
        <v>28</v>
      </c>
      <c r="U1511" s="19">
        <v>30</v>
      </c>
      <c r="V1511" s="21">
        <v>7.492078147</v>
      </c>
      <c r="W1511" s="19">
        <v>0.67</v>
      </c>
      <c r="X1511" s="19"/>
      <c r="Y1511" s="19">
        <v>69.5</v>
      </c>
      <c r="Z1511" s="19"/>
      <c r="AA1511" s="19">
        <v>2</v>
      </c>
      <c r="AB1511" s="19">
        <v>20</v>
      </c>
      <c r="AC1511" s="19"/>
      <c r="AD1511" s="19"/>
      <c r="AE1511" s="19">
        <v>1</v>
      </c>
    </row>
    <row r="1512" spans="1:31" x14ac:dyDescent="0.2">
      <c r="A1512" s="19">
        <v>1511</v>
      </c>
      <c r="B1512" s="19">
        <v>2022</v>
      </c>
      <c r="C1512" s="19" t="s">
        <v>31</v>
      </c>
      <c r="D1512" s="1" t="s">
        <v>805</v>
      </c>
      <c r="E1512" s="19" t="s">
        <v>871</v>
      </c>
      <c r="F1512" s="19" t="s">
        <v>32</v>
      </c>
      <c r="G1512" s="19">
        <v>117</v>
      </c>
      <c r="H1512" s="19"/>
      <c r="I1512" s="19">
        <v>6.74</v>
      </c>
      <c r="J1512" s="19">
        <v>19.25</v>
      </c>
      <c r="K1512" s="19"/>
      <c r="L1512" s="19">
        <v>3287</v>
      </c>
      <c r="M1512" s="19"/>
      <c r="N1512" s="20">
        <v>22114.597064072001</v>
      </c>
      <c r="O1512" s="19">
        <v>36.700000000000003</v>
      </c>
      <c r="P1512" s="19">
        <v>5.6</v>
      </c>
      <c r="Q1512" s="19">
        <v>43.3</v>
      </c>
      <c r="R1512" s="19">
        <v>57.7</v>
      </c>
      <c r="S1512" s="19"/>
      <c r="T1512" s="19">
        <v>23.5</v>
      </c>
      <c r="U1512" s="19">
        <v>36.799999999999997</v>
      </c>
      <c r="V1512" s="21">
        <v>7.7695380079999996</v>
      </c>
      <c r="W1512" s="19">
        <v>0.7</v>
      </c>
      <c r="X1512" s="19"/>
      <c r="Y1512" s="19">
        <v>71.5</v>
      </c>
      <c r="Z1512" s="19"/>
      <c r="AA1512" s="19">
        <v>0.9</v>
      </c>
      <c r="AB1512" s="19">
        <v>9</v>
      </c>
      <c r="AC1512" s="19"/>
      <c r="AD1512" s="19"/>
      <c r="AE1512" s="19">
        <v>1</v>
      </c>
    </row>
    <row r="1513" spans="1:31" x14ac:dyDescent="0.2">
      <c r="A1513" s="19">
        <v>1512</v>
      </c>
      <c r="B1513" s="19">
        <v>2022</v>
      </c>
      <c r="C1513" s="19" t="s">
        <v>31</v>
      </c>
      <c r="D1513" s="1" t="s">
        <v>805</v>
      </c>
      <c r="E1513" s="19" t="s">
        <v>872</v>
      </c>
      <c r="F1513" s="19" t="s">
        <v>32</v>
      </c>
      <c r="G1513" s="19">
        <v>118</v>
      </c>
      <c r="H1513" s="19"/>
      <c r="I1513" s="19">
        <v>5.03</v>
      </c>
      <c r="J1513" s="19">
        <v>14.38</v>
      </c>
      <c r="K1513" s="19"/>
      <c r="L1513" s="19">
        <v>3370</v>
      </c>
      <c r="M1513" s="19"/>
      <c r="N1513" s="20">
        <v>16974.057440523</v>
      </c>
      <c r="O1513" s="19">
        <v>38.5</v>
      </c>
      <c r="P1513" s="19">
        <v>5.7</v>
      </c>
      <c r="Q1513" s="19">
        <v>43.2</v>
      </c>
      <c r="R1513" s="19">
        <v>61.3</v>
      </c>
      <c r="S1513" s="19"/>
      <c r="T1513" s="19">
        <v>23</v>
      </c>
      <c r="U1513" s="19">
        <v>37.700000000000003</v>
      </c>
      <c r="V1513" s="21">
        <v>6.903539984</v>
      </c>
      <c r="W1513" s="19">
        <v>0.71</v>
      </c>
      <c r="X1513" s="19"/>
      <c r="Y1513" s="19">
        <v>73</v>
      </c>
      <c r="Z1513" s="19"/>
      <c r="AA1513" s="19">
        <v>0.9</v>
      </c>
      <c r="AB1513" s="19">
        <v>9</v>
      </c>
      <c r="AC1513" s="19"/>
      <c r="AD1513" s="19"/>
      <c r="AE1513" s="19">
        <v>1</v>
      </c>
    </row>
    <row r="1514" spans="1:31" x14ac:dyDescent="0.2">
      <c r="A1514" s="19">
        <v>1513</v>
      </c>
      <c r="B1514" s="19">
        <v>2022</v>
      </c>
      <c r="C1514" s="19" t="s">
        <v>31</v>
      </c>
      <c r="D1514" s="1" t="s">
        <v>805</v>
      </c>
      <c r="E1514" s="19" t="s">
        <v>873</v>
      </c>
      <c r="F1514" s="19" t="s">
        <v>32</v>
      </c>
      <c r="G1514" s="19">
        <v>119</v>
      </c>
      <c r="H1514" s="19"/>
      <c r="I1514" s="19">
        <v>6.54</v>
      </c>
      <c r="J1514" s="19">
        <v>18.68</v>
      </c>
      <c r="K1514" s="19"/>
      <c r="L1514" s="19">
        <v>3357</v>
      </c>
      <c r="M1514" s="19"/>
      <c r="N1514" s="20">
        <v>21943.366874683001</v>
      </c>
      <c r="O1514" s="19">
        <v>42.7</v>
      </c>
      <c r="P1514" s="19">
        <v>5.6</v>
      </c>
      <c r="Q1514" s="19">
        <v>41.5</v>
      </c>
      <c r="R1514" s="19">
        <v>58.8</v>
      </c>
      <c r="S1514" s="19"/>
      <c r="T1514" s="19">
        <v>22.4</v>
      </c>
      <c r="U1514" s="19">
        <v>39.1</v>
      </c>
      <c r="V1514" s="21">
        <v>7.2233570729999999</v>
      </c>
      <c r="W1514" s="19">
        <v>0.71</v>
      </c>
      <c r="X1514" s="19"/>
      <c r="Y1514" s="19">
        <v>72.5</v>
      </c>
      <c r="Z1514" s="19"/>
      <c r="AA1514" s="19">
        <v>1.7</v>
      </c>
      <c r="AB1514" s="19">
        <v>17</v>
      </c>
      <c r="AC1514" s="19"/>
      <c r="AD1514" s="19"/>
      <c r="AE1514" s="19">
        <v>1</v>
      </c>
    </row>
    <row r="1515" spans="1:31" x14ac:dyDescent="0.2">
      <c r="A1515" s="19">
        <v>1514</v>
      </c>
      <c r="B1515" s="19">
        <v>2022</v>
      </c>
      <c r="C1515" s="19" t="s">
        <v>31</v>
      </c>
      <c r="D1515" s="19" t="s">
        <v>874</v>
      </c>
      <c r="E1515" s="19" t="s">
        <v>875</v>
      </c>
      <c r="F1515" s="19" t="s">
        <v>32</v>
      </c>
      <c r="G1515" s="19">
        <v>119</v>
      </c>
      <c r="H1515" s="19"/>
      <c r="I1515" s="19">
        <v>5.3</v>
      </c>
      <c r="J1515" s="19">
        <v>15.13</v>
      </c>
      <c r="K1515" s="19"/>
      <c r="L1515" s="19">
        <v>3227</v>
      </c>
      <c r="M1515" s="19"/>
      <c r="N1515" s="20">
        <v>17019.453165252999</v>
      </c>
      <c r="O1515" s="19">
        <v>43.6</v>
      </c>
      <c r="P1515" s="19">
        <v>6.2</v>
      </c>
      <c r="Q1515" s="19">
        <v>43.8</v>
      </c>
      <c r="R1515" s="19">
        <v>56.5</v>
      </c>
      <c r="S1515" s="19"/>
      <c r="T1515" s="19">
        <v>24.3</v>
      </c>
      <c r="U1515" s="19">
        <v>34.799999999999997</v>
      </c>
      <c r="V1515" s="21">
        <v>7.8100237400000001</v>
      </c>
      <c r="W1515" s="19">
        <v>0.69</v>
      </c>
      <c r="X1515" s="19"/>
      <c r="Y1515" s="19">
        <v>70.599999999999994</v>
      </c>
      <c r="Z1515" s="19"/>
      <c r="AA1515" s="19">
        <v>1.4</v>
      </c>
      <c r="AB1515" s="19">
        <v>14</v>
      </c>
      <c r="AC1515" s="19"/>
      <c r="AD1515" s="19"/>
      <c r="AE1515" s="19">
        <v>1</v>
      </c>
    </row>
    <row r="1516" spans="1:31" x14ac:dyDescent="0.2">
      <c r="A1516" s="19">
        <v>1515</v>
      </c>
      <c r="B1516" s="19">
        <v>2022</v>
      </c>
      <c r="C1516" s="19" t="s">
        <v>31</v>
      </c>
      <c r="D1516" s="19" t="s">
        <v>874</v>
      </c>
      <c r="E1516" s="19" t="s">
        <v>876</v>
      </c>
      <c r="F1516" s="19" t="s">
        <v>32</v>
      </c>
      <c r="G1516" s="19">
        <v>117</v>
      </c>
      <c r="H1516" s="19"/>
      <c r="I1516" s="19">
        <v>6.36</v>
      </c>
      <c r="J1516" s="19">
        <v>18.170000000000002</v>
      </c>
      <c r="K1516" s="19"/>
      <c r="L1516" s="19">
        <v>3261</v>
      </c>
      <c r="M1516" s="19"/>
      <c r="N1516" s="20">
        <v>20775.180301115</v>
      </c>
      <c r="O1516" s="19">
        <v>37.4</v>
      </c>
      <c r="P1516" s="19">
        <v>6</v>
      </c>
      <c r="Q1516" s="19">
        <v>42.8</v>
      </c>
      <c r="R1516" s="19">
        <v>57.4</v>
      </c>
      <c r="S1516" s="19"/>
      <c r="T1516" s="19">
        <v>23.7</v>
      </c>
      <c r="U1516" s="19">
        <v>34.9</v>
      </c>
      <c r="V1516" s="21">
        <v>8.2095380080000009</v>
      </c>
      <c r="W1516" s="19">
        <v>0.69</v>
      </c>
      <c r="X1516" s="19"/>
      <c r="Y1516" s="19">
        <v>71.099999999999994</v>
      </c>
      <c r="Z1516" s="19"/>
      <c r="AA1516" s="19">
        <v>0.9</v>
      </c>
      <c r="AB1516" s="19">
        <v>9</v>
      </c>
      <c r="AC1516" s="19"/>
      <c r="AD1516" s="19"/>
      <c r="AE1516" s="19">
        <v>1</v>
      </c>
    </row>
    <row r="1517" spans="1:31" x14ac:dyDescent="0.2">
      <c r="A1517" s="19">
        <v>1516</v>
      </c>
      <c r="B1517" s="19">
        <v>2022</v>
      </c>
      <c r="C1517" s="19" t="s">
        <v>31</v>
      </c>
      <c r="D1517" s="8" t="s">
        <v>1024</v>
      </c>
      <c r="E1517" s="19" t="s">
        <v>877</v>
      </c>
      <c r="F1517" s="19" t="s">
        <v>32</v>
      </c>
      <c r="G1517" s="19">
        <v>115</v>
      </c>
      <c r="H1517" s="19"/>
      <c r="I1517" s="19">
        <v>6.74</v>
      </c>
      <c r="J1517" s="19">
        <v>19.25</v>
      </c>
      <c r="K1517" s="19"/>
      <c r="L1517" s="19">
        <v>3539</v>
      </c>
      <c r="M1517" s="19"/>
      <c r="N1517" s="20">
        <v>23935.400168634998</v>
      </c>
      <c r="O1517" s="19">
        <v>38.5</v>
      </c>
      <c r="P1517" s="19">
        <v>6.1</v>
      </c>
      <c r="Q1517" s="19">
        <v>37.9</v>
      </c>
      <c r="R1517" s="19">
        <v>61.5</v>
      </c>
      <c r="S1517" s="19"/>
      <c r="T1517" s="19">
        <v>19.600000000000001</v>
      </c>
      <c r="U1517" s="19">
        <v>42.9</v>
      </c>
      <c r="V1517" s="21">
        <v>7.4636954419999997</v>
      </c>
      <c r="W1517" s="19">
        <v>0.73</v>
      </c>
      <c r="X1517" s="19"/>
      <c r="Y1517" s="19">
        <v>74.8</v>
      </c>
      <c r="Z1517" s="19"/>
      <c r="AA1517" s="19">
        <v>0.6</v>
      </c>
      <c r="AB1517" s="19">
        <v>6</v>
      </c>
      <c r="AC1517" s="19"/>
      <c r="AD1517" s="19"/>
      <c r="AE1517" s="19">
        <v>1</v>
      </c>
    </row>
    <row r="1518" spans="1:31" x14ac:dyDescent="0.2">
      <c r="A1518" s="19">
        <v>1517</v>
      </c>
      <c r="B1518" s="19">
        <v>2022</v>
      </c>
      <c r="C1518" s="19" t="s">
        <v>31</v>
      </c>
      <c r="D1518" s="8" t="s">
        <v>1024</v>
      </c>
      <c r="E1518" s="19" t="s">
        <v>878</v>
      </c>
      <c r="F1518" s="19" t="s">
        <v>32</v>
      </c>
      <c r="G1518" s="19">
        <v>116</v>
      </c>
      <c r="H1518" s="19"/>
      <c r="I1518" s="19">
        <v>6.96</v>
      </c>
      <c r="J1518" s="19">
        <v>19.89</v>
      </c>
      <c r="K1518" s="19"/>
      <c r="L1518" s="19">
        <v>3434</v>
      </c>
      <c r="M1518" s="19"/>
      <c r="N1518" s="20">
        <v>23932.644089308</v>
      </c>
      <c r="O1518" s="19">
        <v>39.200000000000003</v>
      </c>
      <c r="P1518" s="19">
        <v>6.1</v>
      </c>
      <c r="Q1518" s="19">
        <v>36.9</v>
      </c>
      <c r="R1518" s="19">
        <v>55.9</v>
      </c>
      <c r="S1518" s="19"/>
      <c r="T1518" s="19">
        <v>19.899999999999999</v>
      </c>
      <c r="U1518" s="19">
        <v>45.5</v>
      </c>
      <c r="V1518" s="21">
        <v>6.5820380079999996</v>
      </c>
      <c r="W1518" s="19">
        <v>0.72</v>
      </c>
      <c r="X1518" s="19"/>
      <c r="Y1518" s="19">
        <v>73.099999999999994</v>
      </c>
      <c r="Z1518" s="19"/>
      <c r="AA1518" s="19">
        <v>1.3</v>
      </c>
      <c r="AB1518" s="19">
        <v>13</v>
      </c>
      <c r="AC1518" s="19"/>
      <c r="AD1518" s="19"/>
      <c r="AE1518" s="19">
        <v>1</v>
      </c>
    </row>
    <row r="1519" spans="1:31" x14ac:dyDescent="0.2">
      <c r="A1519" s="19">
        <v>1518</v>
      </c>
      <c r="B1519" s="19">
        <v>2022</v>
      </c>
      <c r="C1519" s="19" t="s">
        <v>31</v>
      </c>
      <c r="D1519" s="8" t="s">
        <v>1024</v>
      </c>
      <c r="E1519" s="19" t="s">
        <v>879</v>
      </c>
      <c r="F1519" s="19" t="s">
        <v>32</v>
      </c>
      <c r="G1519" s="19">
        <v>117</v>
      </c>
      <c r="H1519" s="19"/>
      <c r="I1519" s="19">
        <v>6.13</v>
      </c>
      <c r="J1519" s="19">
        <v>17.510000000000002</v>
      </c>
      <c r="K1519" s="19"/>
      <c r="L1519" s="19">
        <v>3306</v>
      </c>
      <c r="M1519" s="19"/>
      <c r="N1519" s="20">
        <v>20300.030701202999</v>
      </c>
      <c r="O1519" s="19">
        <v>36.9</v>
      </c>
      <c r="P1519" s="19">
        <v>5.8</v>
      </c>
      <c r="Q1519" s="19">
        <v>43.2</v>
      </c>
      <c r="R1519" s="19">
        <v>59.4</v>
      </c>
      <c r="S1519" s="19"/>
      <c r="T1519" s="19">
        <v>23.3</v>
      </c>
      <c r="U1519" s="19">
        <v>35.299999999999997</v>
      </c>
      <c r="V1519" s="21">
        <v>8.1370380079999993</v>
      </c>
      <c r="W1519" s="19">
        <v>0.7</v>
      </c>
      <c r="X1519" s="19"/>
      <c r="Y1519" s="19">
        <v>72</v>
      </c>
      <c r="Z1519" s="19"/>
      <c r="AA1519" s="19">
        <v>1</v>
      </c>
      <c r="AB1519" s="19">
        <v>10</v>
      </c>
      <c r="AC1519" s="19"/>
      <c r="AD1519" s="19"/>
      <c r="AE1519" s="19">
        <v>1</v>
      </c>
    </row>
    <row r="1520" spans="1:31" x14ac:dyDescent="0.2">
      <c r="A1520" s="19">
        <v>1519</v>
      </c>
      <c r="B1520" s="19">
        <v>2022</v>
      </c>
      <c r="C1520" s="19" t="s">
        <v>31</v>
      </c>
      <c r="D1520" s="8" t="s">
        <v>1024</v>
      </c>
      <c r="E1520" s="19" t="s">
        <v>880</v>
      </c>
      <c r="F1520" s="19" t="s">
        <v>32</v>
      </c>
      <c r="G1520" s="19">
        <v>117</v>
      </c>
      <c r="H1520" s="19"/>
      <c r="I1520" s="19">
        <v>5.47</v>
      </c>
      <c r="J1520" s="19">
        <v>15.62</v>
      </c>
      <c r="K1520" s="19"/>
      <c r="L1520" s="19">
        <v>3362</v>
      </c>
      <c r="M1520" s="19"/>
      <c r="N1520" s="20">
        <v>18453.817765496002</v>
      </c>
      <c r="O1520" s="19">
        <v>38</v>
      </c>
      <c r="P1520" s="19">
        <v>6.3</v>
      </c>
      <c r="Q1520" s="19">
        <v>40.799999999999997</v>
      </c>
      <c r="R1520" s="19">
        <v>59.2</v>
      </c>
      <c r="S1520" s="19"/>
      <c r="T1520" s="19">
        <v>22.1</v>
      </c>
      <c r="U1520" s="19">
        <v>38.5</v>
      </c>
      <c r="V1520" s="21">
        <v>7.0645380080000004</v>
      </c>
      <c r="W1520" s="19">
        <v>0.71</v>
      </c>
      <c r="X1520" s="19"/>
      <c r="Y1520" s="19">
        <v>72.599999999999994</v>
      </c>
      <c r="Z1520" s="19"/>
      <c r="AA1520" s="19">
        <v>1</v>
      </c>
      <c r="AB1520" s="19">
        <v>10</v>
      </c>
      <c r="AC1520" s="19"/>
      <c r="AD1520" s="19"/>
      <c r="AE1520" s="19">
        <v>1</v>
      </c>
    </row>
    <row r="1521" spans="1:31" x14ac:dyDescent="0.2">
      <c r="A1521" s="19">
        <v>1520</v>
      </c>
      <c r="B1521" s="19">
        <v>2022</v>
      </c>
      <c r="C1521" s="19" t="s">
        <v>31</v>
      </c>
      <c r="D1521" s="8" t="s">
        <v>1024</v>
      </c>
      <c r="E1521" s="19" t="s">
        <v>881</v>
      </c>
      <c r="F1521" s="19" t="s">
        <v>32</v>
      </c>
      <c r="G1521" s="19">
        <v>118</v>
      </c>
      <c r="H1521" s="19"/>
      <c r="I1521" s="19">
        <v>6.86</v>
      </c>
      <c r="J1521" s="19">
        <v>19.61</v>
      </c>
      <c r="K1521" s="19"/>
      <c r="L1521" s="19">
        <v>3382</v>
      </c>
      <c r="M1521" s="19"/>
      <c r="N1521" s="20">
        <v>23170.714209739999</v>
      </c>
      <c r="O1521" s="19">
        <v>39.4</v>
      </c>
      <c r="P1521" s="19">
        <v>5.8</v>
      </c>
      <c r="Q1521" s="19">
        <v>42.6</v>
      </c>
      <c r="R1521" s="19">
        <v>60.8</v>
      </c>
      <c r="S1521" s="19"/>
      <c r="T1521" s="19">
        <v>22.9</v>
      </c>
      <c r="U1521" s="19">
        <v>39</v>
      </c>
      <c r="V1521" s="21">
        <v>6.5570380080000001</v>
      </c>
      <c r="W1521" s="19">
        <v>0.71</v>
      </c>
      <c r="X1521" s="19"/>
      <c r="Y1521" s="19">
        <v>73.099999999999994</v>
      </c>
      <c r="Z1521" s="19"/>
      <c r="AA1521" s="19">
        <v>0.9</v>
      </c>
      <c r="AB1521" s="19">
        <v>9</v>
      </c>
      <c r="AC1521" s="19"/>
      <c r="AD1521" s="19"/>
      <c r="AE1521" s="19">
        <v>1</v>
      </c>
    </row>
    <row r="1522" spans="1:31" x14ac:dyDescent="0.2">
      <c r="A1522" s="19">
        <v>1521</v>
      </c>
      <c r="B1522" s="19">
        <v>2022</v>
      </c>
      <c r="C1522" s="19" t="s">
        <v>31</v>
      </c>
      <c r="D1522" s="8" t="s">
        <v>1024</v>
      </c>
      <c r="E1522" s="19" t="s">
        <v>882</v>
      </c>
      <c r="F1522" s="19" t="s">
        <v>32</v>
      </c>
      <c r="G1522" s="19">
        <v>118</v>
      </c>
      <c r="H1522" s="19"/>
      <c r="I1522" s="19">
        <v>6.11</v>
      </c>
      <c r="J1522" s="19">
        <v>17.46</v>
      </c>
      <c r="K1522" s="19"/>
      <c r="L1522" s="19">
        <v>3333</v>
      </c>
      <c r="M1522" s="19"/>
      <c r="N1522" s="20">
        <v>20364.614147873999</v>
      </c>
      <c r="O1522" s="19">
        <v>39.1</v>
      </c>
      <c r="P1522" s="19">
        <v>5.5</v>
      </c>
      <c r="Q1522" s="19">
        <v>41.1</v>
      </c>
      <c r="R1522" s="19">
        <v>57.2</v>
      </c>
      <c r="S1522" s="19"/>
      <c r="T1522" s="19">
        <v>22.4</v>
      </c>
      <c r="U1522" s="19">
        <v>39.700000000000003</v>
      </c>
      <c r="V1522" s="21">
        <v>7.5320380079999998</v>
      </c>
      <c r="W1522" s="19">
        <v>0.71</v>
      </c>
      <c r="X1522" s="19"/>
      <c r="Y1522" s="19">
        <v>72</v>
      </c>
      <c r="Z1522" s="19"/>
      <c r="AA1522" s="19">
        <v>1</v>
      </c>
      <c r="AB1522" s="19">
        <v>10</v>
      </c>
      <c r="AC1522" s="19"/>
      <c r="AD1522" s="19"/>
      <c r="AE1522" s="19">
        <v>1</v>
      </c>
    </row>
    <row r="1523" spans="1:31" x14ac:dyDescent="0.2">
      <c r="A1523" s="19">
        <v>1522</v>
      </c>
      <c r="B1523" s="19">
        <v>2022</v>
      </c>
      <c r="C1523" s="19" t="s">
        <v>31</v>
      </c>
      <c r="D1523" s="19" t="s">
        <v>883</v>
      </c>
      <c r="E1523" s="19" t="s">
        <v>884</v>
      </c>
      <c r="F1523" s="19" t="s">
        <v>32</v>
      </c>
      <c r="G1523" s="19">
        <v>120</v>
      </c>
      <c r="H1523" s="19"/>
      <c r="I1523" s="19">
        <v>7.41</v>
      </c>
      <c r="J1523" s="19">
        <v>21.18</v>
      </c>
      <c r="K1523" s="19"/>
      <c r="L1523" s="19">
        <v>3485</v>
      </c>
      <c r="M1523" s="19"/>
      <c r="N1523" s="20">
        <v>26075.048041673999</v>
      </c>
      <c r="O1523" s="19">
        <v>43.4</v>
      </c>
      <c r="P1523" s="19">
        <v>6.2</v>
      </c>
      <c r="Q1523" s="19">
        <v>38.799999999999997</v>
      </c>
      <c r="R1523" s="19">
        <v>60.1</v>
      </c>
      <c r="S1523" s="19"/>
      <c r="T1523" s="19">
        <v>20.5</v>
      </c>
      <c r="U1523" s="19">
        <v>41</v>
      </c>
      <c r="V1523" s="21">
        <v>6.8100237400000001</v>
      </c>
      <c r="W1523" s="19">
        <v>0.73</v>
      </c>
      <c r="X1523" s="19"/>
      <c r="Y1523" s="19">
        <v>74.099999999999994</v>
      </c>
      <c r="Z1523" s="19"/>
      <c r="AA1523" s="19">
        <v>1.6</v>
      </c>
      <c r="AB1523" s="19">
        <v>16</v>
      </c>
      <c r="AC1523" s="19"/>
      <c r="AD1523" s="19"/>
      <c r="AE1523" s="19">
        <v>1</v>
      </c>
    </row>
    <row r="1524" spans="1:31" x14ac:dyDescent="0.2">
      <c r="A1524" s="19">
        <v>1523</v>
      </c>
      <c r="B1524" s="19">
        <v>2022</v>
      </c>
      <c r="C1524" s="19" t="s">
        <v>31</v>
      </c>
      <c r="D1524" s="19" t="s">
        <v>883</v>
      </c>
      <c r="E1524" s="19" t="s">
        <v>885</v>
      </c>
      <c r="F1524" s="19" t="s">
        <v>32</v>
      </c>
      <c r="G1524" s="19">
        <v>115</v>
      </c>
      <c r="H1524" s="19"/>
      <c r="I1524" s="19">
        <v>6.48</v>
      </c>
      <c r="J1524" s="19">
        <v>18.52</v>
      </c>
      <c r="K1524" s="19" t="s">
        <v>34</v>
      </c>
      <c r="L1524" s="19">
        <v>3555</v>
      </c>
      <c r="M1524" s="19"/>
      <c r="N1524" s="20">
        <v>22753.595427492</v>
      </c>
      <c r="O1524" s="19">
        <v>39.5</v>
      </c>
      <c r="P1524" s="19">
        <v>5.8</v>
      </c>
      <c r="Q1524" s="19">
        <v>39.200000000000003</v>
      </c>
      <c r="R1524" s="19">
        <v>63.9</v>
      </c>
      <c r="S1524" s="19"/>
      <c r="T1524" s="19">
        <v>20.3</v>
      </c>
      <c r="U1524" s="19">
        <v>41.9</v>
      </c>
      <c r="V1524" s="21">
        <v>6.4295197980000003</v>
      </c>
      <c r="W1524" s="19">
        <v>0.73</v>
      </c>
      <c r="X1524" s="19"/>
      <c r="Y1524" s="19">
        <v>75.5</v>
      </c>
      <c r="Z1524" s="19"/>
      <c r="AA1524" s="19">
        <v>1.2</v>
      </c>
      <c r="AB1524" s="19">
        <v>12</v>
      </c>
      <c r="AC1524" s="19"/>
      <c r="AD1524" s="19"/>
      <c r="AE1524" s="19">
        <v>1</v>
      </c>
    </row>
    <row r="1525" spans="1:31" x14ac:dyDescent="0.2">
      <c r="A1525" s="19">
        <v>1524</v>
      </c>
      <c r="B1525" s="19">
        <v>2022</v>
      </c>
      <c r="C1525" s="19" t="s">
        <v>31</v>
      </c>
      <c r="D1525" s="19" t="s">
        <v>883</v>
      </c>
      <c r="E1525" s="19" t="s">
        <v>886</v>
      </c>
      <c r="F1525" s="19" t="s">
        <v>32</v>
      </c>
      <c r="G1525" s="19">
        <v>118</v>
      </c>
      <c r="H1525" s="19"/>
      <c r="I1525" s="19">
        <v>7.29</v>
      </c>
      <c r="J1525" s="19">
        <v>20.84</v>
      </c>
      <c r="K1525" s="19"/>
      <c r="L1525" s="19">
        <v>3492</v>
      </c>
      <c r="M1525" s="19"/>
      <c r="N1525" s="20">
        <v>25384.355267964002</v>
      </c>
      <c r="O1525" s="19">
        <v>37.200000000000003</v>
      </c>
      <c r="P1525" s="19">
        <v>6.2</v>
      </c>
      <c r="Q1525" s="19">
        <v>39.4</v>
      </c>
      <c r="R1525" s="19">
        <v>61.2</v>
      </c>
      <c r="S1525" s="19"/>
      <c r="T1525" s="19">
        <v>20.6</v>
      </c>
      <c r="U1525" s="19">
        <v>39.799999999999997</v>
      </c>
      <c r="V1525" s="21">
        <v>7.8770380080000004</v>
      </c>
      <c r="W1525" s="19">
        <v>0.73</v>
      </c>
      <c r="X1525" s="19"/>
      <c r="Y1525" s="19">
        <v>74.400000000000006</v>
      </c>
      <c r="Z1525" s="19"/>
      <c r="AA1525" s="19">
        <v>1.3</v>
      </c>
      <c r="AB1525" s="19">
        <v>13</v>
      </c>
      <c r="AC1525" s="19"/>
      <c r="AD1525" s="19"/>
      <c r="AE1525" s="19">
        <v>1</v>
      </c>
    </row>
    <row r="1526" spans="1:31" x14ac:dyDescent="0.2">
      <c r="A1526" s="19">
        <v>1525</v>
      </c>
      <c r="B1526" s="19">
        <v>2022</v>
      </c>
      <c r="C1526" s="19" t="s">
        <v>31</v>
      </c>
      <c r="D1526" s="19" t="s">
        <v>883</v>
      </c>
      <c r="E1526" s="19" t="s">
        <v>887</v>
      </c>
      <c r="F1526" s="19" t="s">
        <v>32</v>
      </c>
      <c r="G1526" s="19">
        <v>120</v>
      </c>
      <c r="H1526" s="19"/>
      <c r="I1526" s="19">
        <v>5.83</v>
      </c>
      <c r="J1526" s="19">
        <v>16.649999999999999</v>
      </c>
      <c r="K1526" s="19"/>
      <c r="L1526" s="19">
        <v>3357</v>
      </c>
      <c r="M1526" s="19"/>
      <c r="N1526" s="20">
        <v>19735.059643073</v>
      </c>
      <c r="O1526" s="19">
        <v>45.8</v>
      </c>
      <c r="P1526" s="19">
        <v>6.2</v>
      </c>
      <c r="Q1526" s="19">
        <v>41.3</v>
      </c>
      <c r="R1526" s="19">
        <v>59.7</v>
      </c>
      <c r="S1526" s="19"/>
      <c r="T1526" s="19">
        <v>22.3</v>
      </c>
      <c r="U1526" s="19">
        <v>38.200000000000003</v>
      </c>
      <c r="V1526" s="21">
        <v>6.9933570730000003</v>
      </c>
      <c r="W1526" s="19">
        <v>0.71</v>
      </c>
      <c r="X1526" s="19"/>
      <c r="Y1526" s="19">
        <v>72.7</v>
      </c>
      <c r="Z1526" s="19"/>
      <c r="AA1526" s="19">
        <v>1.7</v>
      </c>
      <c r="AB1526" s="19">
        <v>17</v>
      </c>
      <c r="AC1526" s="19"/>
      <c r="AD1526" s="19"/>
      <c r="AE1526" s="19">
        <v>1</v>
      </c>
    </row>
    <row r="1527" spans="1:31" x14ac:dyDescent="0.2">
      <c r="A1527" s="19">
        <v>1526</v>
      </c>
      <c r="B1527" s="19">
        <v>2022</v>
      </c>
      <c r="C1527" s="19" t="s">
        <v>31</v>
      </c>
      <c r="D1527" s="19" t="s">
        <v>883</v>
      </c>
      <c r="E1527" s="19" t="s">
        <v>888</v>
      </c>
      <c r="F1527" s="19" t="s">
        <v>32</v>
      </c>
      <c r="G1527" s="19">
        <v>120</v>
      </c>
      <c r="H1527" s="19"/>
      <c r="I1527" s="19">
        <v>7.72</v>
      </c>
      <c r="J1527" s="19">
        <v>22.06</v>
      </c>
      <c r="K1527" s="19"/>
      <c r="L1527" s="19">
        <v>3330</v>
      </c>
      <c r="M1527" s="19"/>
      <c r="N1527" s="20">
        <v>25714.715790097001</v>
      </c>
      <c r="O1527" s="19">
        <v>43.1</v>
      </c>
      <c r="P1527" s="19">
        <v>5.8</v>
      </c>
      <c r="Q1527" s="19">
        <v>42.1</v>
      </c>
      <c r="R1527" s="19">
        <v>58.9</v>
      </c>
      <c r="S1527" s="19"/>
      <c r="T1527" s="19">
        <v>23.3</v>
      </c>
      <c r="U1527" s="19">
        <v>36.700000000000003</v>
      </c>
      <c r="V1527" s="21">
        <v>7.5531710609999996</v>
      </c>
      <c r="W1527" s="19">
        <v>0.7</v>
      </c>
      <c r="X1527" s="19"/>
      <c r="Y1527" s="19">
        <v>72.2</v>
      </c>
      <c r="Z1527" s="19"/>
      <c r="AA1527" s="19">
        <v>1.1000000000000001</v>
      </c>
      <c r="AB1527" s="19">
        <v>11</v>
      </c>
      <c r="AC1527" s="19"/>
      <c r="AD1527" s="19"/>
      <c r="AE1527" s="19">
        <v>1</v>
      </c>
    </row>
    <row r="1528" spans="1:31" x14ac:dyDescent="0.2">
      <c r="A1528" s="19">
        <v>1527</v>
      </c>
      <c r="B1528" s="19">
        <v>2022</v>
      </c>
      <c r="C1528" s="19" t="s">
        <v>31</v>
      </c>
      <c r="D1528" s="19" t="s">
        <v>883</v>
      </c>
      <c r="E1528" s="19" t="s">
        <v>889</v>
      </c>
      <c r="F1528" s="19" t="s">
        <v>32</v>
      </c>
      <c r="G1528" s="19">
        <v>110</v>
      </c>
      <c r="H1528" s="19"/>
      <c r="I1528" s="19">
        <v>6.9</v>
      </c>
      <c r="J1528" s="19">
        <v>19.73</v>
      </c>
      <c r="K1528" s="19"/>
      <c r="L1528" s="19">
        <v>3490</v>
      </c>
      <c r="M1528" s="19"/>
      <c r="N1528" s="20">
        <v>24622.019504970998</v>
      </c>
      <c r="O1528" s="19">
        <v>40.6</v>
      </c>
      <c r="P1528" s="19">
        <v>5.8</v>
      </c>
      <c r="Q1528" s="19">
        <v>37.299999999999997</v>
      </c>
      <c r="R1528" s="19">
        <v>59.1</v>
      </c>
      <c r="S1528" s="19"/>
      <c r="T1528" s="19">
        <v>20.100000000000001</v>
      </c>
      <c r="U1528" s="19">
        <v>43.3</v>
      </c>
      <c r="V1528" s="21">
        <v>7.5395197979999997</v>
      </c>
      <c r="W1528" s="19">
        <v>0.73</v>
      </c>
      <c r="X1528" s="19"/>
      <c r="Y1528" s="19">
        <v>73.599999999999994</v>
      </c>
      <c r="Z1528" s="19"/>
      <c r="AA1528" s="19">
        <v>1.1000000000000001</v>
      </c>
      <c r="AB1528" s="19">
        <v>11</v>
      </c>
      <c r="AC1528" s="19"/>
      <c r="AD1528" s="19"/>
      <c r="AE1528" s="19">
        <v>1</v>
      </c>
    </row>
    <row r="1529" spans="1:31" x14ac:dyDescent="0.2">
      <c r="A1529" s="19">
        <v>1528</v>
      </c>
      <c r="B1529" s="19">
        <v>2022</v>
      </c>
      <c r="C1529" s="19" t="s">
        <v>31</v>
      </c>
      <c r="D1529" s="19" t="s">
        <v>37</v>
      </c>
      <c r="E1529" s="19" t="s">
        <v>890</v>
      </c>
      <c r="F1529" s="19" t="s">
        <v>32</v>
      </c>
      <c r="G1529" s="19">
        <v>112</v>
      </c>
      <c r="H1529" s="19"/>
      <c r="I1529" s="19">
        <v>5.56</v>
      </c>
      <c r="J1529" s="19">
        <v>15.89</v>
      </c>
      <c r="K1529" s="19"/>
      <c r="L1529" s="19">
        <v>3412</v>
      </c>
      <c r="M1529" s="19"/>
      <c r="N1529" s="20">
        <v>19116.671196381001</v>
      </c>
      <c r="O1529" s="19">
        <v>36.1</v>
      </c>
      <c r="P1529" s="19">
        <v>6.3</v>
      </c>
      <c r="Q1529" s="19">
        <v>40.9</v>
      </c>
      <c r="R1529" s="19">
        <v>61.2</v>
      </c>
      <c r="S1529" s="19"/>
      <c r="T1529" s="19">
        <v>22.1</v>
      </c>
      <c r="U1529" s="19">
        <v>39.1</v>
      </c>
      <c r="V1529" s="21">
        <v>7.6931710610000001</v>
      </c>
      <c r="W1529" s="19">
        <v>0.71</v>
      </c>
      <c r="X1529" s="19"/>
      <c r="Y1529" s="19">
        <v>73.400000000000006</v>
      </c>
      <c r="Z1529" s="19"/>
      <c r="AA1529" s="19">
        <v>1</v>
      </c>
      <c r="AB1529" s="19">
        <v>10</v>
      </c>
      <c r="AC1529" s="19"/>
      <c r="AD1529" s="19"/>
      <c r="AE1529" s="19">
        <v>1</v>
      </c>
    </row>
    <row r="1530" spans="1:31" x14ac:dyDescent="0.2">
      <c r="A1530" s="19">
        <v>1529</v>
      </c>
      <c r="B1530" s="19">
        <v>2022</v>
      </c>
      <c r="C1530" s="19" t="s">
        <v>31</v>
      </c>
      <c r="D1530" s="19" t="s">
        <v>37</v>
      </c>
      <c r="E1530" s="19" t="s">
        <v>891</v>
      </c>
      <c r="F1530" s="19" t="s">
        <v>32</v>
      </c>
      <c r="G1530" s="19">
        <v>112</v>
      </c>
      <c r="H1530" s="19"/>
      <c r="I1530" s="19">
        <v>7.12</v>
      </c>
      <c r="J1530" s="19">
        <v>20.350000000000001</v>
      </c>
      <c r="K1530" s="19"/>
      <c r="L1530" s="19">
        <v>3490</v>
      </c>
      <c r="M1530" s="19"/>
      <c r="N1530" s="20">
        <v>24845.811908660999</v>
      </c>
      <c r="O1530" s="19">
        <v>37.6</v>
      </c>
      <c r="P1530" s="19">
        <v>6.2</v>
      </c>
      <c r="Q1530" s="19">
        <v>39.5</v>
      </c>
      <c r="R1530" s="19">
        <v>61.8</v>
      </c>
      <c r="S1530" s="19"/>
      <c r="T1530" s="19">
        <v>20.9</v>
      </c>
      <c r="U1530" s="19">
        <v>40.5</v>
      </c>
      <c r="V1530" s="21">
        <v>7.4556710610000003</v>
      </c>
      <c r="W1530" s="19">
        <v>0.72</v>
      </c>
      <c r="X1530" s="19"/>
      <c r="Y1530" s="19">
        <v>74.400000000000006</v>
      </c>
      <c r="Z1530" s="19"/>
      <c r="AA1530" s="19">
        <v>0.9</v>
      </c>
      <c r="AB1530" s="19">
        <v>9</v>
      </c>
      <c r="AC1530" s="19"/>
      <c r="AD1530" s="19"/>
      <c r="AE1530" s="19">
        <v>1</v>
      </c>
    </row>
    <row r="1531" spans="1:31" x14ac:dyDescent="0.2">
      <c r="A1531" s="19">
        <v>1530</v>
      </c>
      <c r="B1531" s="19">
        <v>2022</v>
      </c>
      <c r="C1531" s="19" t="s">
        <v>31</v>
      </c>
      <c r="D1531" s="19" t="s">
        <v>37</v>
      </c>
      <c r="E1531" s="19" t="s">
        <v>892</v>
      </c>
      <c r="F1531" s="19" t="s">
        <v>32</v>
      </c>
      <c r="G1531" s="19">
        <v>120</v>
      </c>
      <c r="H1531" s="19"/>
      <c r="I1531" s="19">
        <v>6.77</v>
      </c>
      <c r="J1531" s="19">
        <v>19.350000000000001</v>
      </c>
      <c r="K1531" s="19"/>
      <c r="L1531" s="19">
        <v>3417</v>
      </c>
      <c r="M1531" s="19"/>
      <c r="N1531" s="20">
        <v>23081.271635014</v>
      </c>
      <c r="O1531" s="19">
        <v>41.4</v>
      </c>
      <c r="P1531" s="19">
        <v>5.7</v>
      </c>
      <c r="Q1531" s="19">
        <v>40.700000000000003</v>
      </c>
      <c r="R1531" s="19">
        <v>59.9</v>
      </c>
      <c r="S1531" s="19"/>
      <c r="T1531" s="19">
        <v>22.1</v>
      </c>
      <c r="U1531" s="19">
        <v>39.6</v>
      </c>
      <c r="V1531" s="21">
        <v>7.118171061</v>
      </c>
      <c r="W1531" s="19">
        <v>0.72</v>
      </c>
      <c r="X1531" s="19"/>
      <c r="Y1531" s="19">
        <v>73.3</v>
      </c>
      <c r="Z1531" s="19"/>
      <c r="AA1531" s="19">
        <v>1.3</v>
      </c>
      <c r="AB1531" s="19">
        <v>13</v>
      </c>
      <c r="AC1531" s="19"/>
      <c r="AD1531" s="19"/>
      <c r="AE1531" s="19">
        <v>1</v>
      </c>
    </row>
    <row r="1532" spans="1:31" x14ac:dyDescent="0.2">
      <c r="A1532" s="19">
        <v>1531</v>
      </c>
      <c r="B1532" s="19">
        <v>2022</v>
      </c>
      <c r="C1532" s="19" t="s">
        <v>31</v>
      </c>
      <c r="D1532" s="19" t="s">
        <v>893</v>
      </c>
      <c r="E1532" s="19" t="s">
        <v>894</v>
      </c>
      <c r="F1532" s="19" t="s">
        <v>32</v>
      </c>
      <c r="G1532" s="19">
        <v>120</v>
      </c>
      <c r="H1532" s="19"/>
      <c r="I1532" s="19">
        <v>7.19</v>
      </c>
      <c r="J1532" s="19">
        <v>20.54</v>
      </c>
      <c r="K1532" s="19"/>
      <c r="L1532" s="19">
        <v>3251</v>
      </c>
      <c r="M1532" s="19"/>
      <c r="N1532" s="20">
        <v>23549.870690357999</v>
      </c>
      <c r="O1532" s="19">
        <v>46</v>
      </c>
      <c r="P1532" s="19">
        <v>5.9</v>
      </c>
      <c r="Q1532" s="19">
        <v>43.4</v>
      </c>
      <c r="R1532" s="19">
        <v>57</v>
      </c>
      <c r="S1532" s="19"/>
      <c r="T1532" s="19">
        <v>24.6</v>
      </c>
      <c r="U1532" s="19">
        <v>36.1</v>
      </c>
      <c r="V1532" s="21">
        <v>7.3206710609999996</v>
      </c>
      <c r="W1532" s="19">
        <v>0.69</v>
      </c>
      <c r="X1532" s="19"/>
      <c r="Y1532" s="19">
        <v>71</v>
      </c>
      <c r="Z1532" s="19"/>
      <c r="AA1532" s="19">
        <v>1.4</v>
      </c>
      <c r="AB1532" s="19">
        <v>14</v>
      </c>
      <c r="AC1532" s="19"/>
      <c r="AD1532" s="19"/>
      <c r="AE1532" s="19">
        <v>1</v>
      </c>
    </row>
    <row r="1533" spans="1:31" x14ac:dyDescent="0.2">
      <c r="A1533" s="19">
        <v>1532</v>
      </c>
      <c r="B1533" s="19">
        <v>2022</v>
      </c>
      <c r="C1533" s="19" t="s">
        <v>31</v>
      </c>
      <c r="D1533" s="19" t="s">
        <v>893</v>
      </c>
      <c r="E1533" s="19" t="s">
        <v>895</v>
      </c>
      <c r="F1533" s="19" t="s">
        <v>32</v>
      </c>
      <c r="G1533" s="19">
        <v>110</v>
      </c>
      <c r="H1533" s="19"/>
      <c r="I1533" s="19">
        <v>7.83</v>
      </c>
      <c r="J1533" s="19">
        <v>22.36</v>
      </c>
      <c r="K1533" s="19"/>
      <c r="L1533" s="19">
        <v>3446</v>
      </c>
      <c r="M1533" s="19"/>
      <c r="N1533" s="20">
        <v>27195.218859921999</v>
      </c>
      <c r="O1533" s="19">
        <v>38.4</v>
      </c>
      <c r="P1533" s="19">
        <v>6.8</v>
      </c>
      <c r="Q1533" s="19">
        <v>37.299999999999997</v>
      </c>
      <c r="R1533" s="19">
        <v>56.1</v>
      </c>
      <c r="S1533" s="19"/>
      <c r="T1533" s="19">
        <v>20.399999999999999</v>
      </c>
      <c r="U1533" s="19">
        <v>42.2</v>
      </c>
      <c r="V1533" s="21">
        <v>7.7081710609999998</v>
      </c>
      <c r="W1533" s="19">
        <v>0.72</v>
      </c>
      <c r="X1533" s="19"/>
      <c r="Y1533" s="19">
        <v>73.2</v>
      </c>
      <c r="Z1533" s="19"/>
      <c r="AA1533" s="19">
        <v>1</v>
      </c>
      <c r="AB1533" s="19">
        <v>10</v>
      </c>
      <c r="AC1533" s="19"/>
      <c r="AD1533" s="19"/>
      <c r="AE1533" s="19">
        <v>1</v>
      </c>
    </row>
    <row r="1534" spans="1:31" x14ac:dyDescent="0.2">
      <c r="A1534" s="19">
        <v>1533</v>
      </c>
      <c r="B1534" s="19">
        <v>2022</v>
      </c>
      <c r="C1534" s="19" t="s">
        <v>31</v>
      </c>
      <c r="D1534" s="19" t="s">
        <v>893</v>
      </c>
      <c r="E1534" s="19" t="s">
        <v>896</v>
      </c>
      <c r="F1534" s="19" t="s">
        <v>32</v>
      </c>
      <c r="G1534" s="19">
        <v>119</v>
      </c>
      <c r="H1534" s="19"/>
      <c r="I1534" s="19">
        <v>6.78</v>
      </c>
      <c r="J1534" s="19">
        <v>19.38</v>
      </c>
      <c r="K1534" s="19"/>
      <c r="L1534" s="19">
        <v>3164</v>
      </c>
      <c r="M1534" s="19"/>
      <c r="N1534" s="20">
        <v>21442.533174335</v>
      </c>
      <c r="O1534" s="19">
        <v>46.8</v>
      </c>
      <c r="P1534" s="19">
        <v>5.7</v>
      </c>
      <c r="Q1534" s="19">
        <v>51.8</v>
      </c>
      <c r="R1534" s="19">
        <v>62.6</v>
      </c>
      <c r="S1534" s="19"/>
      <c r="T1534" s="19">
        <v>28.7</v>
      </c>
      <c r="U1534" s="19">
        <v>30.2</v>
      </c>
      <c r="V1534" s="21">
        <v>6.1400237400000002</v>
      </c>
      <c r="W1534" s="19">
        <v>0.67</v>
      </c>
      <c r="X1534" s="19"/>
      <c r="Y1534" s="19">
        <v>70.900000000000006</v>
      </c>
      <c r="Z1534" s="19"/>
      <c r="AA1534" s="19">
        <v>1.7</v>
      </c>
      <c r="AB1534" s="19">
        <v>17</v>
      </c>
      <c r="AC1534" s="19"/>
      <c r="AD1534" s="19"/>
      <c r="AE1534" s="19">
        <v>1</v>
      </c>
    </row>
    <row r="1535" spans="1:31" x14ac:dyDescent="0.2">
      <c r="A1535" s="19">
        <v>1534</v>
      </c>
      <c r="B1535" s="19">
        <v>2022</v>
      </c>
      <c r="C1535" s="19" t="s">
        <v>31</v>
      </c>
      <c r="D1535" s="19" t="s">
        <v>893</v>
      </c>
      <c r="E1535" s="19" t="s">
        <v>897</v>
      </c>
      <c r="F1535" s="19" t="s">
        <v>32</v>
      </c>
      <c r="G1535" s="19">
        <v>119</v>
      </c>
      <c r="H1535" s="19"/>
      <c r="I1535" s="19">
        <v>7.13</v>
      </c>
      <c r="J1535" s="19">
        <v>20.38</v>
      </c>
      <c r="K1535" s="19"/>
      <c r="L1535" s="19">
        <v>3169</v>
      </c>
      <c r="M1535" s="19"/>
      <c r="N1535" s="20">
        <v>22632.879542736999</v>
      </c>
      <c r="O1535" s="19">
        <v>41.9</v>
      </c>
      <c r="P1535" s="19">
        <v>5.6</v>
      </c>
      <c r="Q1535" s="19">
        <v>46</v>
      </c>
      <c r="R1535" s="19">
        <v>57.6</v>
      </c>
      <c r="S1535" s="19"/>
      <c r="T1535" s="19">
        <v>26.2</v>
      </c>
      <c r="U1535" s="19">
        <v>33.200000000000003</v>
      </c>
      <c r="V1535" s="21">
        <v>7.9581710609999998</v>
      </c>
      <c r="W1535" s="19">
        <v>0.68</v>
      </c>
      <c r="X1535" s="19"/>
      <c r="Y1535" s="19">
        <v>70.099999999999994</v>
      </c>
      <c r="Z1535" s="19"/>
      <c r="AA1535" s="19">
        <v>1.1000000000000001</v>
      </c>
      <c r="AB1535" s="19">
        <v>11</v>
      </c>
      <c r="AC1535" s="19"/>
      <c r="AD1535" s="19"/>
      <c r="AE1535" s="19">
        <v>1</v>
      </c>
    </row>
    <row r="1536" spans="1:31" x14ac:dyDescent="0.2">
      <c r="A1536" s="19">
        <v>1535</v>
      </c>
      <c r="B1536" s="19">
        <v>2022</v>
      </c>
      <c r="C1536" s="19" t="s">
        <v>31</v>
      </c>
      <c r="D1536" s="19" t="s">
        <v>893</v>
      </c>
      <c r="E1536" s="19" t="s">
        <v>898</v>
      </c>
      <c r="F1536" s="19" t="s">
        <v>32</v>
      </c>
      <c r="G1536" s="19">
        <v>116</v>
      </c>
      <c r="H1536" s="19"/>
      <c r="I1536" s="19">
        <v>6.4</v>
      </c>
      <c r="J1536" s="19">
        <v>18.28</v>
      </c>
      <c r="K1536" s="19"/>
      <c r="L1536" s="19">
        <v>3194</v>
      </c>
      <c r="M1536" s="19"/>
      <c r="N1536" s="20">
        <v>20172.92780311</v>
      </c>
      <c r="O1536" s="19">
        <v>39.799999999999997</v>
      </c>
      <c r="P1536" s="19">
        <v>5.3</v>
      </c>
      <c r="Q1536" s="19">
        <v>50.6</v>
      </c>
      <c r="R1536" s="19">
        <v>62.2</v>
      </c>
      <c r="S1536" s="19"/>
      <c r="T1536" s="19">
        <v>28.2</v>
      </c>
      <c r="U1536" s="19">
        <v>29</v>
      </c>
      <c r="V1536" s="21">
        <v>8.1357985880000001</v>
      </c>
      <c r="W1536" s="19">
        <v>0.68</v>
      </c>
      <c r="X1536" s="19"/>
      <c r="Y1536" s="19">
        <v>71.2</v>
      </c>
      <c r="Z1536" s="19"/>
      <c r="AA1536" s="19">
        <v>1.4</v>
      </c>
      <c r="AB1536" s="19">
        <v>14</v>
      </c>
      <c r="AC1536" s="19"/>
      <c r="AD1536" s="19"/>
      <c r="AE1536" s="19">
        <v>1</v>
      </c>
    </row>
    <row r="1537" spans="1:31" x14ac:dyDescent="0.2">
      <c r="A1537" s="19">
        <v>1536</v>
      </c>
      <c r="B1537" s="19">
        <v>2022</v>
      </c>
      <c r="C1537" s="19" t="s">
        <v>31</v>
      </c>
      <c r="D1537" s="19" t="s">
        <v>893</v>
      </c>
      <c r="E1537" s="19" t="s">
        <v>899</v>
      </c>
      <c r="F1537" s="19" t="s">
        <v>32</v>
      </c>
      <c r="G1537" s="19">
        <v>117</v>
      </c>
      <c r="H1537" s="19"/>
      <c r="I1537" s="19">
        <v>7.45</v>
      </c>
      <c r="J1537" s="19">
        <v>21.28</v>
      </c>
      <c r="K1537" s="19"/>
      <c r="L1537" s="19">
        <v>3296</v>
      </c>
      <c r="M1537" s="19"/>
      <c r="N1537" s="20">
        <v>24576.439308741999</v>
      </c>
      <c r="O1537" s="19">
        <v>37.5</v>
      </c>
      <c r="P1537" s="19">
        <v>5.8</v>
      </c>
      <c r="Q1537" s="19">
        <v>42</v>
      </c>
      <c r="R1537" s="19">
        <v>57.8</v>
      </c>
      <c r="S1537" s="19"/>
      <c r="T1537" s="19">
        <v>23.5</v>
      </c>
      <c r="U1537" s="19">
        <v>39.6</v>
      </c>
      <c r="V1537" s="21">
        <v>7.0213890179999998</v>
      </c>
      <c r="W1537" s="19">
        <v>0.7</v>
      </c>
      <c r="X1537" s="19"/>
      <c r="Y1537" s="19">
        <v>71.5</v>
      </c>
      <c r="Z1537" s="19"/>
      <c r="AA1537" s="19">
        <v>1.2</v>
      </c>
      <c r="AB1537" s="19">
        <v>12</v>
      </c>
      <c r="AC1537" s="19"/>
      <c r="AD1537" s="19"/>
      <c r="AE1537" s="19">
        <v>1</v>
      </c>
    </row>
    <row r="1538" spans="1:31" x14ac:dyDescent="0.2">
      <c r="A1538" s="19">
        <v>1537</v>
      </c>
      <c r="B1538" s="19">
        <v>2022</v>
      </c>
      <c r="C1538" s="19" t="s">
        <v>31</v>
      </c>
      <c r="D1538" s="19" t="s">
        <v>900</v>
      </c>
      <c r="E1538" s="19" t="s">
        <v>901</v>
      </c>
      <c r="F1538" s="19" t="s">
        <v>32</v>
      </c>
      <c r="G1538" s="19">
        <v>117</v>
      </c>
      <c r="H1538" s="19"/>
      <c r="I1538" s="19">
        <v>7.71</v>
      </c>
      <c r="J1538" s="19">
        <v>22.04</v>
      </c>
      <c r="K1538" s="19"/>
      <c r="L1538" s="19">
        <v>3385</v>
      </c>
      <c r="M1538" s="19"/>
      <c r="N1538" s="20">
        <v>26228.215909791001</v>
      </c>
      <c r="O1538" s="19">
        <v>42.3</v>
      </c>
      <c r="P1538" s="19">
        <v>5.0999999999999996</v>
      </c>
      <c r="Q1538" s="19">
        <v>47</v>
      </c>
      <c r="R1538" s="19">
        <v>64.2</v>
      </c>
      <c r="S1538" s="19"/>
      <c r="T1538" s="19">
        <v>24.9</v>
      </c>
      <c r="U1538" s="19">
        <v>34.700000000000003</v>
      </c>
      <c r="V1538" s="21">
        <v>6.2311781010000002</v>
      </c>
      <c r="W1538" s="19">
        <v>0.71</v>
      </c>
      <c r="X1538" s="19"/>
      <c r="Y1538" s="19">
        <v>73.7</v>
      </c>
      <c r="Z1538" s="19"/>
      <c r="AA1538" s="19">
        <v>1</v>
      </c>
      <c r="AB1538" s="19">
        <v>10</v>
      </c>
      <c r="AC1538" s="19"/>
      <c r="AD1538" s="19"/>
      <c r="AE1538" s="19">
        <v>1</v>
      </c>
    </row>
    <row r="1539" spans="1:31" x14ac:dyDescent="0.2">
      <c r="A1539" s="19">
        <v>1538</v>
      </c>
      <c r="B1539" s="19">
        <v>2022</v>
      </c>
      <c r="C1539" s="19" t="s">
        <v>31</v>
      </c>
      <c r="D1539" s="19" t="s">
        <v>900</v>
      </c>
      <c r="E1539" s="19" t="s">
        <v>902</v>
      </c>
      <c r="F1539" s="19" t="s">
        <v>32</v>
      </c>
      <c r="G1539" s="19">
        <v>118</v>
      </c>
      <c r="H1539" s="19"/>
      <c r="I1539" s="19">
        <v>6.58</v>
      </c>
      <c r="J1539" s="19">
        <v>18.809999999999999</v>
      </c>
      <c r="K1539" s="19"/>
      <c r="L1539" s="19">
        <v>3347</v>
      </c>
      <c r="M1539" s="19"/>
      <c r="N1539" s="20">
        <v>22017.522275978001</v>
      </c>
      <c r="O1539" s="19">
        <v>38</v>
      </c>
      <c r="P1539" s="19">
        <v>6.3</v>
      </c>
      <c r="Q1539" s="19">
        <v>43.3</v>
      </c>
      <c r="R1539" s="19">
        <v>61</v>
      </c>
      <c r="S1539" s="19"/>
      <c r="T1539" s="19">
        <v>23.3</v>
      </c>
      <c r="U1539" s="19">
        <v>36</v>
      </c>
      <c r="V1539" s="21">
        <v>6.999131921</v>
      </c>
      <c r="W1539" s="19">
        <v>0.7</v>
      </c>
      <c r="X1539" s="19"/>
      <c r="Y1539" s="19">
        <v>72.599999999999994</v>
      </c>
      <c r="Z1539" s="19"/>
      <c r="AA1539" s="19">
        <v>1</v>
      </c>
      <c r="AB1539" s="19">
        <v>10</v>
      </c>
      <c r="AC1539" s="19"/>
      <c r="AD1539" s="19"/>
      <c r="AE1539" s="19">
        <v>1</v>
      </c>
    </row>
    <row r="1540" spans="1:31" x14ac:dyDescent="0.2">
      <c r="A1540" s="19">
        <v>1539</v>
      </c>
      <c r="B1540" s="19">
        <v>2022</v>
      </c>
      <c r="C1540" s="19" t="s">
        <v>31</v>
      </c>
      <c r="D1540" s="19" t="s">
        <v>900</v>
      </c>
      <c r="E1540" s="19" t="s">
        <v>903</v>
      </c>
      <c r="F1540" s="19" t="s">
        <v>32</v>
      </c>
      <c r="G1540" s="19">
        <v>119</v>
      </c>
      <c r="H1540" s="19"/>
      <c r="I1540" s="19">
        <v>7.28</v>
      </c>
      <c r="J1540" s="19">
        <v>20.8</v>
      </c>
      <c r="K1540" s="19"/>
      <c r="L1540" s="19">
        <v>3410</v>
      </c>
      <c r="M1540" s="19"/>
      <c r="N1540" s="20">
        <v>24865.155866716999</v>
      </c>
      <c r="O1540" s="19">
        <v>46.2</v>
      </c>
      <c r="P1540" s="19">
        <v>5.8</v>
      </c>
      <c r="Q1540" s="19">
        <v>38</v>
      </c>
      <c r="R1540" s="19">
        <v>56.9</v>
      </c>
      <c r="S1540" s="19"/>
      <c r="T1540" s="19">
        <v>20.6</v>
      </c>
      <c r="U1540" s="19">
        <v>42.8</v>
      </c>
      <c r="V1540" s="21">
        <v>6.9633570730000001</v>
      </c>
      <c r="W1540" s="19">
        <v>0.72</v>
      </c>
      <c r="X1540" s="19"/>
      <c r="Y1540" s="19">
        <v>72.900000000000006</v>
      </c>
      <c r="Z1540" s="19"/>
      <c r="AA1540" s="19">
        <v>1.4</v>
      </c>
      <c r="AB1540" s="19">
        <v>14</v>
      </c>
      <c r="AC1540" s="19"/>
      <c r="AD1540" s="19"/>
      <c r="AE1540" s="19">
        <v>1</v>
      </c>
    </row>
    <row r="1541" spans="1:31" x14ac:dyDescent="0.2">
      <c r="A1541" s="19">
        <v>1540</v>
      </c>
      <c r="B1541" s="19">
        <v>2022</v>
      </c>
      <c r="C1541" s="19" t="s">
        <v>31</v>
      </c>
      <c r="D1541" s="19" t="s">
        <v>900</v>
      </c>
      <c r="E1541" s="19" t="s">
        <v>904</v>
      </c>
      <c r="F1541" s="19" t="s">
        <v>32</v>
      </c>
      <c r="G1541" s="19">
        <v>119</v>
      </c>
      <c r="H1541" s="19"/>
      <c r="I1541" s="19">
        <v>6.49</v>
      </c>
      <c r="J1541" s="19">
        <v>18.55</v>
      </c>
      <c r="K1541" s="19"/>
      <c r="L1541" s="19">
        <v>3204</v>
      </c>
      <c r="M1541" s="19"/>
      <c r="N1541" s="20">
        <v>20819.171231436001</v>
      </c>
      <c r="O1541" s="19">
        <v>45.3</v>
      </c>
      <c r="P1541" s="19">
        <v>5.8</v>
      </c>
      <c r="Q1541" s="19">
        <v>47</v>
      </c>
      <c r="R1541" s="19">
        <v>59.7</v>
      </c>
      <c r="S1541" s="19"/>
      <c r="T1541" s="19">
        <v>25.8</v>
      </c>
      <c r="U1541" s="19">
        <v>32.799999999999997</v>
      </c>
      <c r="V1541" s="21">
        <v>7.4341012280000003</v>
      </c>
      <c r="W1541" s="19">
        <v>0.68</v>
      </c>
      <c r="X1541" s="19"/>
      <c r="Y1541" s="19">
        <v>70.8</v>
      </c>
      <c r="Z1541" s="19"/>
      <c r="AA1541" s="19">
        <v>1.1000000000000001</v>
      </c>
      <c r="AB1541" s="19">
        <v>11</v>
      </c>
      <c r="AC1541" s="19"/>
      <c r="AD1541" s="19"/>
      <c r="AE1541" s="19">
        <v>1</v>
      </c>
    </row>
    <row r="1542" spans="1:31" x14ac:dyDescent="0.2">
      <c r="A1542" s="19">
        <v>1541</v>
      </c>
      <c r="B1542" s="19">
        <v>2022</v>
      </c>
      <c r="C1542" s="19" t="s">
        <v>31</v>
      </c>
      <c r="D1542" s="1" t="s">
        <v>815</v>
      </c>
      <c r="E1542" s="19" t="s">
        <v>905</v>
      </c>
      <c r="F1542" s="19" t="s">
        <v>32</v>
      </c>
      <c r="G1542" s="19">
        <v>111</v>
      </c>
      <c r="H1542" s="19"/>
      <c r="I1542" s="19">
        <v>7.39</v>
      </c>
      <c r="J1542" s="19">
        <v>21.11</v>
      </c>
      <c r="K1542" s="19" t="s">
        <v>34</v>
      </c>
      <c r="L1542" s="19">
        <v>3674</v>
      </c>
      <c r="M1542" s="19"/>
      <c r="N1542" s="20">
        <v>26563.213699705</v>
      </c>
      <c r="O1542" s="19">
        <v>42.6</v>
      </c>
      <c r="P1542" s="19">
        <v>5.8</v>
      </c>
      <c r="Q1542" s="19">
        <v>34.5</v>
      </c>
      <c r="R1542" s="19">
        <v>62.4</v>
      </c>
      <c r="S1542" s="19"/>
      <c r="T1542" s="19">
        <v>17.3</v>
      </c>
      <c r="U1542" s="19">
        <v>47.7</v>
      </c>
      <c r="V1542" s="21">
        <v>6.5206710609999998</v>
      </c>
      <c r="W1542" s="19">
        <v>0.75</v>
      </c>
      <c r="X1542" s="19"/>
      <c r="Y1542" s="19">
        <v>76.599999999999994</v>
      </c>
      <c r="Z1542" s="19"/>
      <c r="AA1542" s="19">
        <v>0.8</v>
      </c>
      <c r="AB1542" s="19">
        <v>8</v>
      </c>
      <c r="AC1542" s="19"/>
      <c r="AD1542" s="19"/>
      <c r="AE1542" s="19">
        <v>1</v>
      </c>
    </row>
    <row r="1543" spans="1:31" x14ac:dyDescent="0.2">
      <c r="A1543" s="19">
        <v>1542</v>
      </c>
      <c r="B1543" s="19">
        <v>2022</v>
      </c>
      <c r="C1543" s="19" t="s">
        <v>31</v>
      </c>
      <c r="D1543" s="1" t="s">
        <v>815</v>
      </c>
      <c r="E1543" s="19" t="s">
        <v>906</v>
      </c>
      <c r="F1543" s="19" t="s">
        <v>32</v>
      </c>
      <c r="G1543" s="19">
        <v>113</v>
      </c>
      <c r="H1543" s="19"/>
      <c r="I1543" s="19">
        <v>7.08</v>
      </c>
      <c r="J1543" s="19">
        <v>20.22</v>
      </c>
      <c r="K1543" s="19"/>
      <c r="L1543" s="19">
        <v>3437</v>
      </c>
      <c r="M1543" s="19"/>
      <c r="N1543" s="20">
        <v>24369.790446968</v>
      </c>
      <c r="O1543" s="19">
        <v>40.4</v>
      </c>
      <c r="P1543" s="19">
        <v>6</v>
      </c>
      <c r="Q1543" s="19">
        <v>38.9</v>
      </c>
      <c r="R1543" s="19">
        <v>58.9</v>
      </c>
      <c r="S1543" s="19"/>
      <c r="T1543" s="19">
        <v>21</v>
      </c>
      <c r="U1543" s="19">
        <v>41.5</v>
      </c>
      <c r="V1543" s="21">
        <v>7.3156710609999998</v>
      </c>
      <c r="W1543" s="19">
        <v>0.72</v>
      </c>
      <c r="X1543" s="19"/>
      <c r="Y1543" s="19">
        <v>73.400000000000006</v>
      </c>
      <c r="Z1543" s="19"/>
      <c r="AA1543" s="19">
        <v>1</v>
      </c>
      <c r="AB1543" s="19">
        <v>10</v>
      </c>
      <c r="AC1543" s="19"/>
      <c r="AD1543" s="19"/>
      <c r="AE1543" s="19">
        <v>1</v>
      </c>
    </row>
    <row r="1544" spans="1:31" x14ac:dyDescent="0.2">
      <c r="A1544" s="19">
        <v>1543</v>
      </c>
      <c r="B1544" s="19">
        <v>2022</v>
      </c>
      <c r="C1544" s="19" t="s">
        <v>31</v>
      </c>
      <c r="D1544" s="1" t="s">
        <v>815</v>
      </c>
      <c r="E1544" s="19" t="s">
        <v>907</v>
      </c>
      <c r="F1544" s="19" t="s">
        <v>32</v>
      </c>
      <c r="G1544" s="19">
        <v>115</v>
      </c>
      <c r="H1544" s="19"/>
      <c r="I1544" s="19">
        <v>7.54</v>
      </c>
      <c r="J1544" s="19">
        <v>21.55</v>
      </c>
      <c r="K1544" s="19" t="s">
        <v>34</v>
      </c>
      <c r="L1544" s="19">
        <v>3643</v>
      </c>
      <c r="M1544" s="19" t="s">
        <v>34</v>
      </c>
      <c r="N1544" s="20">
        <v>27519.869664335001</v>
      </c>
      <c r="O1544" s="19">
        <v>40.299999999999997</v>
      </c>
      <c r="P1544" s="19">
        <v>6.6</v>
      </c>
      <c r="Q1544" s="19">
        <v>32.200000000000003</v>
      </c>
      <c r="R1544" s="19">
        <v>58</v>
      </c>
      <c r="S1544" s="19"/>
      <c r="T1544" s="19">
        <v>17.100000000000001</v>
      </c>
      <c r="U1544" s="19">
        <v>50.9</v>
      </c>
      <c r="V1544" s="21">
        <v>6.555671061</v>
      </c>
      <c r="W1544" s="19">
        <v>0.75</v>
      </c>
      <c r="X1544" s="19"/>
      <c r="Y1544" s="19">
        <v>75.8</v>
      </c>
      <c r="Z1544" s="19"/>
      <c r="AA1544" s="19">
        <v>1</v>
      </c>
      <c r="AB1544" s="19">
        <v>10</v>
      </c>
      <c r="AC1544" s="19"/>
      <c r="AD1544" s="19"/>
      <c r="AE1544" s="19">
        <v>1</v>
      </c>
    </row>
    <row r="1545" spans="1:31" x14ac:dyDescent="0.2">
      <c r="A1545" s="19">
        <v>1544</v>
      </c>
      <c r="B1545" s="19">
        <v>2022</v>
      </c>
      <c r="C1545" s="19" t="s">
        <v>31</v>
      </c>
      <c r="D1545" s="19" t="s">
        <v>555</v>
      </c>
      <c r="E1545" s="19" t="s">
        <v>908</v>
      </c>
      <c r="F1545" s="19" t="s">
        <v>32</v>
      </c>
      <c r="G1545" s="19">
        <v>115</v>
      </c>
      <c r="H1545" s="19"/>
      <c r="I1545" s="19">
        <v>5.08</v>
      </c>
      <c r="J1545" s="19">
        <v>14.53</v>
      </c>
      <c r="K1545" s="19"/>
      <c r="L1545" s="19">
        <v>3263</v>
      </c>
      <c r="M1545" s="19"/>
      <c r="N1545" s="20">
        <v>16745.028336289</v>
      </c>
      <c r="O1545" s="19">
        <v>34.6</v>
      </c>
      <c r="P1545" s="19">
        <v>5.9</v>
      </c>
      <c r="Q1545" s="19">
        <v>47.8</v>
      </c>
      <c r="R1545" s="19">
        <v>62</v>
      </c>
      <c r="S1545" s="19"/>
      <c r="T1545" s="19">
        <v>25.9</v>
      </c>
      <c r="U1545" s="19">
        <v>32.4</v>
      </c>
      <c r="V1545" s="21">
        <v>7.3184807369999998</v>
      </c>
      <c r="W1545" s="19">
        <v>0.69</v>
      </c>
      <c r="X1545" s="19"/>
      <c r="Y1545" s="19">
        <v>71.8</v>
      </c>
      <c r="Z1545" s="19"/>
      <c r="AA1545" s="19">
        <v>0.8</v>
      </c>
      <c r="AB1545" s="19">
        <v>8</v>
      </c>
      <c r="AC1545" s="19"/>
      <c r="AD1545" s="19"/>
      <c r="AE1545" s="19">
        <v>1</v>
      </c>
    </row>
    <row r="1546" spans="1:31" x14ac:dyDescent="0.2">
      <c r="A1546" s="19">
        <v>1545</v>
      </c>
      <c r="B1546" s="19">
        <v>2022</v>
      </c>
      <c r="C1546" s="19" t="s">
        <v>31</v>
      </c>
      <c r="D1546" s="19" t="s">
        <v>555</v>
      </c>
      <c r="E1546" s="19" t="s">
        <v>909</v>
      </c>
      <c r="F1546" s="19" t="s">
        <v>32</v>
      </c>
      <c r="G1546" s="19">
        <v>116</v>
      </c>
      <c r="H1546" s="19"/>
      <c r="I1546" s="19">
        <v>6.12</v>
      </c>
      <c r="J1546" s="19">
        <v>17.489999999999998</v>
      </c>
      <c r="K1546" s="19"/>
      <c r="L1546" s="19">
        <v>3381</v>
      </c>
      <c r="M1546" s="19"/>
      <c r="N1546" s="20">
        <v>21076.991389076</v>
      </c>
      <c r="O1546" s="19">
        <v>39.200000000000003</v>
      </c>
      <c r="P1546" s="19">
        <v>5.8</v>
      </c>
      <c r="Q1546" s="19">
        <v>42.4</v>
      </c>
      <c r="R1546" s="19">
        <v>60</v>
      </c>
      <c r="S1546" s="19"/>
      <c r="T1546" s="19">
        <v>22.6</v>
      </c>
      <c r="U1546" s="19">
        <v>37.9</v>
      </c>
      <c r="V1546" s="21">
        <v>6.9495380080000002</v>
      </c>
      <c r="W1546" s="19">
        <v>0.71</v>
      </c>
      <c r="X1546" s="19"/>
      <c r="Y1546" s="19">
        <v>72.900000000000006</v>
      </c>
      <c r="Z1546" s="19"/>
      <c r="AA1546" s="19">
        <v>1.1000000000000001</v>
      </c>
      <c r="AB1546" s="19">
        <v>11</v>
      </c>
      <c r="AC1546" s="19"/>
      <c r="AD1546" s="19"/>
      <c r="AE1546" s="19">
        <v>1</v>
      </c>
    </row>
    <row r="1547" spans="1:31" x14ac:dyDescent="0.2">
      <c r="A1547" s="19">
        <v>1546</v>
      </c>
      <c r="B1547" s="19">
        <v>2022</v>
      </c>
      <c r="C1547" s="19" t="s">
        <v>31</v>
      </c>
      <c r="D1547" s="22" t="s">
        <v>917</v>
      </c>
      <c r="E1547" s="19" t="s">
        <v>910</v>
      </c>
      <c r="F1547" s="19" t="s">
        <v>32</v>
      </c>
      <c r="G1547" s="19">
        <v>117</v>
      </c>
      <c r="H1547" s="19"/>
      <c r="I1547" s="19">
        <v>5.62</v>
      </c>
      <c r="J1547" s="19">
        <v>16.04</v>
      </c>
      <c r="K1547" s="19"/>
      <c r="L1547" s="19">
        <v>3239</v>
      </c>
      <c r="M1547" s="19"/>
      <c r="N1547" s="20">
        <v>18079.401334558999</v>
      </c>
      <c r="O1547" s="19">
        <v>40.5</v>
      </c>
      <c r="P1547" s="19">
        <v>5.7</v>
      </c>
      <c r="Q1547" s="19">
        <v>47.4</v>
      </c>
      <c r="R1547" s="19">
        <v>61.2</v>
      </c>
      <c r="S1547" s="19"/>
      <c r="T1547" s="19">
        <v>25.8</v>
      </c>
      <c r="U1547" s="19">
        <v>33.799999999999997</v>
      </c>
      <c r="V1547" s="21">
        <v>6.975798588</v>
      </c>
      <c r="W1547" s="19">
        <v>0.69</v>
      </c>
      <c r="X1547" s="19"/>
      <c r="Y1547" s="19">
        <v>71.5</v>
      </c>
      <c r="Z1547" s="19"/>
      <c r="AA1547" s="19">
        <v>1</v>
      </c>
      <c r="AB1547" s="19">
        <v>10</v>
      </c>
      <c r="AC1547" s="19"/>
      <c r="AD1547" s="19"/>
      <c r="AE1547" s="19">
        <v>1</v>
      </c>
    </row>
    <row r="1548" spans="1:31" x14ac:dyDescent="0.2">
      <c r="A1548" s="19">
        <v>1547</v>
      </c>
      <c r="B1548" s="19">
        <v>2022</v>
      </c>
      <c r="C1548" s="19" t="s">
        <v>31</v>
      </c>
      <c r="D1548" s="19" t="s">
        <v>108</v>
      </c>
      <c r="E1548" s="19" t="s">
        <v>780</v>
      </c>
      <c r="F1548" s="19" t="s">
        <v>32</v>
      </c>
      <c r="G1548" s="19">
        <v>116</v>
      </c>
      <c r="H1548" s="19"/>
      <c r="I1548" s="19">
        <v>7.18</v>
      </c>
      <c r="J1548" s="19">
        <v>20.51</v>
      </c>
      <c r="K1548" s="19"/>
      <c r="L1548" s="19">
        <v>3435</v>
      </c>
      <c r="M1548" s="19"/>
      <c r="N1548" s="20">
        <v>25009.097446424999</v>
      </c>
      <c r="O1548" s="19">
        <v>38.700000000000003</v>
      </c>
      <c r="P1548" s="19">
        <v>6</v>
      </c>
      <c r="Q1548" s="19">
        <v>42.8</v>
      </c>
      <c r="R1548" s="19">
        <v>63.5</v>
      </c>
      <c r="S1548" s="19"/>
      <c r="T1548" s="19">
        <v>22.8</v>
      </c>
      <c r="U1548" s="19">
        <v>37.200000000000003</v>
      </c>
      <c r="V1548" s="21">
        <v>7.4470380079999998</v>
      </c>
      <c r="W1548" s="19">
        <v>0.71</v>
      </c>
      <c r="X1548" s="19"/>
      <c r="Y1548" s="19">
        <v>74.099999999999994</v>
      </c>
      <c r="Z1548" s="19"/>
      <c r="AA1548" s="19">
        <v>1</v>
      </c>
      <c r="AB1548" s="19">
        <v>10</v>
      </c>
      <c r="AC1548" s="19"/>
      <c r="AD1548" s="19"/>
      <c r="AE1548" s="19">
        <v>1</v>
      </c>
    </row>
    <row r="1549" spans="1:31" x14ac:dyDescent="0.2">
      <c r="A1549" s="19">
        <v>1548</v>
      </c>
      <c r="B1549" s="19">
        <v>2022</v>
      </c>
      <c r="C1549" s="19" t="s">
        <v>31</v>
      </c>
      <c r="D1549" s="19" t="s">
        <v>108</v>
      </c>
      <c r="E1549" s="19" t="s">
        <v>781</v>
      </c>
      <c r="F1549" s="19" t="s">
        <v>32</v>
      </c>
      <c r="G1549" s="19">
        <v>117</v>
      </c>
      <c r="H1549" s="19"/>
      <c r="I1549" s="19">
        <v>6.65</v>
      </c>
      <c r="J1549" s="19">
        <v>19</v>
      </c>
      <c r="K1549" s="19" t="s">
        <v>34</v>
      </c>
      <c r="L1549" s="19">
        <v>3562</v>
      </c>
      <c r="M1549" s="19"/>
      <c r="N1549" s="20">
        <v>23758.366656511</v>
      </c>
      <c r="O1549" s="19">
        <v>39.4</v>
      </c>
      <c r="P1549" s="19">
        <v>5.9</v>
      </c>
      <c r="Q1549" s="19">
        <v>37.4</v>
      </c>
      <c r="R1549" s="19">
        <v>62.2</v>
      </c>
      <c r="S1549" s="19"/>
      <c r="T1549" s="19">
        <v>19.600000000000001</v>
      </c>
      <c r="U1549" s="19">
        <v>43.6</v>
      </c>
      <c r="V1549" s="21">
        <v>7.0570380080000001</v>
      </c>
      <c r="W1549" s="19">
        <v>0.74</v>
      </c>
      <c r="X1549" s="19"/>
      <c r="Y1549" s="19">
        <v>75.3</v>
      </c>
      <c r="Z1549" s="19"/>
      <c r="AA1549" s="19">
        <v>1.3</v>
      </c>
      <c r="AB1549" s="19">
        <v>13</v>
      </c>
      <c r="AC1549" s="19"/>
      <c r="AD1549" s="19"/>
      <c r="AE1549" s="19">
        <v>1</v>
      </c>
    </row>
    <row r="1550" spans="1:31" x14ac:dyDescent="0.2">
      <c r="A1550" s="19">
        <v>1549</v>
      </c>
      <c r="B1550" s="19">
        <v>2022</v>
      </c>
      <c r="C1550" s="19" t="s">
        <v>31</v>
      </c>
      <c r="D1550" s="19" t="s">
        <v>108</v>
      </c>
      <c r="E1550" s="19" t="s">
        <v>911</v>
      </c>
      <c r="F1550" s="19" t="s">
        <v>32</v>
      </c>
      <c r="G1550" s="19">
        <v>118</v>
      </c>
      <c r="H1550" s="19"/>
      <c r="I1550" s="19">
        <v>6.24</v>
      </c>
      <c r="J1550" s="19">
        <v>17.829999999999998</v>
      </c>
      <c r="K1550" s="19"/>
      <c r="L1550" s="19">
        <v>3387</v>
      </c>
      <c r="M1550" s="19"/>
      <c r="N1550" s="20">
        <v>21343.931692573999</v>
      </c>
      <c r="O1550" s="19">
        <v>37.5</v>
      </c>
      <c r="P1550" s="19">
        <v>5.9</v>
      </c>
      <c r="Q1550" s="19">
        <v>41.2</v>
      </c>
      <c r="R1550" s="19">
        <v>60.5</v>
      </c>
      <c r="S1550" s="19"/>
      <c r="T1550" s="19">
        <v>22.3</v>
      </c>
      <c r="U1550" s="19">
        <v>39.1</v>
      </c>
      <c r="V1550" s="21">
        <v>6.9570380079999996</v>
      </c>
      <c r="W1550" s="19">
        <v>0.71</v>
      </c>
      <c r="X1550" s="19"/>
      <c r="Y1550" s="19">
        <v>73.099999999999994</v>
      </c>
      <c r="Z1550" s="19"/>
      <c r="AA1550" s="19">
        <v>1.1000000000000001</v>
      </c>
      <c r="AB1550" s="19">
        <v>11</v>
      </c>
      <c r="AC1550" s="19"/>
      <c r="AD1550" s="19"/>
      <c r="AE1550" s="19">
        <v>1</v>
      </c>
    </row>
    <row r="1551" spans="1:31" x14ac:dyDescent="0.2">
      <c r="A1551" s="19">
        <v>1550</v>
      </c>
      <c r="B1551" s="19">
        <v>2022</v>
      </c>
      <c r="C1551" s="19" t="s">
        <v>31</v>
      </c>
      <c r="D1551" s="8" t="s">
        <v>67</v>
      </c>
      <c r="E1551" s="19" t="s">
        <v>912</v>
      </c>
      <c r="F1551" s="19" t="s">
        <v>32</v>
      </c>
      <c r="G1551" s="19">
        <v>120</v>
      </c>
      <c r="H1551" s="19"/>
      <c r="I1551" s="19">
        <v>7.17</v>
      </c>
      <c r="J1551" s="19">
        <v>20.49</v>
      </c>
      <c r="K1551" s="19"/>
      <c r="L1551" s="19">
        <v>3207</v>
      </c>
      <c r="M1551" s="19"/>
      <c r="N1551" s="20">
        <v>22584.936849540001</v>
      </c>
      <c r="O1551" s="19">
        <v>42.6</v>
      </c>
      <c r="P1551" s="19">
        <v>5.5</v>
      </c>
      <c r="Q1551" s="19">
        <v>46.8</v>
      </c>
      <c r="R1551" s="19">
        <v>58.9</v>
      </c>
      <c r="S1551" s="19"/>
      <c r="T1551" s="19">
        <v>25.6</v>
      </c>
      <c r="U1551" s="19">
        <v>33.700000000000003</v>
      </c>
      <c r="V1551" s="21">
        <v>7.3356710610000002</v>
      </c>
      <c r="W1551" s="19">
        <v>0.68</v>
      </c>
      <c r="X1551" s="19"/>
      <c r="Y1551" s="19">
        <v>70.7</v>
      </c>
      <c r="Z1551" s="19"/>
      <c r="AA1551" s="19">
        <v>1.1000000000000001</v>
      </c>
      <c r="AB1551" s="19">
        <v>11</v>
      </c>
      <c r="AC1551" s="19"/>
      <c r="AD1551" s="19"/>
      <c r="AE1551" s="19">
        <v>1</v>
      </c>
    </row>
    <row r="1552" spans="1:31" x14ac:dyDescent="0.2">
      <c r="A1552" s="19">
        <v>1551</v>
      </c>
      <c r="B1552" s="19">
        <v>2022</v>
      </c>
      <c r="C1552" s="19" t="s">
        <v>31</v>
      </c>
      <c r="D1552" s="8" t="s">
        <v>67</v>
      </c>
      <c r="E1552" s="19" t="s">
        <v>913</v>
      </c>
      <c r="F1552" s="19" t="s">
        <v>32</v>
      </c>
      <c r="G1552" s="19">
        <v>120</v>
      </c>
      <c r="H1552" s="19"/>
      <c r="I1552" s="19">
        <v>6.98</v>
      </c>
      <c r="J1552" s="19">
        <v>19.95</v>
      </c>
      <c r="K1552" s="19"/>
      <c r="L1552" s="19">
        <v>3167</v>
      </c>
      <c r="M1552" s="19"/>
      <c r="N1552" s="20">
        <v>21475.070986919</v>
      </c>
      <c r="O1552" s="19">
        <v>38.299999999999997</v>
      </c>
      <c r="P1552" s="19">
        <v>6.2</v>
      </c>
      <c r="Q1552" s="19">
        <v>45.8</v>
      </c>
      <c r="R1552" s="19">
        <v>56.8</v>
      </c>
      <c r="S1552" s="19"/>
      <c r="T1552" s="19">
        <v>25.8</v>
      </c>
      <c r="U1552" s="19">
        <v>29.9</v>
      </c>
      <c r="V1552" s="21">
        <v>8.9081710609999991</v>
      </c>
      <c r="W1552" s="19">
        <v>0.68</v>
      </c>
      <c r="X1552" s="19"/>
      <c r="Y1552" s="19">
        <v>69.900000000000006</v>
      </c>
      <c r="Z1552" s="19"/>
      <c r="AA1552" s="19">
        <v>0.8</v>
      </c>
      <c r="AB1552" s="19">
        <v>8</v>
      </c>
      <c r="AC1552" s="19"/>
      <c r="AD1552" s="19"/>
      <c r="AE1552" s="19">
        <v>1</v>
      </c>
    </row>
    <row r="1553" spans="1:31" x14ac:dyDescent="0.2">
      <c r="A1553" s="19">
        <v>1552</v>
      </c>
      <c r="B1553" s="1">
        <v>2023</v>
      </c>
      <c r="C1553" s="19" t="s">
        <v>31</v>
      </c>
      <c r="D1553" s="19" t="s">
        <v>985</v>
      </c>
      <c r="E1553" s="22" t="s">
        <v>922</v>
      </c>
      <c r="F1553" s="19" t="s">
        <v>32</v>
      </c>
      <c r="G1553" s="22">
        <v>115</v>
      </c>
      <c r="H1553" s="22" t="s">
        <v>89</v>
      </c>
      <c r="I1553" s="12">
        <v>8.0356249999999996</v>
      </c>
      <c r="J1553" s="23">
        <v>22.958928571000001</v>
      </c>
      <c r="K1553" s="24" t="s">
        <v>89</v>
      </c>
      <c r="L1553" s="25">
        <v>3287.75</v>
      </c>
      <c r="M1553" s="25" t="s">
        <v>89</v>
      </c>
      <c r="N1553" s="25">
        <v>26492.803250000001</v>
      </c>
      <c r="O1553" s="15">
        <v>36.322499999999998</v>
      </c>
      <c r="P1553" s="26">
        <v>8.4949999999999992</v>
      </c>
      <c r="Q1553" s="26">
        <v>36.052500000000002</v>
      </c>
      <c r="R1553" s="26">
        <v>50.39</v>
      </c>
      <c r="T1553" s="26">
        <v>19.234999999999999</v>
      </c>
      <c r="U1553" s="26">
        <v>35.6</v>
      </c>
      <c r="V1553" s="26">
        <v>8.4049999999999994</v>
      </c>
      <c r="W1553" s="27">
        <v>0.70574999999999999</v>
      </c>
      <c r="Y1553" s="26">
        <v>70.6875</v>
      </c>
      <c r="AA1553" s="26">
        <v>1.125</v>
      </c>
      <c r="AB1553" s="16">
        <v>11.25</v>
      </c>
      <c r="AE1553" s="19">
        <v>1</v>
      </c>
    </row>
    <row r="1554" spans="1:31" x14ac:dyDescent="0.2">
      <c r="A1554" s="19">
        <v>1553</v>
      </c>
      <c r="B1554" s="1">
        <v>2023</v>
      </c>
      <c r="C1554" s="19" t="s">
        <v>31</v>
      </c>
      <c r="D1554" s="19" t="s">
        <v>985</v>
      </c>
      <c r="E1554" s="22" t="s">
        <v>923</v>
      </c>
      <c r="F1554" s="19" t="s">
        <v>32</v>
      </c>
      <c r="G1554" s="22">
        <v>116</v>
      </c>
      <c r="H1554" s="22" t="s">
        <v>89</v>
      </c>
      <c r="I1554" s="12">
        <v>8.0789125689644994</v>
      </c>
      <c r="J1554" s="23">
        <v>23.082607328000002</v>
      </c>
      <c r="K1554" s="24" t="s">
        <v>89</v>
      </c>
      <c r="L1554" s="25">
        <v>3305.4461014140002</v>
      </c>
      <c r="M1554" s="25" t="s">
        <v>89</v>
      </c>
      <c r="N1554" s="25">
        <v>26768.624630693001</v>
      </c>
      <c r="O1554" s="15">
        <v>36.490566487999999</v>
      </c>
      <c r="P1554" s="26">
        <v>7.8673748840000002</v>
      </c>
      <c r="Q1554" s="26">
        <v>35.578318813000003</v>
      </c>
      <c r="R1554" s="26">
        <v>51.929561982999999</v>
      </c>
      <c r="T1554" s="26">
        <v>19.296267078</v>
      </c>
      <c r="U1554" s="26">
        <v>36.346555408</v>
      </c>
      <c r="V1554" s="26">
        <v>9.0944111729999992</v>
      </c>
      <c r="W1554" s="27">
        <v>0.70702947349</v>
      </c>
      <c r="Y1554" s="26">
        <v>71.087403323999993</v>
      </c>
      <c r="AA1554" s="26">
        <v>1.0716040760000001</v>
      </c>
      <c r="AB1554" s="16">
        <v>10.71604076</v>
      </c>
      <c r="AE1554" s="19">
        <v>1</v>
      </c>
    </row>
    <row r="1555" spans="1:31" x14ac:dyDescent="0.2">
      <c r="A1555" s="19">
        <v>1554</v>
      </c>
      <c r="B1555" s="1">
        <v>2023</v>
      </c>
      <c r="C1555" s="19" t="s">
        <v>31</v>
      </c>
      <c r="D1555" s="19" t="s">
        <v>985</v>
      </c>
      <c r="E1555" s="22" t="s">
        <v>924</v>
      </c>
      <c r="F1555" s="19" t="s">
        <v>32</v>
      </c>
      <c r="G1555" s="22">
        <v>118</v>
      </c>
      <c r="H1555" s="22" t="s">
        <v>89</v>
      </c>
      <c r="I1555" s="12">
        <v>7.8182875689645002</v>
      </c>
      <c r="J1555" s="23">
        <v>22.337964470999999</v>
      </c>
      <c r="K1555" s="24" t="s">
        <v>89</v>
      </c>
      <c r="L1555" s="25">
        <v>3324.1961014140002</v>
      </c>
      <c r="M1555" s="25" t="s">
        <v>89</v>
      </c>
      <c r="N1555" s="25">
        <v>26057.829255692999</v>
      </c>
      <c r="O1555" s="15">
        <v>37.285566488000001</v>
      </c>
      <c r="P1555" s="26">
        <v>8.0623748840000005</v>
      </c>
      <c r="Q1555" s="26">
        <v>37.203318813000003</v>
      </c>
      <c r="R1555" s="26">
        <v>53.889561983</v>
      </c>
      <c r="T1555" s="26">
        <v>21.023767077999999</v>
      </c>
      <c r="U1555" s="26">
        <v>35.619055408000001</v>
      </c>
      <c r="V1555" s="26">
        <v>7.7794111729999997</v>
      </c>
      <c r="W1555" s="27">
        <v>0.70722947348999998</v>
      </c>
      <c r="Y1555" s="26">
        <v>71.507403323999995</v>
      </c>
      <c r="AA1555" s="26">
        <v>1.0716040760000001</v>
      </c>
      <c r="AB1555" s="16">
        <v>10.71604076</v>
      </c>
      <c r="AE1555" s="19">
        <v>1</v>
      </c>
    </row>
    <row r="1556" spans="1:31" x14ac:dyDescent="0.2">
      <c r="A1556" s="19">
        <v>1555</v>
      </c>
      <c r="B1556" s="1">
        <v>2023</v>
      </c>
      <c r="C1556" s="19" t="s">
        <v>31</v>
      </c>
      <c r="D1556" s="19" t="s">
        <v>402</v>
      </c>
      <c r="E1556" s="22" t="s">
        <v>858</v>
      </c>
      <c r="F1556" s="19" t="s">
        <v>32</v>
      </c>
      <c r="G1556" s="22">
        <v>114</v>
      </c>
      <c r="H1556" s="22" t="s">
        <v>89</v>
      </c>
      <c r="I1556" s="12">
        <v>8.511162568964501</v>
      </c>
      <c r="J1556" s="23">
        <v>24.317607328000001</v>
      </c>
      <c r="K1556" s="24" t="s">
        <v>89</v>
      </c>
      <c r="L1556" s="25">
        <v>3327.4461014140002</v>
      </c>
      <c r="M1556" s="25" t="s">
        <v>89</v>
      </c>
      <c r="N1556" s="25">
        <v>28375.224880693</v>
      </c>
      <c r="O1556" s="15">
        <v>36.750566487999997</v>
      </c>
      <c r="P1556" s="26">
        <v>7.8173748840000004</v>
      </c>
      <c r="Q1556" s="26">
        <v>35.388318812999998</v>
      </c>
      <c r="R1556" s="26">
        <v>50.469561982999998</v>
      </c>
      <c r="T1556" s="26">
        <v>18.966267078000001</v>
      </c>
      <c r="U1556" s="26">
        <v>37.439055408000002</v>
      </c>
      <c r="V1556" s="26">
        <v>8.5094111730000002</v>
      </c>
      <c r="W1556" s="27">
        <v>0.71250447349000001</v>
      </c>
      <c r="Y1556" s="26">
        <v>71.247403324000004</v>
      </c>
      <c r="AA1556" s="26">
        <v>1.0716040760000001</v>
      </c>
      <c r="AB1556" s="16">
        <v>10.71604076</v>
      </c>
      <c r="AE1556" s="19">
        <v>1</v>
      </c>
    </row>
    <row r="1557" spans="1:31" x14ac:dyDescent="0.2">
      <c r="A1557" s="19">
        <v>1556</v>
      </c>
      <c r="B1557" s="1">
        <v>2023</v>
      </c>
      <c r="C1557" s="19" t="s">
        <v>31</v>
      </c>
      <c r="D1557" s="19" t="s">
        <v>402</v>
      </c>
      <c r="E1557" s="22" t="s">
        <v>925</v>
      </c>
      <c r="F1557" s="19" t="s">
        <v>32</v>
      </c>
      <c r="G1557" s="22">
        <v>116</v>
      </c>
      <c r="H1557" s="22" t="s">
        <v>89</v>
      </c>
      <c r="I1557" s="12">
        <v>7.964989060882</v>
      </c>
      <c r="J1557" s="23">
        <v>22.757111340000002</v>
      </c>
      <c r="K1557" s="24" t="s">
        <v>89</v>
      </c>
      <c r="L1557" s="25">
        <v>3420.1961014140002</v>
      </c>
      <c r="M1557" s="25" t="s">
        <v>89</v>
      </c>
      <c r="N1557" s="25">
        <v>27358.694428734001</v>
      </c>
      <c r="O1557" s="15">
        <v>35.302514127999999</v>
      </c>
      <c r="P1557" s="26">
        <v>8.2948748840000004</v>
      </c>
      <c r="Q1557" s="26">
        <v>34.938318813000002</v>
      </c>
      <c r="R1557" s="26">
        <v>55.669561983000001</v>
      </c>
      <c r="T1557" s="26">
        <v>18.041267078000001</v>
      </c>
      <c r="U1557" s="26">
        <v>37.456555408</v>
      </c>
      <c r="V1557" s="26">
        <v>8.0494111729999993</v>
      </c>
      <c r="W1557" s="27">
        <v>0.72117947349</v>
      </c>
      <c r="Y1557" s="26">
        <v>72.807403324000006</v>
      </c>
      <c r="AA1557" s="26">
        <v>1.1792723490000001</v>
      </c>
      <c r="AB1557" s="16">
        <v>11.79272349</v>
      </c>
      <c r="AE1557" s="19">
        <v>1</v>
      </c>
    </row>
    <row r="1558" spans="1:31" x14ac:dyDescent="0.2">
      <c r="A1558" s="19">
        <v>1557</v>
      </c>
      <c r="B1558" s="1">
        <v>2023</v>
      </c>
      <c r="C1558" s="19" t="s">
        <v>31</v>
      </c>
      <c r="D1558" s="1" t="s">
        <v>805</v>
      </c>
      <c r="E1558" s="22" t="s">
        <v>926</v>
      </c>
      <c r="F1558" s="19" t="s">
        <v>32</v>
      </c>
      <c r="G1558" s="22">
        <v>116</v>
      </c>
      <c r="H1558" s="22" t="s">
        <v>89</v>
      </c>
      <c r="I1558" s="12">
        <v>7.2647500000000003</v>
      </c>
      <c r="J1558" s="23">
        <v>20.756428571000001</v>
      </c>
      <c r="K1558" s="24" t="s">
        <v>89</v>
      </c>
      <c r="L1558" s="25">
        <v>3318.5</v>
      </c>
      <c r="M1558" s="25" t="s">
        <v>89</v>
      </c>
      <c r="N1558" s="25">
        <v>29414.394880692998</v>
      </c>
      <c r="O1558" s="15">
        <v>37.174999999999997</v>
      </c>
      <c r="P1558" s="26">
        <v>7.0724999999999998</v>
      </c>
      <c r="Q1558" s="26">
        <v>35.857500000000002</v>
      </c>
      <c r="R1558" s="26">
        <v>50.354999999999997</v>
      </c>
      <c r="T1558" s="26">
        <v>19.004999999999999</v>
      </c>
      <c r="U1558" s="26">
        <v>39.28</v>
      </c>
      <c r="V1558" s="26">
        <v>7.75</v>
      </c>
      <c r="W1558" s="27">
        <v>0.71057500000000007</v>
      </c>
      <c r="Y1558" s="26">
        <v>71.132499999999993</v>
      </c>
      <c r="AA1558" s="26">
        <v>1.1875</v>
      </c>
      <c r="AB1558" s="16">
        <v>11.875</v>
      </c>
      <c r="AE1558" s="19">
        <v>1</v>
      </c>
    </row>
    <row r="1559" spans="1:31" x14ac:dyDescent="0.2">
      <c r="A1559" s="19">
        <v>1558</v>
      </c>
      <c r="B1559" s="1">
        <v>2023</v>
      </c>
      <c r="C1559" s="19" t="s">
        <v>31</v>
      </c>
      <c r="D1559" s="1" t="s">
        <v>805</v>
      </c>
      <c r="E1559" s="22" t="s">
        <v>927</v>
      </c>
      <c r="F1559" s="19" t="s">
        <v>32</v>
      </c>
      <c r="G1559" s="22">
        <v>118</v>
      </c>
      <c r="H1559" s="22" t="s">
        <v>34</v>
      </c>
      <c r="I1559" s="12">
        <v>9.5220375689645014</v>
      </c>
      <c r="J1559" s="23">
        <v>27.205821614000001</v>
      </c>
      <c r="K1559" s="24" t="s">
        <v>89</v>
      </c>
      <c r="L1559" s="25">
        <v>3433.4461014140002</v>
      </c>
      <c r="M1559" s="25" t="s">
        <v>89</v>
      </c>
      <c r="N1559" s="25">
        <v>27181.978630693</v>
      </c>
      <c r="O1559" s="15">
        <v>39.260566488000002</v>
      </c>
      <c r="P1559" s="26">
        <v>7.5723748840000003</v>
      </c>
      <c r="Q1559" s="26">
        <v>32.400818813000001</v>
      </c>
      <c r="R1559" s="26">
        <v>52.982061983000001</v>
      </c>
      <c r="T1559" s="26">
        <v>18.173767078000001</v>
      </c>
      <c r="U1559" s="26">
        <v>43.461555408000002</v>
      </c>
      <c r="V1559" s="26">
        <v>7.161911173</v>
      </c>
      <c r="W1559" s="27">
        <v>0.72677947348999994</v>
      </c>
      <c r="Y1559" s="26">
        <v>72.809903324000004</v>
      </c>
      <c r="AA1559" s="26">
        <v>1.0091040760000001</v>
      </c>
      <c r="AB1559" s="16">
        <v>10.09104076</v>
      </c>
      <c r="AE1559" s="19">
        <v>1</v>
      </c>
    </row>
    <row r="1560" spans="1:31" x14ac:dyDescent="0.2">
      <c r="A1560" s="19">
        <v>1559</v>
      </c>
      <c r="B1560" s="1">
        <v>2023</v>
      </c>
      <c r="C1560" s="19" t="s">
        <v>31</v>
      </c>
      <c r="D1560" s="1" t="s">
        <v>805</v>
      </c>
      <c r="E1560" s="22" t="s">
        <v>928</v>
      </c>
      <c r="F1560" s="19" t="s">
        <v>32</v>
      </c>
      <c r="G1560" s="22">
        <v>120</v>
      </c>
      <c r="H1560" s="22" t="s">
        <v>34</v>
      </c>
      <c r="I1560" s="12">
        <v>8.9485812844819996</v>
      </c>
      <c r="J1560" s="23">
        <v>25.567375092999999</v>
      </c>
      <c r="K1560" s="24" t="s">
        <v>89</v>
      </c>
      <c r="L1560" s="25">
        <v>3331.4730507069999</v>
      </c>
      <c r="M1560" s="25" t="s">
        <v>89</v>
      </c>
      <c r="N1560" s="25">
        <v>27326.017255693001</v>
      </c>
      <c r="O1560" s="15">
        <v>40.089033243999999</v>
      </c>
      <c r="P1560" s="26">
        <v>7.3124374420000002</v>
      </c>
      <c r="Q1560" s="26">
        <v>35.461659406000003</v>
      </c>
      <c r="R1560" s="26">
        <v>52.293530990999997</v>
      </c>
      <c r="T1560" s="26">
        <v>20.074383538999999</v>
      </c>
      <c r="U1560" s="26">
        <v>41.052027703999997</v>
      </c>
      <c r="V1560" s="26">
        <v>6.6959555860000002</v>
      </c>
      <c r="W1560" s="27">
        <v>0.71067723674999994</v>
      </c>
      <c r="Y1560" s="26">
        <v>71.522451661999995</v>
      </c>
      <c r="AA1560" s="26">
        <v>1.0670520379999999</v>
      </c>
      <c r="AB1560" s="16">
        <v>10.670520379999999</v>
      </c>
      <c r="AE1560" s="19">
        <v>1</v>
      </c>
    </row>
    <row r="1561" spans="1:31" x14ac:dyDescent="0.2">
      <c r="A1561" s="19">
        <v>1560</v>
      </c>
      <c r="B1561" s="1">
        <v>2023</v>
      </c>
      <c r="C1561" s="19" t="s">
        <v>31</v>
      </c>
      <c r="D1561" s="22" t="s">
        <v>861</v>
      </c>
      <c r="E1561" s="22" t="s">
        <v>864</v>
      </c>
      <c r="F1561" s="19" t="s">
        <v>32</v>
      </c>
      <c r="G1561" s="22">
        <v>114</v>
      </c>
      <c r="H1561" s="22" t="s">
        <v>89</v>
      </c>
      <c r="I1561" s="12">
        <v>8.7107875689645002</v>
      </c>
      <c r="J1561" s="23">
        <v>24.887964471</v>
      </c>
      <c r="K1561" s="24" t="s">
        <v>89</v>
      </c>
      <c r="L1561" s="25">
        <v>3368.6961014140002</v>
      </c>
      <c r="M1561" s="25" t="s">
        <v>89</v>
      </c>
      <c r="N1561" s="25">
        <v>28773.698505692999</v>
      </c>
      <c r="O1561" s="15">
        <v>38.258066487999997</v>
      </c>
      <c r="P1561" s="26">
        <v>7.7548748840000004</v>
      </c>
      <c r="Q1561" s="26">
        <v>33.558318813</v>
      </c>
      <c r="R1561" s="26">
        <v>50.474561983000001</v>
      </c>
      <c r="T1561" s="26">
        <v>18.091267078000001</v>
      </c>
      <c r="U1561" s="26">
        <v>41.726555408000003</v>
      </c>
      <c r="V1561" s="26">
        <v>7.3994111729999998</v>
      </c>
      <c r="W1561" s="27">
        <v>0.71900447349000007</v>
      </c>
      <c r="Y1561" s="26">
        <v>71.752403323999999</v>
      </c>
      <c r="AA1561" s="26">
        <v>1.0716040760000001</v>
      </c>
      <c r="AB1561" s="16">
        <v>10.71604076</v>
      </c>
      <c r="AE1561" s="19">
        <v>1</v>
      </c>
    </row>
    <row r="1562" spans="1:31" x14ac:dyDescent="0.2">
      <c r="A1562" s="19">
        <v>1561</v>
      </c>
      <c r="B1562" s="1">
        <v>2023</v>
      </c>
      <c r="C1562" s="19" t="s">
        <v>31</v>
      </c>
      <c r="D1562" s="22" t="s">
        <v>861</v>
      </c>
      <c r="E1562" s="22" t="s">
        <v>929</v>
      </c>
      <c r="F1562" s="19" t="s">
        <v>32</v>
      </c>
      <c r="G1562" s="22">
        <v>116</v>
      </c>
      <c r="H1562" s="22" t="s">
        <v>89</v>
      </c>
      <c r="I1562" s="12">
        <v>8.1545375689644999</v>
      </c>
      <c r="J1562" s="23">
        <v>23.298678757000001</v>
      </c>
      <c r="K1562" s="24" t="s">
        <v>89</v>
      </c>
      <c r="L1562" s="25">
        <v>3329.6961014140002</v>
      </c>
      <c r="M1562" s="25" t="s">
        <v>89</v>
      </c>
      <c r="N1562" s="25">
        <v>14986.626482129999</v>
      </c>
      <c r="O1562" s="15">
        <v>37.295566487999999</v>
      </c>
      <c r="P1562" s="26">
        <v>7.9898748839999998</v>
      </c>
      <c r="Q1562" s="26">
        <v>35.230818812999999</v>
      </c>
      <c r="R1562" s="26">
        <v>51.592061983000001</v>
      </c>
      <c r="T1562" s="26">
        <v>18.743767078000001</v>
      </c>
      <c r="U1562" s="26">
        <v>35.996555407999999</v>
      </c>
      <c r="V1562" s="26">
        <v>9.4569111729999999</v>
      </c>
      <c r="W1562" s="27">
        <v>0.71152947349000006</v>
      </c>
      <c r="Y1562" s="26">
        <v>71.322403324000007</v>
      </c>
      <c r="AA1562" s="26">
        <v>1.0716040760000001</v>
      </c>
      <c r="AB1562" s="16">
        <v>10.71604076</v>
      </c>
      <c r="AE1562" s="19">
        <v>1</v>
      </c>
    </row>
    <row r="1563" spans="1:31" x14ac:dyDescent="0.2">
      <c r="A1563" s="19">
        <v>1562</v>
      </c>
      <c r="B1563" s="1">
        <v>2023</v>
      </c>
      <c r="C1563" s="19" t="s">
        <v>31</v>
      </c>
      <c r="D1563" s="22" t="s">
        <v>861</v>
      </c>
      <c r="E1563" s="22" t="s">
        <v>866</v>
      </c>
      <c r="F1563" s="19" t="s">
        <v>32</v>
      </c>
      <c r="G1563" s="22">
        <v>117</v>
      </c>
      <c r="H1563" s="22" t="s">
        <v>89</v>
      </c>
      <c r="I1563" s="12">
        <v>8.2907875689645003</v>
      </c>
      <c r="J1563" s="23">
        <v>23.687964471000001</v>
      </c>
      <c r="K1563" s="24" t="s">
        <v>89</v>
      </c>
      <c r="L1563" s="25">
        <v>3289.4461014140002</v>
      </c>
      <c r="M1563" s="25" t="s">
        <v>89</v>
      </c>
      <c r="N1563" s="25">
        <v>24117.687249999999</v>
      </c>
      <c r="O1563" s="15">
        <v>36.350566487999998</v>
      </c>
      <c r="P1563" s="26">
        <v>7.7448748839999997</v>
      </c>
      <c r="Q1563" s="26">
        <v>33.895818812999998</v>
      </c>
      <c r="R1563" s="26">
        <v>47.754561983000002</v>
      </c>
      <c r="T1563" s="26">
        <v>18.906267077999999</v>
      </c>
      <c r="U1563" s="26">
        <v>40.349055407999998</v>
      </c>
      <c r="V1563" s="26">
        <v>8.2019111729999992</v>
      </c>
      <c r="W1563" s="27">
        <v>0.70970447348999999</v>
      </c>
      <c r="Y1563" s="26">
        <v>70.589903324000005</v>
      </c>
      <c r="AA1563" s="26">
        <v>1.0091040760000001</v>
      </c>
      <c r="AB1563" s="16">
        <v>10.09104076</v>
      </c>
      <c r="AE1563" s="19">
        <v>1</v>
      </c>
    </row>
    <row r="1564" spans="1:31" x14ac:dyDescent="0.2">
      <c r="A1564" s="19">
        <v>1563</v>
      </c>
      <c r="B1564" s="1">
        <v>2023</v>
      </c>
      <c r="C1564" s="19" t="s">
        <v>31</v>
      </c>
      <c r="D1564" s="22" t="s">
        <v>861</v>
      </c>
      <c r="E1564" s="22" t="s">
        <v>867</v>
      </c>
      <c r="F1564" s="19" t="s">
        <v>32</v>
      </c>
      <c r="G1564" s="22">
        <v>117</v>
      </c>
      <c r="H1564" s="22" t="s">
        <v>89</v>
      </c>
      <c r="I1564" s="12">
        <v>8.3820375689645008</v>
      </c>
      <c r="J1564" s="23">
        <v>23.948678757</v>
      </c>
      <c r="K1564" s="24" t="s">
        <v>89</v>
      </c>
      <c r="L1564" s="25">
        <v>3421.6961014140002</v>
      </c>
      <c r="M1564" s="25" t="s">
        <v>34</v>
      </c>
      <c r="N1564" s="25">
        <v>32725.713130692999</v>
      </c>
      <c r="O1564" s="15">
        <v>38.000566487999997</v>
      </c>
      <c r="P1564" s="26">
        <v>7.6698748840000004</v>
      </c>
      <c r="Q1564" s="26">
        <v>35.523318813000003</v>
      </c>
      <c r="R1564" s="26">
        <v>52.679561982999999</v>
      </c>
      <c r="T1564" s="26">
        <v>18.401267078</v>
      </c>
      <c r="U1564" s="26">
        <v>37.956555408</v>
      </c>
      <c r="V1564" s="26">
        <v>7.849411173</v>
      </c>
      <c r="W1564" s="27">
        <v>0.72462947349000006</v>
      </c>
      <c r="Y1564" s="26">
        <v>72.557403324000006</v>
      </c>
      <c r="AA1564" s="26">
        <v>1.1966040760000001</v>
      </c>
      <c r="AB1564" s="16">
        <v>11.96604076</v>
      </c>
      <c r="AE1564" s="19">
        <v>1</v>
      </c>
    </row>
    <row r="1565" spans="1:31" x14ac:dyDescent="0.2">
      <c r="A1565" s="19">
        <v>1564</v>
      </c>
      <c r="B1565" s="1">
        <v>2023</v>
      </c>
      <c r="C1565" s="19" t="s">
        <v>31</v>
      </c>
      <c r="D1565" s="22" t="s">
        <v>861</v>
      </c>
      <c r="E1565" s="22" t="s">
        <v>930</v>
      </c>
      <c r="F1565" s="19" t="s">
        <v>32</v>
      </c>
      <c r="G1565" s="22">
        <v>117</v>
      </c>
      <c r="H1565" s="22" t="s">
        <v>89</v>
      </c>
      <c r="I1565" s="12">
        <v>5.4186584487880003</v>
      </c>
      <c r="J1565" s="23">
        <v>15.481882124</v>
      </c>
      <c r="K1565" s="24" t="s">
        <v>89</v>
      </c>
      <c r="L1565" s="25">
        <v>2894.4461014140002</v>
      </c>
      <c r="M1565" s="25" t="s">
        <v>89</v>
      </c>
      <c r="N1565" s="25">
        <v>29928.358127846001</v>
      </c>
      <c r="O1565" s="15">
        <v>29.301066516999995</v>
      </c>
      <c r="P1565" s="26">
        <v>8.0573748839999997</v>
      </c>
      <c r="Q1565" s="26">
        <v>41.405818813000003</v>
      </c>
      <c r="R1565" s="26">
        <v>52.697061982999998</v>
      </c>
      <c r="T1565" s="26">
        <v>22.608767078</v>
      </c>
      <c r="U1565" s="26">
        <v>25.414055407999999</v>
      </c>
      <c r="V1565" s="26">
        <v>11.584411172999999</v>
      </c>
      <c r="W1565" s="27">
        <v>0.64100447349000012</v>
      </c>
      <c r="Y1565" s="26">
        <v>66.182403324000006</v>
      </c>
      <c r="AA1565" s="26">
        <v>0.99642337299999995</v>
      </c>
      <c r="AB1565" s="16">
        <v>9.9642337300000001</v>
      </c>
      <c r="AE1565" s="19">
        <v>1</v>
      </c>
    </row>
    <row r="1566" spans="1:31" x14ac:dyDescent="0.2">
      <c r="A1566" s="19">
        <v>1565</v>
      </c>
      <c r="B1566" s="1">
        <v>2023</v>
      </c>
      <c r="C1566" s="19" t="s">
        <v>31</v>
      </c>
      <c r="D1566" s="22" t="s">
        <v>931</v>
      </c>
      <c r="E1566" s="22" t="s">
        <v>932</v>
      </c>
      <c r="F1566" s="19" t="s">
        <v>32</v>
      </c>
      <c r="G1566" s="22">
        <v>117</v>
      </c>
      <c r="H1566" s="22" t="s">
        <v>89</v>
      </c>
      <c r="I1566" s="12">
        <v>6.9577062844820006</v>
      </c>
      <c r="J1566" s="23">
        <v>19.879160807000002</v>
      </c>
      <c r="K1566" s="24" t="s">
        <v>34</v>
      </c>
      <c r="L1566" s="25">
        <v>3624.2230507069999</v>
      </c>
      <c r="M1566" s="25" t="s">
        <v>89</v>
      </c>
      <c r="N1566" s="25">
        <v>25249.930752846001</v>
      </c>
      <c r="O1566" s="15">
        <v>32.876533244000001</v>
      </c>
      <c r="P1566" s="26">
        <v>8.0774374420000008</v>
      </c>
      <c r="Q1566" s="26">
        <v>32.584159405999998</v>
      </c>
      <c r="R1566" s="26">
        <v>60.873530991000003</v>
      </c>
      <c r="T1566" s="26">
        <v>17.006883539</v>
      </c>
      <c r="U1566" s="26">
        <v>39.394527703999998</v>
      </c>
      <c r="V1566" s="26">
        <v>9.0709555860000002</v>
      </c>
      <c r="W1566" s="27">
        <v>0.74757723674999998</v>
      </c>
      <c r="Y1566" s="26">
        <v>75.662451661999995</v>
      </c>
      <c r="AA1566" s="26">
        <v>1.7545520379999999</v>
      </c>
      <c r="AB1566" s="16">
        <v>17.545520379999999</v>
      </c>
      <c r="AE1566" s="19">
        <v>1</v>
      </c>
    </row>
    <row r="1567" spans="1:31" x14ac:dyDescent="0.2">
      <c r="A1567" s="19">
        <v>1566</v>
      </c>
      <c r="B1567" s="1">
        <v>2023</v>
      </c>
      <c r="C1567" s="19" t="s">
        <v>31</v>
      </c>
      <c r="D1567" s="22" t="s">
        <v>931</v>
      </c>
      <c r="E1567" s="22" t="s">
        <v>933</v>
      </c>
      <c r="F1567" s="19" t="s">
        <v>32</v>
      </c>
      <c r="G1567" s="22">
        <v>119</v>
      </c>
      <c r="H1567" s="22" t="s">
        <v>89</v>
      </c>
      <c r="I1567" s="12">
        <v>7.0061625689645002</v>
      </c>
      <c r="J1567" s="23">
        <v>20.017607328</v>
      </c>
      <c r="K1567" s="24" t="s">
        <v>34</v>
      </c>
      <c r="L1567" s="25">
        <v>3569.9461014140002</v>
      </c>
      <c r="M1567" s="25" t="s">
        <v>89</v>
      </c>
      <c r="N1567" s="25">
        <v>25071.315005692999</v>
      </c>
      <c r="O1567" s="15">
        <v>35.040566488000003</v>
      </c>
      <c r="P1567" s="26">
        <v>8.3623748839999994</v>
      </c>
      <c r="Q1567" s="26">
        <v>37.448318813</v>
      </c>
      <c r="R1567" s="26">
        <v>65.509561982999998</v>
      </c>
      <c r="T1567" s="26">
        <v>20.123767078</v>
      </c>
      <c r="U1567" s="26">
        <v>35.341555407999998</v>
      </c>
      <c r="V1567" s="26">
        <v>8.0544111730000001</v>
      </c>
      <c r="W1567" s="27">
        <v>0.73345447348999993</v>
      </c>
      <c r="Y1567" s="26">
        <v>75.819903323999995</v>
      </c>
      <c r="AA1567" s="26">
        <v>1.1966040760000001</v>
      </c>
      <c r="AB1567" s="16">
        <v>11.96604076</v>
      </c>
      <c r="AE1567" s="19">
        <v>1</v>
      </c>
    </row>
    <row r="1568" spans="1:31" x14ac:dyDescent="0.2">
      <c r="A1568" s="19">
        <v>1567</v>
      </c>
      <c r="B1568" s="1">
        <v>2023</v>
      </c>
      <c r="C1568" s="19" t="s">
        <v>31</v>
      </c>
      <c r="D1568" s="22" t="s">
        <v>874</v>
      </c>
      <c r="E1568" s="22" t="s">
        <v>934</v>
      </c>
      <c r="F1568" s="19" t="s">
        <v>32</v>
      </c>
      <c r="G1568" s="22">
        <v>118</v>
      </c>
      <c r="H1568" s="22" t="s">
        <v>89</v>
      </c>
      <c r="I1568" s="12">
        <v>7.5790375689645</v>
      </c>
      <c r="J1568" s="23">
        <v>21.654393041999999</v>
      </c>
      <c r="K1568" s="24" t="s">
        <v>89</v>
      </c>
      <c r="L1568" s="25">
        <v>3435.1961014140002</v>
      </c>
      <c r="M1568" s="25" t="s">
        <v>89</v>
      </c>
      <c r="N1568" s="25">
        <v>26165.740880693</v>
      </c>
      <c r="O1568" s="15">
        <v>42.438066487999997</v>
      </c>
      <c r="P1568" s="26">
        <v>7.6698748840000004</v>
      </c>
      <c r="Q1568" s="26">
        <v>32.200818812999998</v>
      </c>
      <c r="R1568" s="26">
        <v>53.809561983000002</v>
      </c>
      <c r="T1568" s="26">
        <v>18.078767077999998</v>
      </c>
      <c r="U1568" s="26">
        <v>44.276555408</v>
      </c>
      <c r="V1568" s="26">
        <v>6.4519111730000001</v>
      </c>
      <c r="W1568" s="27">
        <v>0.72587947349000004</v>
      </c>
      <c r="Y1568" s="26">
        <v>72.799903323999999</v>
      </c>
      <c r="AA1568" s="26">
        <v>1.0716040760000001</v>
      </c>
      <c r="AB1568" s="16">
        <v>10.71604076</v>
      </c>
      <c r="AE1568" s="19">
        <v>1</v>
      </c>
    </row>
    <row r="1569" spans="1:31" x14ac:dyDescent="0.2">
      <c r="A1569" s="19">
        <v>1568</v>
      </c>
      <c r="B1569" s="1">
        <v>2023</v>
      </c>
      <c r="C1569" s="19" t="s">
        <v>31</v>
      </c>
      <c r="D1569" s="22" t="s">
        <v>874</v>
      </c>
      <c r="E1569" s="22" t="s">
        <v>935</v>
      </c>
      <c r="F1569" s="19" t="s">
        <v>32</v>
      </c>
      <c r="G1569" s="22">
        <v>118</v>
      </c>
      <c r="H1569" s="22" t="s">
        <v>89</v>
      </c>
      <c r="I1569" s="12">
        <v>8.0284562844820009</v>
      </c>
      <c r="J1569" s="23">
        <v>22.938446520999999</v>
      </c>
      <c r="K1569" s="24" t="s">
        <v>89</v>
      </c>
      <c r="L1569" s="25">
        <v>3341.2230507069999</v>
      </c>
      <c r="M1569" s="25" t="s">
        <v>89</v>
      </c>
      <c r="N1569" s="25">
        <v>26917.469627846</v>
      </c>
      <c r="O1569" s="15">
        <v>39.534033244</v>
      </c>
      <c r="P1569" s="26">
        <v>7.4949374420000003</v>
      </c>
      <c r="Q1569" s="26">
        <v>35.281659406000003</v>
      </c>
      <c r="R1569" s="26">
        <v>52.601030991000002</v>
      </c>
      <c r="T1569" s="26">
        <v>19.906883538999999</v>
      </c>
      <c r="U1569" s="26">
        <v>41.529527704000003</v>
      </c>
      <c r="V1569" s="26">
        <v>6.3884555860000001</v>
      </c>
      <c r="W1569" s="27">
        <v>0.71177723674999993</v>
      </c>
      <c r="Y1569" s="26">
        <v>71.607451662000003</v>
      </c>
      <c r="AA1569" s="26">
        <v>1.0045520379999999</v>
      </c>
      <c r="AB1569" s="16">
        <v>10.045520379999999</v>
      </c>
      <c r="AE1569" s="19">
        <v>1</v>
      </c>
    </row>
    <row r="1570" spans="1:31" x14ac:dyDescent="0.2">
      <c r="A1570" s="19">
        <v>1569</v>
      </c>
      <c r="B1570" s="1">
        <v>2023</v>
      </c>
      <c r="C1570" s="19" t="s">
        <v>31</v>
      </c>
      <c r="D1570" s="22" t="s">
        <v>874</v>
      </c>
      <c r="E1570" s="22" t="s">
        <v>936</v>
      </c>
      <c r="F1570" s="19" t="s">
        <v>32</v>
      </c>
      <c r="G1570" s="22">
        <v>119</v>
      </c>
      <c r="H1570" s="22" t="s">
        <v>34</v>
      </c>
      <c r="I1570" s="12">
        <v>8.9712875689645006</v>
      </c>
      <c r="J1570" s="23">
        <v>25.632250185</v>
      </c>
      <c r="K1570" s="24" t="s">
        <v>89</v>
      </c>
      <c r="L1570" s="25">
        <v>3296.4461014140002</v>
      </c>
      <c r="M1570" s="25" t="s">
        <v>89</v>
      </c>
      <c r="N1570" s="25">
        <v>29661.097380693001</v>
      </c>
      <c r="O1570" s="15">
        <v>37.138066488</v>
      </c>
      <c r="P1570" s="26">
        <v>8.2923748839999991</v>
      </c>
      <c r="Q1570" s="26">
        <v>34.928318812999997</v>
      </c>
      <c r="R1570" s="26">
        <v>49.434561983000002</v>
      </c>
      <c r="T1570" s="26">
        <v>20.328767077999998</v>
      </c>
      <c r="U1570" s="26">
        <v>37.629055407999999</v>
      </c>
      <c r="V1570" s="26">
        <v>8.5069111730000007</v>
      </c>
      <c r="W1570" s="27">
        <v>0.70872947349000004</v>
      </c>
      <c r="Y1570" s="26">
        <v>70.832403323999998</v>
      </c>
      <c r="AA1570" s="26">
        <v>1.0716040760000001</v>
      </c>
      <c r="AB1570" s="16">
        <v>10.71604076</v>
      </c>
      <c r="AE1570" s="19">
        <v>1</v>
      </c>
    </row>
    <row r="1571" spans="1:31" x14ac:dyDescent="0.2">
      <c r="A1571" s="19">
        <v>1570</v>
      </c>
      <c r="B1571" s="1">
        <v>2023</v>
      </c>
      <c r="C1571" s="19" t="s">
        <v>31</v>
      </c>
      <c r="D1571" s="8" t="s">
        <v>1024</v>
      </c>
      <c r="E1571" s="22" t="s">
        <v>937</v>
      </c>
      <c r="F1571" s="19" t="s">
        <v>32</v>
      </c>
      <c r="G1571" s="22">
        <v>115</v>
      </c>
      <c r="H1571" s="22" t="s">
        <v>89</v>
      </c>
      <c r="I1571" s="12">
        <v>7.6531625689644995</v>
      </c>
      <c r="J1571" s="23">
        <v>21.866178757</v>
      </c>
      <c r="K1571" s="24" t="s">
        <v>89</v>
      </c>
      <c r="L1571" s="25">
        <v>3360.4461014140002</v>
      </c>
      <c r="M1571" s="25" t="s">
        <v>34</v>
      </c>
      <c r="N1571" s="25">
        <v>30310.056630693001</v>
      </c>
      <c r="O1571" s="15">
        <v>38.330566488000002</v>
      </c>
      <c r="P1571" s="26">
        <v>8.1948748840000007</v>
      </c>
      <c r="Q1571" s="26">
        <v>34.740818812999997</v>
      </c>
      <c r="R1571" s="26">
        <v>51.932061982999997</v>
      </c>
      <c r="T1571" s="26">
        <v>18.258767078000002</v>
      </c>
      <c r="U1571" s="26">
        <v>36.736555408000001</v>
      </c>
      <c r="V1571" s="26">
        <v>8.6344111730000002</v>
      </c>
      <c r="W1571" s="27">
        <v>0.71585447349000009</v>
      </c>
      <c r="Y1571" s="26">
        <v>71.749903324000002</v>
      </c>
      <c r="AA1571" s="26">
        <v>1.0091040760000001</v>
      </c>
      <c r="AB1571" s="16">
        <v>10.09104076</v>
      </c>
      <c r="AE1571" s="19">
        <v>1</v>
      </c>
    </row>
    <row r="1572" spans="1:31" x14ac:dyDescent="0.2">
      <c r="A1572" s="19">
        <v>1571</v>
      </c>
      <c r="B1572" s="1">
        <v>2023</v>
      </c>
      <c r="C1572" s="19" t="s">
        <v>31</v>
      </c>
      <c r="D1572" s="8" t="s">
        <v>1024</v>
      </c>
      <c r="E1572" s="22" t="s">
        <v>938</v>
      </c>
      <c r="F1572" s="19" t="s">
        <v>32</v>
      </c>
      <c r="G1572" s="22">
        <v>116</v>
      </c>
      <c r="H1572" s="22" t="s">
        <v>89</v>
      </c>
      <c r="I1572" s="12">
        <v>7.8277875689644993</v>
      </c>
      <c r="J1572" s="23">
        <v>22.365107328000001</v>
      </c>
      <c r="K1572" s="24" t="s">
        <v>89</v>
      </c>
      <c r="L1572" s="25">
        <v>3384.6961014140002</v>
      </c>
      <c r="M1572" s="25" t="s">
        <v>89</v>
      </c>
      <c r="N1572" s="25">
        <v>25780.319880693001</v>
      </c>
      <c r="O1572" s="15">
        <v>36.908066488000003</v>
      </c>
      <c r="P1572" s="26">
        <v>7.6423748839999996</v>
      </c>
      <c r="Q1572" s="26">
        <v>34.918318812999999</v>
      </c>
      <c r="R1572" s="26">
        <v>51.769561983000003</v>
      </c>
      <c r="T1572" s="26">
        <v>18.626267078000001</v>
      </c>
      <c r="U1572" s="26">
        <v>39.274055408000002</v>
      </c>
      <c r="V1572" s="26">
        <v>7.6019111730000004</v>
      </c>
      <c r="W1572" s="27">
        <v>0.7200294734899999</v>
      </c>
      <c r="Y1572" s="26">
        <v>72.084903323999995</v>
      </c>
      <c r="AA1572" s="26">
        <v>1.0716040760000001</v>
      </c>
      <c r="AB1572" s="16">
        <v>10.71604076</v>
      </c>
      <c r="AE1572" s="19">
        <v>1</v>
      </c>
    </row>
    <row r="1573" spans="1:31" x14ac:dyDescent="0.2">
      <c r="A1573" s="19">
        <v>1572</v>
      </c>
      <c r="B1573" s="1">
        <v>2023</v>
      </c>
      <c r="C1573" s="19" t="s">
        <v>31</v>
      </c>
      <c r="D1573" s="8" t="s">
        <v>1024</v>
      </c>
      <c r="E1573" s="22" t="s">
        <v>939</v>
      </c>
      <c r="F1573" s="19" t="s">
        <v>32</v>
      </c>
      <c r="G1573" s="22">
        <v>117</v>
      </c>
      <c r="H1573" s="22" t="s">
        <v>89</v>
      </c>
      <c r="I1573" s="12">
        <v>8.0823312844820006</v>
      </c>
      <c r="J1573" s="23">
        <v>23.092375093000001</v>
      </c>
      <c r="K1573" s="24" t="s">
        <v>34</v>
      </c>
      <c r="L1573" s="25">
        <v>3492.2230507069999</v>
      </c>
      <c r="M1573" s="25" t="s">
        <v>89</v>
      </c>
      <c r="N1573" s="25">
        <v>26552.684005693001</v>
      </c>
      <c r="O1573" s="15">
        <v>36.629033243999999</v>
      </c>
      <c r="P1573" s="26">
        <v>7.8299374420000003</v>
      </c>
      <c r="Q1573" s="26">
        <v>33.181659406000001</v>
      </c>
      <c r="R1573" s="26">
        <v>55.476030991000002</v>
      </c>
      <c r="T1573" s="26">
        <v>17.964383539</v>
      </c>
      <c r="U1573" s="26">
        <v>40.089527703999998</v>
      </c>
      <c r="V1573" s="26">
        <v>8.2409555860000001</v>
      </c>
      <c r="W1573" s="27">
        <v>0.73257723674999997</v>
      </c>
      <c r="Y1573" s="26">
        <v>73.649951662000007</v>
      </c>
      <c r="AA1573" s="26">
        <v>1.1920520379999999</v>
      </c>
      <c r="AB1573" s="16">
        <v>11.920520379999999</v>
      </c>
      <c r="AE1573" s="19">
        <v>1</v>
      </c>
    </row>
    <row r="1574" spans="1:31" x14ac:dyDescent="0.2">
      <c r="A1574" s="19">
        <v>1573</v>
      </c>
      <c r="B1574" s="1">
        <v>2023</v>
      </c>
      <c r="C1574" s="19" t="s">
        <v>31</v>
      </c>
      <c r="D1574" s="8" t="s">
        <v>1024</v>
      </c>
      <c r="E1574" s="22" t="s">
        <v>940</v>
      </c>
      <c r="F1574" s="19" t="s">
        <v>32</v>
      </c>
      <c r="G1574" s="22">
        <v>117</v>
      </c>
      <c r="H1574" s="22" t="s">
        <v>89</v>
      </c>
      <c r="I1574" s="12">
        <v>7.7905375689645</v>
      </c>
      <c r="J1574" s="23">
        <v>22.258678756999998</v>
      </c>
      <c r="K1574" s="24" t="s">
        <v>89</v>
      </c>
      <c r="L1574" s="25">
        <v>3378.1961014140002</v>
      </c>
      <c r="M1574" s="25" t="s">
        <v>89</v>
      </c>
      <c r="N1574" s="25">
        <v>28315.408752846</v>
      </c>
      <c r="O1574" s="15">
        <v>38.248066487999999</v>
      </c>
      <c r="P1574" s="26">
        <v>7.7998748840000003</v>
      </c>
      <c r="Q1574" s="26">
        <v>33.425818812999999</v>
      </c>
      <c r="R1574" s="26">
        <v>51.802061983000002</v>
      </c>
      <c r="T1574" s="26">
        <v>17.868767078000001</v>
      </c>
      <c r="U1574" s="26">
        <v>40.186555407999997</v>
      </c>
      <c r="V1574" s="26">
        <v>7.6594111729999996</v>
      </c>
      <c r="W1574" s="27">
        <v>0.71945447349000002</v>
      </c>
      <c r="Y1574" s="26">
        <v>72.012403324000005</v>
      </c>
      <c r="AA1574" s="26">
        <v>1.1341040760000001</v>
      </c>
      <c r="AB1574" s="16">
        <v>11.34104076</v>
      </c>
      <c r="AE1574" s="19">
        <v>1</v>
      </c>
    </row>
    <row r="1575" spans="1:31" x14ac:dyDescent="0.2">
      <c r="A1575" s="19">
        <v>1574</v>
      </c>
      <c r="B1575" s="1">
        <v>2023</v>
      </c>
      <c r="C1575" s="19" t="s">
        <v>31</v>
      </c>
      <c r="D1575" s="8" t="s">
        <v>1024</v>
      </c>
      <c r="E1575" s="22" t="s">
        <v>941</v>
      </c>
      <c r="F1575" s="19" t="s">
        <v>32</v>
      </c>
      <c r="G1575" s="22">
        <v>118</v>
      </c>
      <c r="H1575" s="22" t="s">
        <v>34</v>
      </c>
      <c r="I1575" s="12">
        <v>9.0124125689644998</v>
      </c>
      <c r="J1575" s="23">
        <v>25.749750185</v>
      </c>
      <c r="K1575" s="24" t="s">
        <v>89</v>
      </c>
      <c r="L1575" s="25">
        <v>3349.6961014140002</v>
      </c>
      <c r="M1575" s="25" t="s">
        <v>89</v>
      </c>
      <c r="N1575" s="25">
        <v>26394.360505692999</v>
      </c>
      <c r="O1575" s="15">
        <v>35.893066488000002</v>
      </c>
      <c r="P1575" s="26">
        <v>8.082374884</v>
      </c>
      <c r="Q1575" s="26">
        <v>33.623318812999997</v>
      </c>
      <c r="R1575" s="26">
        <v>51.364561983000002</v>
      </c>
      <c r="T1575" s="26">
        <v>19.358767078</v>
      </c>
      <c r="U1575" s="26">
        <v>38.819055407999997</v>
      </c>
      <c r="V1575" s="26">
        <v>8.6169111730000001</v>
      </c>
      <c r="W1575" s="27">
        <v>0.71497947349000002</v>
      </c>
      <c r="Y1575" s="26">
        <v>71.564903323999999</v>
      </c>
      <c r="AA1575" s="26">
        <v>1.0091040760000001</v>
      </c>
      <c r="AB1575" s="16">
        <v>10.09104076</v>
      </c>
      <c r="AE1575" s="19">
        <v>1</v>
      </c>
    </row>
    <row r="1576" spans="1:31" x14ac:dyDescent="0.2">
      <c r="A1576" s="19">
        <v>1575</v>
      </c>
      <c r="B1576" s="1">
        <v>2023</v>
      </c>
      <c r="C1576" s="19" t="s">
        <v>31</v>
      </c>
      <c r="D1576" s="8" t="s">
        <v>1024</v>
      </c>
      <c r="E1576" s="22" t="s">
        <v>942</v>
      </c>
      <c r="F1576" s="19" t="s">
        <v>32</v>
      </c>
      <c r="G1576" s="22">
        <v>118</v>
      </c>
      <c r="H1576" s="22" t="s">
        <v>89</v>
      </c>
      <c r="I1576" s="12">
        <v>8.0072875689645002</v>
      </c>
      <c r="J1576" s="23">
        <v>22.877964470999999</v>
      </c>
      <c r="K1576" s="24" t="s">
        <v>89</v>
      </c>
      <c r="L1576" s="25">
        <v>3323.9461014140002</v>
      </c>
      <c r="M1576" s="25" t="s">
        <v>89</v>
      </c>
      <c r="N1576" s="25">
        <v>26664.523380693001</v>
      </c>
      <c r="O1576" s="15">
        <v>40.283066488000003</v>
      </c>
      <c r="P1576" s="26">
        <v>7.7823748840000002</v>
      </c>
      <c r="Q1576" s="26">
        <v>37.173318813000002</v>
      </c>
      <c r="R1576" s="26">
        <v>54.289561982999999</v>
      </c>
      <c r="T1576" s="26">
        <v>21.161267078000002</v>
      </c>
      <c r="U1576" s="26">
        <v>36.614055407999999</v>
      </c>
      <c r="V1576" s="26">
        <v>7.5544111730000001</v>
      </c>
      <c r="W1576" s="27">
        <v>0.70705447348999995</v>
      </c>
      <c r="Y1576" s="26">
        <v>71.574903324000005</v>
      </c>
      <c r="AA1576" s="26">
        <v>1.0091040760000001</v>
      </c>
      <c r="AB1576" s="16">
        <v>10.09104076</v>
      </c>
      <c r="AE1576" s="19">
        <v>1</v>
      </c>
    </row>
    <row r="1577" spans="1:31" x14ac:dyDescent="0.2">
      <c r="A1577" s="19">
        <v>1576</v>
      </c>
      <c r="B1577" s="1">
        <v>2023</v>
      </c>
      <c r="C1577" s="19" t="s">
        <v>31</v>
      </c>
      <c r="D1577" s="8" t="s">
        <v>1024</v>
      </c>
      <c r="E1577" s="22" t="s">
        <v>943</v>
      </c>
      <c r="F1577" s="19" t="s">
        <v>32</v>
      </c>
      <c r="G1577" s="22">
        <v>119</v>
      </c>
      <c r="H1577" s="22" t="s">
        <v>89</v>
      </c>
      <c r="I1577" s="12">
        <v>8.386162568964501</v>
      </c>
      <c r="J1577" s="23">
        <v>23.960464471000002</v>
      </c>
      <c r="K1577" s="24" t="s">
        <v>89</v>
      </c>
      <c r="L1577" s="25">
        <v>3452.1961014140002</v>
      </c>
      <c r="M1577" s="25" t="s">
        <v>89</v>
      </c>
      <c r="N1577" s="25">
        <v>29070.198005693001</v>
      </c>
      <c r="O1577" s="15">
        <v>41.090566488</v>
      </c>
      <c r="P1577" s="26">
        <v>7.6798748840000002</v>
      </c>
      <c r="Q1577" s="26">
        <v>33.300818812999999</v>
      </c>
      <c r="R1577" s="26">
        <v>55.009561982999998</v>
      </c>
      <c r="T1577" s="26">
        <v>18.648767077999999</v>
      </c>
      <c r="U1577" s="26">
        <v>43.816555407999999</v>
      </c>
      <c r="V1577" s="26">
        <v>5.9169111729999999</v>
      </c>
      <c r="W1577" s="27">
        <v>0.72677947348999994</v>
      </c>
      <c r="Y1577" s="26">
        <v>73.124903324000002</v>
      </c>
      <c r="AA1577" s="26">
        <v>1.1341040760000001</v>
      </c>
      <c r="AB1577" s="16">
        <v>11.34104076</v>
      </c>
      <c r="AE1577" s="19">
        <v>1</v>
      </c>
    </row>
    <row r="1578" spans="1:31" x14ac:dyDescent="0.2">
      <c r="A1578" s="19">
        <v>1577</v>
      </c>
      <c r="B1578" s="1">
        <v>2023</v>
      </c>
      <c r="C1578" s="19" t="s">
        <v>31</v>
      </c>
      <c r="D1578" s="22" t="s">
        <v>944</v>
      </c>
      <c r="E1578" s="22" t="s">
        <v>945</v>
      </c>
      <c r="F1578" s="19" t="s">
        <v>32</v>
      </c>
      <c r="G1578" s="22">
        <v>109</v>
      </c>
      <c r="H1578" s="22" t="s">
        <v>89</v>
      </c>
      <c r="I1578" s="12">
        <v>7.3978312844820007</v>
      </c>
      <c r="J1578" s="23">
        <v>21.136660806999998</v>
      </c>
      <c r="K1578" s="24" t="s">
        <v>89</v>
      </c>
      <c r="L1578" s="25">
        <v>3403.7230507069999</v>
      </c>
      <c r="M1578" s="25" t="s">
        <v>89</v>
      </c>
      <c r="N1578" s="25">
        <v>25031.419005692998</v>
      </c>
      <c r="O1578" s="15">
        <v>38.889033243999997</v>
      </c>
      <c r="P1578" s="26">
        <v>8.4399374419999997</v>
      </c>
      <c r="Q1578" s="26">
        <v>33.401659406</v>
      </c>
      <c r="R1578" s="26">
        <v>51.111030991</v>
      </c>
      <c r="T1578" s="26">
        <v>17.644383539</v>
      </c>
      <c r="U1578" s="26">
        <v>37.814527704</v>
      </c>
      <c r="V1578" s="26">
        <v>8.3684555859999996</v>
      </c>
      <c r="W1578" s="27">
        <v>0.72372723675000006</v>
      </c>
      <c r="Y1578" s="26">
        <v>72.187451662000001</v>
      </c>
      <c r="AA1578" s="26">
        <v>1.0045520379999999</v>
      </c>
      <c r="AB1578" s="16">
        <v>10.045520379999999</v>
      </c>
      <c r="AE1578" s="19">
        <v>1</v>
      </c>
    </row>
    <row r="1579" spans="1:31" x14ac:dyDescent="0.2">
      <c r="A1579" s="19">
        <v>1578</v>
      </c>
      <c r="B1579" s="1">
        <v>2023</v>
      </c>
      <c r="C1579" s="19" t="s">
        <v>31</v>
      </c>
      <c r="D1579" s="22" t="s">
        <v>944</v>
      </c>
      <c r="E1579" s="22" t="s">
        <v>957</v>
      </c>
      <c r="F1579" s="19" t="s">
        <v>32</v>
      </c>
      <c r="G1579" s="22">
        <v>115</v>
      </c>
      <c r="H1579" s="22" t="s">
        <v>89</v>
      </c>
      <c r="I1579" s="12">
        <v>8.0557875689644991</v>
      </c>
      <c r="J1579" s="23">
        <v>23.016535900000001</v>
      </c>
      <c r="K1579" s="24" t="s">
        <v>89</v>
      </c>
      <c r="L1579" s="25">
        <v>3111.4461014140002</v>
      </c>
      <c r="M1579" s="25" t="s">
        <v>89</v>
      </c>
      <c r="N1579" s="25">
        <v>26159.243928733998</v>
      </c>
      <c r="O1579" s="15">
        <v>34.500566487999997</v>
      </c>
      <c r="P1579" s="26">
        <v>8.5698748840000007</v>
      </c>
      <c r="Q1579" s="26">
        <v>38.310818812999997</v>
      </c>
      <c r="R1579" s="26">
        <v>49.302061983000002</v>
      </c>
      <c r="T1579" s="26">
        <v>21.138767078000001</v>
      </c>
      <c r="U1579" s="26">
        <v>31.226555407999999</v>
      </c>
      <c r="V1579" s="26">
        <v>9.2719111729999995</v>
      </c>
      <c r="W1579" s="27">
        <v>0.67967947349000002</v>
      </c>
      <c r="Y1579" s="26">
        <v>68.462403323999993</v>
      </c>
      <c r="AA1579" s="26">
        <v>1.0091040760000001</v>
      </c>
      <c r="AB1579" s="16">
        <v>10.09104076</v>
      </c>
      <c r="AE1579" s="19">
        <v>1</v>
      </c>
    </row>
    <row r="1580" spans="1:31" x14ac:dyDescent="0.2">
      <c r="A1580" s="19">
        <v>1579</v>
      </c>
      <c r="B1580" s="1">
        <v>2023</v>
      </c>
      <c r="C1580" s="19" t="s">
        <v>31</v>
      </c>
      <c r="D1580" s="22" t="s">
        <v>944</v>
      </c>
      <c r="E1580" s="22" t="s">
        <v>958</v>
      </c>
      <c r="F1580" s="19" t="s">
        <v>32</v>
      </c>
      <c r="G1580" s="22">
        <v>116</v>
      </c>
      <c r="H1580" s="22" t="s">
        <v>89</v>
      </c>
      <c r="I1580" s="12">
        <v>8.2543223942150004</v>
      </c>
      <c r="J1580" s="23">
        <v>23.583778005999999</v>
      </c>
      <c r="K1580" s="24" t="s">
        <v>89</v>
      </c>
      <c r="L1580" s="25">
        <v>3170.8805209769998</v>
      </c>
      <c r="M1580" s="25" t="s">
        <v>89</v>
      </c>
      <c r="N1580" s="25">
        <v>26041.615095401001</v>
      </c>
      <c r="O1580" s="15">
        <v>34.155847461999997</v>
      </c>
      <c r="P1580" s="26">
        <v>7.6949197299999996</v>
      </c>
      <c r="Q1580" s="26">
        <v>43.689339885999999</v>
      </c>
      <c r="R1580" s="26">
        <v>57.244626259</v>
      </c>
      <c r="T1580" s="26">
        <v>23.267407238000001</v>
      </c>
      <c r="U1580" s="26">
        <v>26.800246388000001</v>
      </c>
      <c r="V1580" s="26">
        <v>10.210656223999999</v>
      </c>
      <c r="W1580" s="27">
        <v>0.6780451302199999</v>
      </c>
      <c r="Y1580" s="26">
        <v>70.242223050999996</v>
      </c>
      <c r="AA1580" s="26">
        <v>1.095939016</v>
      </c>
      <c r="AB1580" s="16">
        <v>10.95939016</v>
      </c>
      <c r="AE1580" s="19">
        <v>1</v>
      </c>
    </row>
    <row r="1581" spans="1:31" x14ac:dyDescent="0.2">
      <c r="A1581" s="19">
        <v>1580</v>
      </c>
      <c r="B1581" s="1">
        <v>2023</v>
      </c>
      <c r="C1581" s="19" t="s">
        <v>31</v>
      </c>
      <c r="D1581" s="22" t="s">
        <v>944</v>
      </c>
      <c r="E1581" s="22" t="s">
        <v>959</v>
      </c>
      <c r="F1581" s="19" t="s">
        <v>32</v>
      </c>
      <c r="G1581" s="22">
        <v>116</v>
      </c>
      <c r="H1581" s="22" t="s">
        <v>89</v>
      </c>
      <c r="I1581" s="12">
        <v>8.1671557275485007</v>
      </c>
      <c r="J1581" s="23">
        <v>23.334730387</v>
      </c>
      <c r="K1581" s="24" t="s">
        <v>89</v>
      </c>
      <c r="L1581" s="25">
        <v>3195.5471876430001</v>
      </c>
      <c r="M1581" s="25" t="s">
        <v>89</v>
      </c>
      <c r="N1581" s="25">
        <v>25222.308877846001</v>
      </c>
      <c r="O1581" s="15">
        <v>34.035847462</v>
      </c>
      <c r="P1581" s="26">
        <v>8.7115863969999996</v>
      </c>
      <c r="Q1581" s="26">
        <v>37.022673218999998</v>
      </c>
      <c r="R1581" s="26">
        <v>52.307959592000003</v>
      </c>
      <c r="T1581" s="26">
        <v>20.637407238000002</v>
      </c>
      <c r="U1581" s="26">
        <v>31.296913054000001</v>
      </c>
      <c r="V1581" s="26">
        <v>10.293989557</v>
      </c>
      <c r="W1581" s="27">
        <v>0.68847846356000009</v>
      </c>
      <c r="Y1581" s="26">
        <v>69.792223050999993</v>
      </c>
      <c r="AA1581" s="26">
        <v>1.095939016</v>
      </c>
      <c r="AB1581" s="16">
        <v>10.95939016</v>
      </c>
      <c r="AE1581" s="19">
        <v>1</v>
      </c>
    </row>
    <row r="1582" spans="1:31" x14ac:dyDescent="0.2">
      <c r="A1582" s="19">
        <v>1581</v>
      </c>
      <c r="B1582" s="1">
        <v>2023</v>
      </c>
      <c r="C1582" s="19" t="s">
        <v>31</v>
      </c>
      <c r="D1582" s="22" t="s">
        <v>37</v>
      </c>
      <c r="E1582" s="22" t="s">
        <v>891</v>
      </c>
      <c r="F1582" s="19" t="s">
        <v>32</v>
      </c>
      <c r="G1582" s="22">
        <v>112</v>
      </c>
      <c r="H1582" s="22" t="s">
        <v>89</v>
      </c>
      <c r="I1582" s="12">
        <v>8.0523312844819994</v>
      </c>
      <c r="J1582" s="23">
        <v>23.006660806999999</v>
      </c>
      <c r="K1582" s="24" t="s">
        <v>89</v>
      </c>
      <c r="L1582" s="25">
        <v>3434.9730507069999</v>
      </c>
      <c r="M1582" s="25" t="s">
        <v>89</v>
      </c>
      <c r="N1582" s="25">
        <v>27682.206377846</v>
      </c>
      <c r="O1582" s="15">
        <v>35.679033244000003</v>
      </c>
      <c r="P1582" s="26">
        <v>7.9574374419999998</v>
      </c>
      <c r="Q1582" s="26">
        <v>36.309159405999999</v>
      </c>
      <c r="R1582" s="26">
        <v>56.581030990999999</v>
      </c>
      <c r="T1582" s="26">
        <v>19.044383538999998</v>
      </c>
      <c r="U1582" s="26">
        <v>35.567027703999997</v>
      </c>
      <c r="V1582" s="26">
        <v>8.3884555859999992</v>
      </c>
      <c r="W1582" s="27">
        <v>0.72195223674999998</v>
      </c>
      <c r="Y1582" s="26">
        <v>73.109951662</v>
      </c>
      <c r="AA1582" s="26">
        <v>1.0045520379999999</v>
      </c>
      <c r="AB1582" s="16">
        <v>10.045520379999999</v>
      </c>
      <c r="AE1582" s="19">
        <v>1</v>
      </c>
    </row>
    <row r="1583" spans="1:31" x14ac:dyDescent="0.2">
      <c r="A1583" s="19">
        <v>1582</v>
      </c>
      <c r="B1583" s="1">
        <v>2023</v>
      </c>
      <c r="C1583" s="19" t="s">
        <v>31</v>
      </c>
      <c r="D1583" s="22" t="s">
        <v>37</v>
      </c>
      <c r="E1583" s="22" t="s">
        <v>892</v>
      </c>
      <c r="F1583" s="19" t="s">
        <v>32</v>
      </c>
      <c r="G1583" s="22">
        <v>120</v>
      </c>
      <c r="H1583" s="22" t="s">
        <v>89</v>
      </c>
      <c r="I1583" s="12">
        <v>8.4336625689645004</v>
      </c>
      <c r="J1583" s="23">
        <v>24.096178757000001</v>
      </c>
      <c r="K1583" s="24" t="s">
        <v>89</v>
      </c>
      <c r="L1583" s="25">
        <v>3457.4461014140002</v>
      </c>
      <c r="M1583" s="25" t="s">
        <v>89</v>
      </c>
      <c r="N1583" s="25">
        <v>29240.688630692999</v>
      </c>
      <c r="O1583" s="15">
        <v>36.703066487999997</v>
      </c>
      <c r="P1583" s="26">
        <v>8.0473748839999999</v>
      </c>
      <c r="Q1583" s="26">
        <v>35.493318813000002</v>
      </c>
      <c r="R1583" s="26">
        <v>57.392061982999998</v>
      </c>
      <c r="T1583" s="26">
        <v>19.873767078</v>
      </c>
      <c r="U1583" s="26">
        <v>38.889055407999997</v>
      </c>
      <c r="V1583" s="26">
        <v>7.4219111729999998</v>
      </c>
      <c r="W1583" s="27">
        <v>0.72455447349000002</v>
      </c>
      <c r="Y1583" s="26">
        <v>73.484903324000001</v>
      </c>
      <c r="AA1583" s="26">
        <v>1.0716040760000001</v>
      </c>
      <c r="AB1583" s="16">
        <v>10.71604076</v>
      </c>
      <c r="AE1583" s="19">
        <v>1</v>
      </c>
    </row>
    <row r="1584" spans="1:31" x14ac:dyDescent="0.2">
      <c r="A1584" s="19">
        <v>1583</v>
      </c>
      <c r="B1584" s="1">
        <v>2023</v>
      </c>
      <c r="C1584" s="19" t="s">
        <v>31</v>
      </c>
      <c r="D1584" s="19" t="s">
        <v>900</v>
      </c>
      <c r="E1584" s="22" t="s">
        <v>946</v>
      </c>
      <c r="F1584" s="19" t="s">
        <v>32</v>
      </c>
      <c r="G1584" s="22">
        <v>115</v>
      </c>
      <c r="H1584" s="22" t="s">
        <v>89</v>
      </c>
      <c r="I1584" s="12">
        <v>7.1930375689644999</v>
      </c>
      <c r="J1584" s="23">
        <v>20.551535900000001</v>
      </c>
      <c r="K1584" s="24" t="s">
        <v>89</v>
      </c>
      <c r="L1584" s="25">
        <v>3440.6961014140002</v>
      </c>
      <c r="M1584" s="25" t="s">
        <v>89</v>
      </c>
      <c r="N1584" s="25">
        <v>24748.117255693</v>
      </c>
      <c r="O1584" s="15">
        <v>40.685566487999999</v>
      </c>
      <c r="P1584" s="26">
        <v>7.104874884</v>
      </c>
      <c r="Q1584" s="26">
        <v>31.215818812999998</v>
      </c>
      <c r="R1584" s="26">
        <v>52.024561982999998</v>
      </c>
      <c r="T1584" s="26">
        <v>16.326267078000001</v>
      </c>
      <c r="U1584" s="26">
        <v>45.829055408000002</v>
      </c>
      <c r="V1584" s="26">
        <v>7.0119111729999997</v>
      </c>
      <c r="W1584" s="27">
        <v>0.72950447349000003</v>
      </c>
      <c r="Y1584" s="26">
        <v>72.707403323999998</v>
      </c>
      <c r="AA1584" s="26">
        <v>1.1341040760000001</v>
      </c>
      <c r="AB1584" s="16">
        <v>11.34104076</v>
      </c>
      <c r="AE1584" s="19">
        <v>1</v>
      </c>
    </row>
    <row r="1585" spans="1:31" x14ac:dyDescent="0.2">
      <c r="A1585" s="19">
        <v>1584</v>
      </c>
      <c r="B1585" s="1">
        <v>2023</v>
      </c>
      <c r="C1585" s="19" t="s">
        <v>31</v>
      </c>
      <c r="D1585" s="19" t="s">
        <v>900</v>
      </c>
      <c r="E1585" s="22" t="s">
        <v>947</v>
      </c>
      <c r="F1585" s="19" t="s">
        <v>32</v>
      </c>
      <c r="G1585" s="22">
        <v>118</v>
      </c>
      <c r="H1585" s="22" t="s">
        <v>89</v>
      </c>
      <c r="I1585" s="12">
        <v>7.9944125689645</v>
      </c>
      <c r="J1585" s="23">
        <v>22.841178757000002</v>
      </c>
      <c r="K1585" s="24" t="s">
        <v>89</v>
      </c>
      <c r="L1585" s="25">
        <v>3411.9461014140002</v>
      </c>
      <c r="M1585" s="25" t="s">
        <v>89</v>
      </c>
      <c r="N1585" s="25">
        <v>27345.177880693001</v>
      </c>
      <c r="O1585" s="15">
        <v>41.830566488000002</v>
      </c>
      <c r="P1585" s="26">
        <v>7.4823748840000004</v>
      </c>
      <c r="Q1585" s="26">
        <v>32.853318813000001</v>
      </c>
      <c r="R1585" s="26">
        <v>52.939561982999997</v>
      </c>
      <c r="T1585" s="26">
        <v>18.308767077999999</v>
      </c>
      <c r="U1585" s="26">
        <v>44.456555408</v>
      </c>
      <c r="V1585" s="26">
        <v>5.8194111729999998</v>
      </c>
      <c r="W1585" s="27">
        <v>0.72340447349000003</v>
      </c>
      <c r="Y1585" s="26">
        <v>72.464903324000005</v>
      </c>
      <c r="AA1585" s="26">
        <v>1.0716040760000001</v>
      </c>
      <c r="AB1585" s="16">
        <v>10.71604076</v>
      </c>
      <c r="AE1585" s="19">
        <v>1</v>
      </c>
    </row>
    <row r="1586" spans="1:31" x14ac:dyDescent="0.2">
      <c r="A1586" s="19">
        <v>1585</v>
      </c>
      <c r="B1586" s="1">
        <v>2023</v>
      </c>
      <c r="C1586" s="19" t="s">
        <v>31</v>
      </c>
      <c r="D1586" s="22" t="s">
        <v>555</v>
      </c>
      <c r="E1586" s="22" t="s">
        <v>948</v>
      </c>
      <c r="F1586" s="19" t="s">
        <v>32</v>
      </c>
      <c r="G1586" s="22">
        <v>115</v>
      </c>
      <c r="H1586" s="22" t="s">
        <v>89</v>
      </c>
      <c r="I1586" s="12">
        <v>7.5848312844820001</v>
      </c>
      <c r="J1586" s="23">
        <v>21.670946521000001</v>
      </c>
      <c r="K1586" s="24" t="s">
        <v>34</v>
      </c>
      <c r="L1586" s="25">
        <v>3478.2230507069999</v>
      </c>
      <c r="M1586" s="25" t="s">
        <v>89</v>
      </c>
      <c r="N1586" s="25">
        <v>26468.720377845999</v>
      </c>
      <c r="O1586" s="15">
        <v>39.309033243999998</v>
      </c>
      <c r="P1586" s="26">
        <v>7.7899374420000003</v>
      </c>
      <c r="Q1586" s="26">
        <v>32.511659406</v>
      </c>
      <c r="R1586" s="26">
        <v>53.051030990999998</v>
      </c>
      <c r="T1586" s="26">
        <v>16.374383539</v>
      </c>
      <c r="U1586" s="26">
        <v>41.284527703999998</v>
      </c>
      <c r="V1586" s="26">
        <v>7.745955586</v>
      </c>
      <c r="W1586" s="27">
        <v>0.73350223674999993</v>
      </c>
      <c r="Y1586" s="26">
        <v>73.257451661999994</v>
      </c>
      <c r="AA1586" s="26">
        <v>1.0045520379999999</v>
      </c>
      <c r="AB1586" s="16">
        <v>10.045520379999999</v>
      </c>
      <c r="AE1586" s="19">
        <v>1</v>
      </c>
    </row>
    <row r="1587" spans="1:31" x14ac:dyDescent="0.2">
      <c r="A1587" s="19">
        <v>1586</v>
      </c>
      <c r="B1587" s="1">
        <v>2023</v>
      </c>
      <c r="C1587" s="19" t="s">
        <v>31</v>
      </c>
      <c r="D1587" s="22" t="s">
        <v>555</v>
      </c>
      <c r="E1587" s="22" t="s">
        <v>949</v>
      </c>
      <c r="F1587" s="19" t="s">
        <v>32</v>
      </c>
      <c r="G1587" s="22">
        <v>118</v>
      </c>
      <c r="H1587" s="22" t="s">
        <v>89</v>
      </c>
      <c r="I1587" s="12">
        <v>7.7339125689644996</v>
      </c>
      <c r="J1587" s="23">
        <v>22.096893042000001</v>
      </c>
      <c r="K1587" s="24" t="s">
        <v>89</v>
      </c>
      <c r="L1587" s="25">
        <v>3313.6961014140002</v>
      </c>
      <c r="M1587" s="25" t="s">
        <v>89</v>
      </c>
      <c r="N1587" s="25">
        <v>25730.055755693</v>
      </c>
      <c r="O1587" s="15">
        <v>39.773066487999998</v>
      </c>
      <c r="P1587" s="26">
        <v>7.4823748840000004</v>
      </c>
      <c r="Q1587" s="26">
        <v>38.973318812999999</v>
      </c>
      <c r="R1587" s="26">
        <v>56.537061983000001</v>
      </c>
      <c r="T1587" s="26">
        <v>22.113767077999999</v>
      </c>
      <c r="U1587" s="26">
        <v>36.826555407999997</v>
      </c>
      <c r="V1587" s="26">
        <v>7.1819111729999996</v>
      </c>
      <c r="W1587" s="27">
        <v>0.70250447349</v>
      </c>
      <c r="Y1587" s="26">
        <v>71.697403324000007</v>
      </c>
      <c r="AA1587" s="26">
        <v>1.1341040760000001</v>
      </c>
      <c r="AB1587" s="16">
        <v>11.34104076</v>
      </c>
      <c r="AE1587" s="19">
        <v>1</v>
      </c>
    </row>
    <row r="1588" spans="1:31" x14ac:dyDescent="0.2">
      <c r="A1588" s="19">
        <v>1587</v>
      </c>
      <c r="B1588" s="1">
        <v>2023</v>
      </c>
      <c r="C1588" s="19" t="s">
        <v>31</v>
      </c>
      <c r="D1588" s="22" t="s">
        <v>555</v>
      </c>
      <c r="E1588" s="22" t="s">
        <v>950</v>
      </c>
      <c r="F1588" s="19" t="s">
        <v>32</v>
      </c>
      <c r="G1588" s="22">
        <v>118</v>
      </c>
      <c r="H1588" s="22" t="s">
        <v>34</v>
      </c>
      <c r="I1588" s="12">
        <v>8.809162568964501</v>
      </c>
      <c r="J1588" s="23">
        <v>25.169035900000001</v>
      </c>
      <c r="K1588" s="24" t="s">
        <v>89</v>
      </c>
      <c r="L1588" s="25">
        <v>3364.1961014140002</v>
      </c>
      <c r="M1588" s="25" t="s">
        <v>89</v>
      </c>
      <c r="N1588" s="25">
        <v>29739.277630692999</v>
      </c>
      <c r="O1588" s="15">
        <v>41.198066488000002</v>
      </c>
      <c r="P1588" s="26">
        <v>7.3798748840000004</v>
      </c>
      <c r="Q1588" s="26">
        <v>33.438318813000002</v>
      </c>
      <c r="R1588" s="26">
        <v>52.109561982999999</v>
      </c>
      <c r="T1588" s="26">
        <v>18.758767078000002</v>
      </c>
      <c r="U1588" s="26">
        <v>42.954055408000002</v>
      </c>
      <c r="V1588" s="26">
        <v>6.6244111730000004</v>
      </c>
      <c r="W1588" s="27">
        <v>0.71622947348999999</v>
      </c>
      <c r="Y1588" s="26">
        <v>71.812403324000002</v>
      </c>
      <c r="AA1588" s="26">
        <v>1.0716040760000001</v>
      </c>
      <c r="AB1588" s="16">
        <v>10.71604076</v>
      </c>
      <c r="AE1588" s="19">
        <v>1</v>
      </c>
    </row>
    <row r="1589" spans="1:31" x14ac:dyDescent="0.2">
      <c r="A1589" s="19">
        <v>1588</v>
      </c>
      <c r="B1589" s="1">
        <v>2023</v>
      </c>
      <c r="C1589" s="19" t="s">
        <v>31</v>
      </c>
      <c r="D1589" s="22" t="s">
        <v>951</v>
      </c>
      <c r="E1589" s="22" t="s">
        <v>952</v>
      </c>
      <c r="F1589" s="19" t="s">
        <v>32</v>
      </c>
      <c r="G1589" s="22">
        <v>115</v>
      </c>
      <c r="H1589" s="22" t="s">
        <v>89</v>
      </c>
      <c r="I1589" s="12">
        <v>6.9518312844820001</v>
      </c>
      <c r="J1589" s="23">
        <v>19.862375093000001</v>
      </c>
      <c r="K1589" s="24" t="s">
        <v>89</v>
      </c>
      <c r="L1589" s="25">
        <v>3447.7230507069999</v>
      </c>
      <c r="M1589" s="25" t="s">
        <v>89</v>
      </c>
      <c r="N1589" s="25">
        <v>23977.641627845998</v>
      </c>
      <c r="O1589" s="15">
        <v>35.549033244</v>
      </c>
      <c r="P1589" s="26">
        <v>7.7474374419999998</v>
      </c>
      <c r="Q1589" s="26">
        <v>32.929159405999997</v>
      </c>
      <c r="R1589" s="26">
        <v>52.376030991</v>
      </c>
      <c r="T1589" s="26">
        <v>17.366883539</v>
      </c>
      <c r="U1589" s="26">
        <v>40.077027704000002</v>
      </c>
      <c r="V1589" s="26">
        <v>8.6359555859999997</v>
      </c>
      <c r="W1589" s="27">
        <v>0.72935223675000005</v>
      </c>
      <c r="Y1589" s="26">
        <v>72.867451661999993</v>
      </c>
      <c r="AA1589" s="26">
        <v>1.0045520379999999</v>
      </c>
      <c r="AB1589" s="16">
        <v>10.045520379999999</v>
      </c>
      <c r="AE1589" s="19">
        <v>1</v>
      </c>
    </row>
    <row r="1590" spans="1:31" x14ac:dyDescent="0.2">
      <c r="A1590" s="19">
        <v>1589</v>
      </c>
      <c r="B1590" s="1">
        <v>2023</v>
      </c>
      <c r="C1590" s="19" t="s">
        <v>31</v>
      </c>
      <c r="D1590" s="22" t="s">
        <v>917</v>
      </c>
      <c r="E1590" s="22" t="s">
        <v>953</v>
      </c>
      <c r="F1590" s="19" t="s">
        <v>32</v>
      </c>
      <c r="G1590" s="22">
        <v>118</v>
      </c>
      <c r="H1590" s="22" t="s">
        <v>89</v>
      </c>
      <c r="I1590" s="12">
        <v>8.5092875689645009</v>
      </c>
      <c r="J1590" s="23">
        <v>24.312250185</v>
      </c>
      <c r="K1590" s="24" t="s">
        <v>89</v>
      </c>
      <c r="L1590" s="25">
        <v>3291.9461014140002</v>
      </c>
      <c r="M1590" s="25" t="s">
        <v>89</v>
      </c>
      <c r="N1590" s="25">
        <v>28037.393005693</v>
      </c>
      <c r="O1590" s="15">
        <v>40.513066488</v>
      </c>
      <c r="P1590" s="26">
        <v>7.5223748840000004</v>
      </c>
      <c r="Q1590" s="26">
        <v>37.803318812999997</v>
      </c>
      <c r="R1590" s="26">
        <v>53.387061983000002</v>
      </c>
      <c r="T1590" s="26">
        <v>21.608767078</v>
      </c>
      <c r="U1590" s="26">
        <v>39.141555408000002</v>
      </c>
      <c r="V1590" s="26">
        <v>6.4419111730000003</v>
      </c>
      <c r="W1590" s="27">
        <v>0.70255447348999989</v>
      </c>
      <c r="Y1590" s="26">
        <v>71.079903324</v>
      </c>
      <c r="AA1590" s="26">
        <v>1.0716040760000001</v>
      </c>
      <c r="AB1590" s="16">
        <v>10.71604076</v>
      </c>
      <c r="AE1590" s="19">
        <v>1</v>
      </c>
    </row>
    <row r="1591" spans="1:31" x14ac:dyDescent="0.2">
      <c r="A1591" s="19">
        <v>1590</v>
      </c>
      <c r="B1591" s="1">
        <v>2023</v>
      </c>
      <c r="C1591" s="19" t="s">
        <v>31</v>
      </c>
      <c r="D1591" s="22" t="s">
        <v>108</v>
      </c>
      <c r="E1591" s="22" t="s">
        <v>780</v>
      </c>
      <c r="F1591" s="19" t="s">
        <v>32</v>
      </c>
      <c r="G1591" s="22">
        <v>116</v>
      </c>
      <c r="H1591" s="22" t="s">
        <v>89</v>
      </c>
      <c r="I1591" s="12">
        <v>8.2366625689645012</v>
      </c>
      <c r="J1591" s="23">
        <v>23.533321613999998</v>
      </c>
      <c r="K1591" s="24" t="s">
        <v>89</v>
      </c>
      <c r="L1591" s="25">
        <v>3313.9461014140002</v>
      </c>
      <c r="M1591" s="25" t="s">
        <v>89</v>
      </c>
      <c r="N1591" s="25">
        <v>27370.458755692998</v>
      </c>
      <c r="O1591" s="15">
        <v>34.145566488</v>
      </c>
      <c r="P1591" s="26">
        <v>7.9648748840000003</v>
      </c>
      <c r="Q1591" s="26">
        <v>39.683318813</v>
      </c>
      <c r="R1591" s="26">
        <v>54.257061983</v>
      </c>
      <c r="T1591" s="26">
        <v>21.701267078000001</v>
      </c>
      <c r="U1591" s="26">
        <v>32.024055408000002</v>
      </c>
      <c r="V1591" s="26">
        <v>9.1219111730000009</v>
      </c>
      <c r="W1591" s="27">
        <v>0.70462947349000005</v>
      </c>
      <c r="Y1591" s="26">
        <v>71.474903323999996</v>
      </c>
      <c r="AA1591" s="26">
        <v>1.0091040760000001</v>
      </c>
      <c r="AB1591" s="16">
        <v>10.09104076</v>
      </c>
      <c r="AE1591" s="19">
        <v>1</v>
      </c>
    </row>
    <row r="1592" spans="1:31" x14ac:dyDescent="0.2">
      <c r="A1592" s="19">
        <v>1591</v>
      </c>
      <c r="B1592" s="1">
        <v>2023</v>
      </c>
      <c r="C1592" s="19" t="s">
        <v>31</v>
      </c>
      <c r="D1592" s="22" t="s">
        <v>108</v>
      </c>
      <c r="E1592" s="22" t="s">
        <v>781</v>
      </c>
      <c r="F1592" s="19" t="s">
        <v>32</v>
      </c>
      <c r="G1592" s="22">
        <v>117</v>
      </c>
      <c r="H1592" s="22" t="s">
        <v>89</v>
      </c>
      <c r="I1592" s="12">
        <v>8.2929125689644998</v>
      </c>
      <c r="J1592" s="23">
        <v>23.694035899999999</v>
      </c>
      <c r="K1592" s="24" t="s">
        <v>34</v>
      </c>
      <c r="L1592" s="25">
        <v>3499.1961014140002</v>
      </c>
      <c r="M1592" s="25" t="s">
        <v>89</v>
      </c>
      <c r="N1592" s="25">
        <v>29089.271880692999</v>
      </c>
      <c r="O1592" s="15">
        <v>36.168066488000001</v>
      </c>
      <c r="P1592" s="26">
        <v>7.9498748839999998</v>
      </c>
      <c r="Q1592" s="26">
        <v>33.288318812999997</v>
      </c>
      <c r="R1592" s="26">
        <v>55.192061983000002</v>
      </c>
      <c r="T1592" s="26">
        <v>17.586267077999999</v>
      </c>
      <c r="U1592" s="26">
        <v>40.524055408000002</v>
      </c>
      <c r="V1592" s="26">
        <v>7.7719111730000003</v>
      </c>
      <c r="W1592" s="27">
        <v>0.73430447349000005</v>
      </c>
      <c r="Y1592" s="26">
        <v>73.687403324000002</v>
      </c>
      <c r="AA1592" s="26">
        <v>1.0091040760000001</v>
      </c>
      <c r="AB1592" s="16">
        <v>10.09104076</v>
      </c>
      <c r="AE1592" s="19">
        <v>1</v>
      </c>
    </row>
    <row r="1593" spans="1:31" x14ac:dyDescent="0.2">
      <c r="A1593" s="19">
        <v>1592</v>
      </c>
      <c r="B1593" s="1">
        <v>2023</v>
      </c>
      <c r="C1593" s="19" t="s">
        <v>31</v>
      </c>
      <c r="D1593" s="22" t="s">
        <v>108</v>
      </c>
      <c r="E1593" s="22" t="s">
        <v>954</v>
      </c>
      <c r="F1593" s="19" t="s">
        <v>32</v>
      </c>
      <c r="G1593" s="22">
        <v>117</v>
      </c>
      <c r="H1593" s="22" t="s">
        <v>89</v>
      </c>
      <c r="I1593" s="12">
        <v>7.7520812844820002</v>
      </c>
      <c r="J1593" s="23">
        <v>22.148803663999999</v>
      </c>
      <c r="K1593" s="24" t="s">
        <v>89</v>
      </c>
      <c r="L1593" s="25">
        <v>3311.2230507069999</v>
      </c>
      <c r="M1593" s="25" t="s">
        <v>89</v>
      </c>
      <c r="N1593" s="25">
        <v>25687.910127846</v>
      </c>
      <c r="O1593" s="15">
        <v>33.551533243999998</v>
      </c>
      <c r="P1593" s="26">
        <v>8.3549374420000007</v>
      </c>
      <c r="Q1593" s="26">
        <v>36.426659405999999</v>
      </c>
      <c r="R1593" s="26">
        <v>56.483530991000002</v>
      </c>
      <c r="T1593" s="26">
        <v>18.916883539000001</v>
      </c>
      <c r="U1593" s="26">
        <v>32.387027703999998</v>
      </c>
      <c r="V1593" s="26">
        <v>9.9434555860000007</v>
      </c>
      <c r="W1593" s="27">
        <v>0.70275223675000009</v>
      </c>
      <c r="Y1593" s="26">
        <v>71.572451662000006</v>
      </c>
      <c r="AA1593" s="26">
        <v>1.1920520379999999</v>
      </c>
      <c r="AB1593" s="16">
        <v>11.920520379999999</v>
      </c>
      <c r="AE1593" s="19">
        <v>1</v>
      </c>
    </row>
    <row r="1594" spans="1:31" x14ac:dyDescent="0.2">
      <c r="A1594" s="19">
        <v>1593</v>
      </c>
      <c r="B1594" s="1">
        <v>2023</v>
      </c>
      <c r="C1594" s="19" t="s">
        <v>31</v>
      </c>
      <c r="D1594" s="8" t="s">
        <v>67</v>
      </c>
      <c r="E1594" s="22" t="s">
        <v>955</v>
      </c>
      <c r="F1594" s="19" t="s">
        <v>32</v>
      </c>
      <c r="G1594" s="22">
        <v>120</v>
      </c>
      <c r="H1594" s="22" t="s">
        <v>89</v>
      </c>
      <c r="I1594" s="12">
        <v>7.5872875689644994</v>
      </c>
      <c r="J1594" s="23">
        <v>21.677964470999999</v>
      </c>
      <c r="K1594" s="24" t="s">
        <v>89</v>
      </c>
      <c r="L1594" s="25">
        <v>3233.4461014140002</v>
      </c>
      <c r="M1594" s="25" t="s">
        <v>89</v>
      </c>
      <c r="N1594" s="25">
        <v>24601.820130692999</v>
      </c>
      <c r="O1594" s="15">
        <v>38.143066488000002</v>
      </c>
      <c r="P1594" s="26">
        <v>7.8498748840000001</v>
      </c>
      <c r="Q1594" s="26">
        <v>43.118318813000002</v>
      </c>
      <c r="R1594" s="26">
        <v>55.309561983000002</v>
      </c>
      <c r="T1594" s="26">
        <v>24.566267077999999</v>
      </c>
      <c r="U1594" s="26">
        <v>29.844055407999999</v>
      </c>
      <c r="V1594" s="26">
        <v>8.5294111729999997</v>
      </c>
      <c r="W1594" s="27">
        <v>0.69017947348999997</v>
      </c>
      <c r="Y1594" s="26">
        <v>70.729903324000006</v>
      </c>
      <c r="AA1594" s="26">
        <v>1.0091040760000001</v>
      </c>
      <c r="AB1594" s="16">
        <v>10.09104076</v>
      </c>
      <c r="AE1594" s="19">
        <v>1</v>
      </c>
    </row>
    <row r="1595" spans="1:31" x14ac:dyDescent="0.2">
      <c r="A1595" s="19">
        <v>1594</v>
      </c>
      <c r="B1595" s="1">
        <v>2023</v>
      </c>
      <c r="C1595" s="19" t="s">
        <v>31</v>
      </c>
      <c r="D1595" s="8" t="s">
        <v>67</v>
      </c>
      <c r="E1595" s="22" t="s">
        <v>956</v>
      </c>
      <c r="F1595" s="19" t="s">
        <v>32</v>
      </c>
      <c r="G1595" s="22">
        <v>120</v>
      </c>
      <c r="H1595" s="22" t="s">
        <v>89</v>
      </c>
      <c r="I1595" s="12">
        <v>8.5989125689639998</v>
      </c>
      <c r="J1595" s="23">
        <v>24.568321613999998</v>
      </c>
      <c r="K1595" s="24" t="s">
        <v>89</v>
      </c>
      <c r="L1595" s="25">
        <v>3217.9461014140002</v>
      </c>
      <c r="M1595" s="25" t="s">
        <v>89</v>
      </c>
      <c r="N1595" s="25">
        <v>27708.256130693</v>
      </c>
      <c r="O1595" s="15">
        <v>35.948066488000002</v>
      </c>
      <c r="P1595" s="26">
        <v>8.1098748839999999</v>
      </c>
      <c r="Q1595" s="26">
        <v>42.248318812999997</v>
      </c>
      <c r="R1595" s="26">
        <v>54.752061982999997</v>
      </c>
      <c r="T1595" s="26">
        <v>23.856267077999998</v>
      </c>
      <c r="U1595" s="26">
        <v>28.536555408000002</v>
      </c>
      <c r="V1595" s="26">
        <v>9.1794111730000001</v>
      </c>
      <c r="W1595" s="27">
        <v>0.68857947349000004</v>
      </c>
      <c r="Y1595" s="26">
        <v>70.439903323999999</v>
      </c>
      <c r="AA1595" s="26">
        <v>1.0716040760000001</v>
      </c>
      <c r="AB1595" s="16">
        <v>10.71604076</v>
      </c>
      <c r="AE1595" s="19">
        <v>1</v>
      </c>
    </row>
    <row r="1596" spans="1:31" x14ac:dyDescent="0.2">
      <c r="A1596" s="19">
        <v>1595</v>
      </c>
      <c r="B1596" s="1">
        <v>2023</v>
      </c>
      <c r="C1596" s="1" t="s">
        <v>88</v>
      </c>
      <c r="D1596" s="22" t="s">
        <v>931</v>
      </c>
      <c r="E1596" s="28" t="s">
        <v>921</v>
      </c>
      <c r="F1596" s="19" t="s">
        <v>32</v>
      </c>
      <c r="H1596" s="28" t="s">
        <v>89</v>
      </c>
      <c r="I1596" s="12">
        <v>3.7928941301465002</v>
      </c>
      <c r="J1596" s="29">
        <v>10.836840371999999</v>
      </c>
      <c r="K1596" s="28" t="s">
        <v>89</v>
      </c>
      <c r="L1596" s="33">
        <v>3231.5329218110001</v>
      </c>
      <c r="M1596" s="30" t="s">
        <v>89</v>
      </c>
      <c r="N1596" s="33">
        <v>12195.565458986001</v>
      </c>
      <c r="O1596" s="31">
        <v>28.967603954000001</v>
      </c>
      <c r="P1596" s="32">
        <v>8.3643004120000004</v>
      </c>
      <c r="Q1596" s="32">
        <v>51.896111111000003</v>
      </c>
      <c r="R1596" s="32">
        <v>55.034050892000003</v>
      </c>
      <c r="T1596" s="32">
        <v>29.981975308999999</v>
      </c>
      <c r="V1596" s="32">
        <v>14.12962963</v>
      </c>
      <c r="W1596" s="12">
        <v>0.70079876542999997</v>
      </c>
      <c r="X1596" s="17"/>
      <c r="Y1596" s="32">
        <v>66.355699587999993</v>
      </c>
      <c r="AA1596" s="32">
        <v>1.0061712469999999</v>
      </c>
      <c r="AB1596" s="16">
        <f t="shared" ref="AB1596:AB1617" si="9">AA1596*10</f>
        <v>10.06171247</v>
      </c>
      <c r="AC1596" s="32">
        <v>0</v>
      </c>
      <c r="AD1596" s="16">
        <v>0</v>
      </c>
      <c r="AE1596" s="19">
        <v>1</v>
      </c>
    </row>
    <row r="1597" spans="1:31" x14ac:dyDescent="0.2">
      <c r="A1597" s="19">
        <v>1596</v>
      </c>
      <c r="B1597" s="1">
        <v>2023</v>
      </c>
      <c r="C1597" s="1" t="s">
        <v>88</v>
      </c>
      <c r="D1597" s="22" t="s">
        <v>931</v>
      </c>
      <c r="E1597" s="28" t="s">
        <v>960</v>
      </c>
      <c r="F1597" s="19" t="s">
        <v>32</v>
      </c>
      <c r="H1597" s="28" t="s">
        <v>89</v>
      </c>
      <c r="I1597" s="12">
        <v>4.5372347106474997</v>
      </c>
      <c r="J1597" s="29">
        <v>12.963527745</v>
      </c>
      <c r="K1597" s="28" t="s">
        <v>89</v>
      </c>
      <c r="L1597" s="33">
        <v>2944.9320987649999</v>
      </c>
      <c r="M1597" s="30" t="s">
        <v>89</v>
      </c>
      <c r="N1597" s="33">
        <v>13233.213191338</v>
      </c>
      <c r="O1597" s="31">
        <v>24.062935635999999</v>
      </c>
      <c r="P1597" s="32">
        <v>7.5762345680000003</v>
      </c>
      <c r="Q1597" s="32">
        <v>60.625</v>
      </c>
      <c r="R1597" s="32">
        <v>59.129841059</v>
      </c>
      <c r="T1597" s="32">
        <v>35.359259258999998</v>
      </c>
      <c r="V1597" s="32">
        <v>9.7888888890000008</v>
      </c>
      <c r="W1597" s="12">
        <v>0.64826296295999997</v>
      </c>
      <c r="X1597" s="17"/>
      <c r="Y1597" s="32">
        <v>64.743765432000004</v>
      </c>
      <c r="AA1597" s="32">
        <v>1.435368677</v>
      </c>
      <c r="AB1597" s="16">
        <f t="shared" si="9"/>
        <v>14.353686769999999</v>
      </c>
      <c r="AC1597" s="32">
        <v>0</v>
      </c>
      <c r="AD1597" s="16">
        <v>0</v>
      </c>
      <c r="AE1597" s="19">
        <v>1</v>
      </c>
    </row>
    <row r="1598" spans="1:31" x14ac:dyDescent="0.2">
      <c r="A1598" s="19">
        <v>1597</v>
      </c>
      <c r="B1598" s="1">
        <v>2023</v>
      </c>
      <c r="C1598" s="1" t="s">
        <v>88</v>
      </c>
      <c r="D1598" s="22" t="s">
        <v>931</v>
      </c>
      <c r="E1598" s="28" t="s">
        <v>968</v>
      </c>
      <c r="F1598" s="19" t="s">
        <v>32</v>
      </c>
      <c r="H1598" s="28" t="s">
        <v>89</v>
      </c>
      <c r="I1598" s="12">
        <v>4.5812380921904996</v>
      </c>
      <c r="J1598" s="29">
        <v>13.089251691999999</v>
      </c>
      <c r="K1598" s="28" t="s">
        <v>89</v>
      </c>
      <c r="L1598" s="33">
        <v>2726.9320987649999</v>
      </c>
      <c r="M1598" s="30" t="s">
        <v>89</v>
      </c>
      <c r="N1598" s="33">
        <v>12361.820268428</v>
      </c>
      <c r="O1598" s="31">
        <v>22.125588057000002</v>
      </c>
      <c r="P1598" s="32">
        <v>9.0695679009999992</v>
      </c>
      <c r="Q1598" s="32">
        <v>65.435000000000002</v>
      </c>
      <c r="R1598" s="32">
        <v>59.326507726000003</v>
      </c>
      <c r="T1598" s="32">
        <v>38.785925925999997</v>
      </c>
      <c r="V1598" s="32">
        <v>8.7055555560000002</v>
      </c>
      <c r="W1598" s="12">
        <v>0.61456296296000001</v>
      </c>
      <c r="X1598" s="17"/>
      <c r="Y1598" s="32">
        <v>62.417098764999999</v>
      </c>
      <c r="AA1598" s="32">
        <v>1.018702011</v>
      </c>
      <c r="AB1598" s="16">
        <f t="shared" si="9"/>
        <v>10.187020110000001</v>
      </c>
      <c r="AC1598" s="32">
        <v>0</v>
      </c>
      <c r="AD1598" s="16">
        <v>0</v>
      </c>
      <c r="AE1598" s="19">
        <v>1</v>
      </c>
    </row>
    <row r="1599" spans="1:31" x14ac:dyDescent="0.2">
      <c r="A1599" s="19">
        <v>1598</v>
      </c>
      <c r="B1599" s="1">
        <v>2023</v>
      </c>
      <c r="C1599" s="1" t="s">
        <v>88</v>
      </c>
      <c r="D1599" s="22" t="s">
        <v>931</v>
      </c>
      <c r="E1599" s="28" t="s">
        <v>969</v>
      </c>
      <c r="F1599" s="19" t="s">
        <v>32</v>
      </c>
      <c r="H1599" s="28" t="s">
        <v>89</v>
      </c>
      <c r="I1599" s="12">
        <v>4.4222521606609995</v>
      </c>
      <c r="J1599" s="29">
        <v>12.635006173000001</v>
      </c>
      <c r="K1599" s="28" t="s">
        <v>89</v>
      </c>
      <c r="L1599" s="33">
        <v>2722.9320987649999</v>
      </c>
      <c r="M1599" s="30" t="s">
        <v>89</v>
      </c>
      <c r="N1599" s="33">
        <v>11977.082036309999</v>
      </c>
      <c r="O1599" s="31">
        <v>22.076914689999999</v>
      </c>
      <c r="P1599" s="32">
        <v>8.8662345679999994</v>
      </c>
      <c r="Q1599" s="32">
        <v>64.341666666999998</v>
      </c>
      <c r="R1599" s="32">
        <v>62.653355863999998</v>
      </c>
      <c r="T1599" s="32">
        <v>38.339259259000002</v>
      </c>
      <c r="V1599" s="32">
        <v>8.8122222220000008</v>
      </c>
      <c r="W1599" s="12">
        <v>0.60996296295999997</v>
      </c>
      <c r="X1599" s="17"/>
      <c r="Y1599" s="32">
        <v>63.340432098999997</v>
      </c>
      <c r="AA1599" s="32">
        <v>1.0185449099999999</v>
      </c>
      <c r="AB1599" s="16">
        <f t="shared" si="9"/>
        <v>10.1854491</v>
      </c>
      <c r="AC1599" s="32">
        <v>0</v>
      </c>
      <c r="AD1599" s="16">
        <v>0</v>
      </c>
      <c r="AE1599" s="19">
        <v>1</v>
      </c>
    </row>
    <row r="1600" spans="1:31" x14ac:dyDescent="0.2">
      <c r="A1600" s="19">
        <v>1599</v>
      </c>
      <c r="B1600" s="1">
        <v>2023</v>
      </c>
      <c r="C1600" s="1" t="s">
        <v>88</v>
      </c>
      <c r="D1600" s="28" t="s">
        <v>914</v>
      </c>
      <c r="E1600" s="28" t="s">
        <v>961</v>
      </c>
      <c r="F1600" s="19" t="s">
        <v>32</v>
      </c>
      <c r="H1600" s="28" t="s">
        <v>89</v>
      </c>
      <c r="I1600" s="12">
        <v>4.2833346424379997</v>
      </c>
      <c r="J1600" s="29">
        <v>12.238098978</v>
      </c>
      <c r="K1600" s="28" t="s">
        <v>34</v>
      </c>
      <c r="L1600" s="33">
        <v>3509.5987654320002</v>
      </c>
      <c r="M1600" s="30" t="s">
        <v>89</v>
      </c>
      <c r="N1600" s="33">
        <v>15072.619759206</v>
      </c>
      <c r="O1600" s="31">
        <v>31.808095584</v>
      </c>
      <c r="P1600" s="32">
        <v>9.1929012350000008</v>
      </c>
      <c r="Q1600" s="32">
        <v>45.414999999999999</v>
      </c>
      <c r="R1600" s="32">
        <v>56.05002253</v>
      </c>
      <c r="T1600" s="32">
        <v>26.415925926</v>
      </c>
      <c r="V1600" s="32">
        <v>12.982222222000001</v>
      </c>
      <c r="W1600" s="12">
        <v>0.74172962963</v>
      </c>
      <c r="X1600" s="17"/>
      <c r="Y1600" s="32">
        <v>69.893765431999995</v>
      </c>
      <c r="AA1600" s="32">
        <v>1.1018782439999999</v>
      </c>
      <c r="AB1600" s="16">
        <f t="shared" si="9"/>
        <v>11.018782439999999</v>
      </c>
      <c r="AC1600" s="32">
        <v>0</v>
      </c>
      <c r="AD1600" s="16">
        <v>0</v>
      </c>
      <c r="AE1600" s="19">
        <v>1</v>
      </c>
    </row>
    <row r="1601" spans="1:31" x14ac:dyDescent="0.2">
      <c r="A1601" s="19">
        <v>1600</v>
      </c>
      <c r="B1601" s="1">
        <v>2023</v>
      </c>
      <c r="C1601" s="1" t="s">
        <v>88</v>
      </c>
      <c r="D1601" s="28" t="s">
        <v>914</v>
      </c>
      <c r="E1601" s="28" t="s">
        <v>791</v>
      </c>
      <c r="F1601" s="19" t="s">
        <v>32</v>
      </c>
      <c r="H1601" s="28" t="s">
        <v>34</v>
      </c>
      <c r="I1601" s="12">
        <v>7.1391180640700007</v>
      </c>
      <c r="J1601" s="29">
        <v>20.397480182999999</v>
      </c>
      <c r="K1601" s="28" t="s">
        <v>89</v>
      </c>
      <c r="L1601" s="33">
        <v>3058.0493827159999</v>
      </c>
      <c r="M1601" s="30" t="s">
        <v>34</v>
      </c>
      <c r="N1601" s="33">
        <v>21727.911447994</v>
      </c>
      <c r="O1601" s="31">
        <v>36.083675851000002</v>
      </c>
      <c r="P1601" s="32">
        <v>6.736450617</v>
      </c>
      <c r="Q1601" s="32">
        <v>49.941666667</v>
      </c>
      <c r="R1601" s="32">
        <v>47.941978728999999</v>
      </c>
      <c r="T1601" s="32">
        <v>29.687962963</v>
      </c>
      <c r="V1601" s="32">
        <v>11.124444444</v>
      </c>
      <c r="W1601" s="12">
        <v>0.68482314815000001</v>
      </c>
      <c r="X1601" s="17"/>
      <c r="Y1601" s="32">
        <v>62.838549383</v>
      </c>
      <c r="AA1601" s="32">
        <v>1.321780247</v>
      </c>
      <c r="AB1601" s="16">
        <f t="shared" si="9"/>
        <v>13.217802469999999</v>
      </c>
      <c r="AC1601" s="32">
        <v>0.125</v>
      </c>
      <c r="AD1601" s="16">
        <v>1.25</v>
      </c>
      <c r="AE1601" s="19">
        <v>1</v>
      </c>
    </row>
    <row r="1602" spans="1:31" x14ac:dyDescent="0.2">
      <c r="A1602" s="19">
        <v>1601</v>
      </c>
      <c r="B1602" s="1">
        <v>2023</v>
      </c>
      <c r="C1602" s="1" t="s">
        <v>88</v>
      </c>
      <c r="D1602" s="28" t="s">
        <v>914</v>
      </c>
      <c r="E1602" s="28" t="s">
        <v>962</v>
      </c>
      <c r="F1602" s="19" t="s">
        <v>32</v>
      </c>
      <c r="H1602" s="28" t="s">
        <v>89</v>
      </c>
      <c r="I1602" s="12">
        <v>4.7280204838255004</v>
      </c>
      <c r="J1602" s="29">
        <v>13.508629954</v>
      </c>
      <c r="K1602" s="28" t="s">
        <v>89</v>
      </c>
      <c r="L1602" s="33">
        <v>3213.7993827159999</v>
      </c>
      <c r="M1602" s="30" t="s">
        <v>89</v>
      </c>
      <c r="N1602" s="33">
        <v>15276.791310739</v>
      </c>
      <c r="O1602" s="31">
        <v>28.589629495000001</v>
      </c>
      <c r="P1602" s="32">
        <v>8.7389506170000004</v>
      </c>
      <c r="Q1602" s="32">
        <v>52.606666666999999</v>
      </c>
      <c r="R1602" s="32">
        <v>57.414478729000002</v>
      </c>
      <c r="T1602" s="32">
        <v>30.597962963000001</v>
      </c>
      <c r="V1602" s="32">
        <v>11.239444444</v>
      </c>
      <c r="W1602" s="12">
        <v>0.69307314814999998</v>
      </c>
      <c r="X1602" s="17"/>
      <c r="Y1602" s="32">
        <v>66.961049383000002</v>
      </c>
      <c r="AA1602" s="32">
        <v>1.321780247</v>
      </c>
      <c r="AB1602" s="16">
        <f t="shared" si="9"/>
        <v>13.217802469999999</v>
      </c>
      <c r="AC1602" s="32">
        <v>0</v>
      </c>
      <c r="AD1602" s="16">
        <v>0</v>
      </c>
      <c r="AE1602" s="19">
        <v>1</v>
      </c>
    </row>
    <row r="1603" spans="1:31" x14ac:dyDescent="0.2">
      <c r="A1603" s="19">
        <v>1602</v>
      </c>
      <c r="B1603" s="1">
        <v>2023</v>
      </c>
      <c r="C1603" s="1" t="s">
        <v>88</v>
      </c>
      <c r="D1603" s="28" t="s">
        <v>914</v>
      </c>
      <c r="E1603" s="28" t="s">
        <v>639</v>
      </c>
      <c r="F1603" s="19" t="s">
        <v>32</v>
      </c>
      <c r="H1603" s="28" t="s">
        <v>89</v>
      </c>
      <c r="I1603" s="12">
        <v>4.4027437255759994</v>
      </c>
      <c r="J1603" s="29">
        <v>12.579267786999999</v>
      </c>
      <c r="K1603" s="28" t="s">
        <v>89</v>
      </c>
      <c r="L1603" s="33">
        <v>3012.1995884769999</v>
      </c>
      <c r="M1603" s="30" t="s">
        <v>89</v>
      </c>
      <c r="N1603" s="33">
        <v>13299.709825923999</v>
      </c>
      <c r="O1603" s="31">
        <v>25.949293545</v>
      </c>
      <c r="P1603" s="32">
        <v>6.7576337449999997</v>
      </c>
      <c r="Q1603" s="32">
        <v>55.986111111</v>
      </c>
      <c r="R1603" s="32">
        <v>55.010536088000002</v>
      </c>
      <c r="T1603" s="32">
        <v>33.188641975000003</v>
      </c>
      <c r="V1603" s="32">
        <v>10.172962963</v>
      </c>
      <c r="W1603" s="12">
        <v>0.66466543209999995</v>
      </c>
      <c r="X1603" s="17"/>
      <c r="Y1603" s="32">
        <v>64.185699588000006</v>
      </c>
      <c r="AA1603" s="32">
        <v>1.506328347</v>
      </c>
      <c r="AB1603" s="16">
        <f t="shared" si="9"/>
        <v>15.06328347</v>
      </c>
      <c r="AC1603" s="32">
        <v>0.5</v>
      </c>
      <c r="AD1603" s="16">
        <v>5</v>
      </c>
      <c r="AE1603" s="19">
        <v>1</v>
      </c>
    </row>
    <row r="1604" spans="1:31" x14ac:dyDescent="0.2">
      <c r="A1604" s="19">
        <v>1603</v>
      </c>
      <c r="B1604" s="1">
        <v>2023</v>
      </c>
      <c r="C1604" s="1" t="s">
        <v>88</v>
      </c>
      <c r="D1604" s="28" t="s">
        <v>914</v>
      </c>
      <c r="E1604" s="28" t="s">
        <v>792</v>
      </c>
      <c r="F1604" s="19" t="s">
        <v>32</v>
      </c>
      <c r="H1604" s="28" t="s">
        <v>89</v>
      </c>
      <c r="I1604" s="12">
        <v>4.7516361812040007</v>
      </c>
      <c r="J1604" s="29">
        <v>13.576103375000001</v>
      </c>
      <c r="K1604" s="28" t="s">
        <v>89</v>
      </c>
      <c r="L1604" s="33">
        <v>3142.5987654320002</v>
      </c>
      <c r="M1604" s="30" t="s">
        <v>89</v>
      </c>
      <c r="N1604" s="33">
        <v>14872.551132622</v>
      </c>
      <c r="O1604" s="31">
        <v>31.633837515</v>
      </c>
      <c r="P1604" s="32">
        <v>7.8995679010000002</v>
      </c>
      <c r="Q1604" s="32">
        <v>51.318333332999998</v>
      </c>
      <c r="R1604" s="32">
        <v>55.043355863999999</v>
      </c>
      <c r="T1604" s="32">
        <v>30.175925926000001</v>
      </c>
      <c r="V1604" s="32">
        <v>10.908888889</v>
      </c>
      <c r="W1604" s="12">
        <v>0.68622962963000012</v>
      </c>
      <c r="X1604" s="17"/>
      <c r="Y1604" s="32">
        <v>65.453765431999997</v>
      </c>
      <c r="AA1604" s="32">
        <v>1.435211577</v>
      </c>
      <c r="AB1604" s="16">
        <f t="shared" si="9"/>
        <v>14.352115770000001</v>
      </c>
      <c r="AC1604" s="32">
        <v>0</v>
      </c>
      <c r="AD1604" s="16">
        <v>0</v>
      </c>
      <c r="AE1604" s="19">
        <v>1</v>
      </c>
    </row>
    <row r="1605" spans="1:31" x14ac:dyDescent="0.2">
      <c r="A1605" s="19">
        <v>1604</v>
      </c>
      <c r="B1605" s="1">
        <v>2023</v>
      </c>
      <c r="C1605" s="1" t="s">
        <v>88</v>
      </c>
      <c r="D1605" s="28" t="s">
        <v>914</v>
      </c>
      <c r="E1605" s="28" t="s">
        <v>793</v>
      </c>
      <c r="F1605" s="19" t="s">
        <v>32</v>
      </c>
      <c r="H1605" s="28" t="s">
        <v>89</v>
      </c>
      <c r="I1605" s="12">
        <v>4.1366326876105006</v>
      </c>
      <c r="J1605" s="29">
        <v>11.818950535999999</v>
      </c>
      <c r="K1605" s="28" t="s">
        <v>89</v>
      </c>
      <c r="L1605" s="33">
        <v>3402.5329218110001</v>
      </c>
      <c r="M1605" s="30" t="s">
        <v>89</v>
      </c>
      <c r="N1605" s="33">
        <v>14215.720711931001</v>
      </c>
      <c r="O1605" s="31">
        <v>29.868805042999998</v>
      </c>
      <c r="P1605" s="32">
        <v>9.3243004119999995</v>
      </c>
      <c r="Q1605" s="32">
        <v>45.326111111000003</v>
      </c>
      <c r="R1605" s="32">
        <v>49.276478191999999</v>
      </c>
      <c r="T1605" s="32">
        <v>27.045308641999998</v>
      </c>
      <c r="V1605" s="32">
        <v>12.176296296</v>
      </c>
      <c r="W1605" s="12">
        <v>0.7359320987700001</v>
      </c>
      <c r="X1605" s="17"/>
      <c r="Y1605" s="32">
        <v>67.242366254999993</v>
      </c>
      <c r="AA1605" s="32">
        <v>1.006118091</v>
      </c>
      <c r="AB1605" s="16">
        <f t="shared" si="9"/>
        <v>10.061180910000001</v>
      </c>
      <c r="AC1605" s="32">
        <v>0</v>
      </c>
      <c r="AD1605" s="16">
        <v>0</v>
      </c>
      <c r="AE1605" s="19">
        <v>1</v>
      </c>
    </row>
    <row r="1606" spans="1:31" x14ac:dyDescent="0.2">
      <c r="A1606" s="19">
        <v>1605</v>
      </c>
      <c r="B1606" s="1">
        <v>2023</v>
      </c>
      <c r="C1606" s="1" t="s">
        <v>88</v>
      </c>
      <c r="D1606" s="28" t="s">
        <v>914</v>
      </c>
      <c r="E1606" s="28" t="s">
        <v>920</v>
      </c>
      <c r="F1606" s="19" t="s">
        <v>32</v>
      </c>
      <c r="H1606" s="28" t="s">
        <v>34</v>
      </c>
      <c r="I1606" s="12">
        <v>5.7257172582860001</v>
      </c>
      <c r="J1606" s="29">
        <v>16.359192167</v>
      </c>
      <c r="K1606" s="28" t="s">
        <v>89</v>
      </c>
      <c r="L1606" s="33">
        <v>2850.2993827159999</v>
      </c>
      <c r="M1606" s="30" t="s">
        <v>89</v>
      </c>
      <c r="N1606" s="33">
        <v>16327.014790518</v>
      </c>
      <c r="O1606" s="31">
        <v>29.000511593999999</v>
      </c>
      <c r="P1606" s="32">
        <v>5.9664506169999996</v>
      </c>
      <c r="Q1606" s="32">
        <v>58.056666667000002</v>
      </c>
      <c r="R1606" s="32">
        <v>48.281978729000002</v>
      </c>
      <c r="T1606" s="32">
        <v>34.607962962999999</v>
      </c>
      <c r="V1606" s="32">
        <v>11.846944444</v>
      </c>
      <c r="W1606" s="12">
        <v>0.65162314815</v>
      </c>
      <c r="X1606" s="17"/>
      <c r="Y1606" s="32">
        <v>60.193549382999997</v>
      </c>
      <c r="AA1606" s="32">
        <v>1.259280247</v>
      </c>
      <c r="AB1606" s="16">
        <f t="shared" si="9"/>
        <v>12.592802469999999</v>
      </c>
      <c r="AC1606" s="32">
        <v>0.125</v>
      </c>
      <c r="AD1606" s="16">
        <v>1.25</v>
      </c>
      <c r="AE1606" s="19">
        <v>1</v>
      </c>
    </row>
    <row r="1607" spans="1:31" x14ac:dyDescent="0.2">
      <c r="A1607" s="19">
        <v>1606</v>
      </c>
      <c r="B1607" s="1">
        <v>2023</v>
      </c>
      <c r="C1607" s="1" t="s">
        <v>88</v>
      </c>
      <c r="D1607" s="28" t="s">
        <v>914</v>
      </c>
      <c r="E1607" s="28" t="s">
        <v>915</v>
      </c>
      <c r="F1607" s="19" t="s">
        <v>32</v>
      </c>
      <c r="H1607" s="28" t="s">
        <v>89</v>
      </c>
      <c r="I1607" s="12">
        <v>5.1697491787310001</v>
      </c>
      <c r="J1607" s="29">
        <v>14.770711939</v>
      </c>
      <c r="K1607" s="28" t="s">
        <v>89</v>
      </c>
      <c r="L1607" s="33">
        <v>2906.265432099</v>
      </c>
      <c r="M1607" s="30" t="s">
        <v>89</v>
      </c>
      <c r="N1607" s="33">
        <v>14442.068214966001</v>
      </c>
      <c r="O1607" s="31">
        <v>29.668758528000001</v>
      </c>
      <c r="P1607" s="32">
        <v>6.8829012350000003</v>
      </c>
      <c r="Q1607" s="32">
        <v>56.578333333000003</v>
      </c>
      <c r="R1607" s="32">
        <v>47.132449829999999</v>
      </c>
      <c r="T1607" s="32">
        <v>33.762592593000001</v>
      </c>
      <c r="V1607" s="32">
        <v>10.158888889</v>
      </c>
      <c r="W1607" s="12">
        <v>0.66279629630000003</v>
      </c>
      <c r="X1607" s="17"/>
      <c r="Y1607" s="32">
        <v>60.523765431999998</v>
      </c>
      <c r="AA1607" s="32">
        <v>1.4351584209999999</v>
      </c>
      <c r="AB1607" s="16">
        <f t="shared" si="9"/>
        <v>14.351584209999999</v>
      </c>
      <c r="AC1607" s="32">
        <v>0.16666666699999999</v>
      </c>
      <c r="AD1607" s="16">
        <v>1.6666666699999999</v>
      </c>
      <c r="AE1607" s="19">
        <v>1</v>
      </c>
    </row>
    <row r="1608" spans="1:31" x14ac:dyDescent="0.2">
      <c r="A1608" s="19">
        <v>1607</v>
      </c>
      <c r="B1608" s="1">
        <v>2023</v>
      </c>
      <c r="C1608" s="1" t="s">
        <v>88</v>
      </c>
      <c r="D1608" s="28" t="s">
        <v>37</v>
      </c>
      <c r="E1608" s="28" t="s">
        <v>963</v>
      </c>
      <c r="F1608" s="19" t="s">
        <v>32</v>
      </c>
      <c r="H1608" s="28" t="s">
        <v>89</v>
      </c>
      <c r="I1608" s="12">
        <v>4.2978418043780007</v>
      </c>
      <c r="J1608" s="29">
        <v>12.279548012999999</v>
      </c>
      <c r="K1608" s="28" t="s">
        <v>89</v>
      </c>
      <c r="L1608" s="33">
        <v>3273.9320987649999</v>
      </c>
      <c r="M1608" s="30" t="s">
        <v>89</v>
      </c>
      <c r="N1608" s="33">
        <v>14173.162293949999</v>
      </c>
      <c r="O1608" s="31">
        <v>29.252112384</v>
      </c>
      <c r="P1608" s="32">
        <v>9.0729012349999998</v>
      </c>
      <c r="Q1608" s="32">
        <v>49.361666667000001</v>
      </c>
      <c r="R1608" s="32">
        <v>50.545783163000003</v>
      </c>
      <c r="T1608" s="32">
        <v>28.925925926000001</v>
      </c>
      <c r="V1608" s="32">
        <v>10.928888889</v>
      </c>
      <c r="W1608" s="12">
        <v>0.71412962962999993</v>
      </c>
      <c r="X1608" s="17"/>
      <c r="Y1608" s="32">
        <v>65.887098765000005</v>
      </c>
      <c r="AA1608" s="32">
        <v>1.018491754</v>
      </c>
      <c r="AB1608" s="16">
        <f t="shared" si="9"/>
        <v>10.184917540000001</v>
      </c>
      <c r="AC1608" s="32">
        <v>0</v>
      </c>
      <c r="AD1608" s="16">
        <v>0</v>
      </c>
      <c r="AE1608" s="19">
        <v>1</v>
      </c>
    </row>
    <row r="1609" spans="1:31" x14ac:dyDescent="0.2">
      <c r="A1609" s="19">
        <v>1608</v>
      </c>
      <c r="B1609" s="1">
        <v>2023</v>
      </c>
      <c r="C1609" s="1" t="s">
        <v>88</v>
      </c>
      <c r="D1609" s="28" t="s">
        <v>838</v>
      </c>
      <c r="E1609" s="28" t="s">
        <v>839</v>
      </c>
      <c r="F1609" s="19" t="s">
        <v>32</v>
      </c>
      <c r="H1609" s="28" t="s">
        <v>89</v>
      </c>
      <c r="I1609" s="12">
        <v>3.9354188233665002</v>
      </c>
      <c r="J1609" s="29">
        <v>11.244053781</v>
      </c>
      <c r="K1609" s="28" t="s">
        <v>89</v>
      </c>
      <c r="L1609" s="33">
        <v>3315.2993827159999</v>
      </c>
      <c r="M1609" s="30" t="s">
        <v>89</v>
      </c>
      <c r="N1609" s="33">
        <v>13061.240950807</v>
      </c>
      <c r="O1609" s="31">
        <v>34.427078352000002</v>
      </c>
      <c r="P1609" s="32">
        <v>7.6714506169999996</v>
      </c>
      <c r="Q1609" s="32">
        <v>46.266666667000003</v>
      </c>
      <c r="R1609" s="32">
        <v>46.186978729000003</v>
      </c>
      <c r="T1609" s="32">
        <v>28.150462962999999</v>
      </c>
      <c r="V1609" s="32">
        <v>10.944444444</v>
      </c>
      <c r="W1609" s="12">
        <v>0.72809814814999996</v>
      </c>
      <c r="X1609" s="17"/>
      <c r="Y1609" s="32">
        <v>65.618549383000001</v>
      </c>
      <c r="AA1609" s="32">
        <v>1.009280247</v>
      </c>
      <c r="AB1609" s="16">
        <f t="shared" si="9"/>
        <v>10.092802469999999</v>
      </c>
      <c r="AC1609" s="32">
        <v>0</v>
      </c>
      <c r="AD1609" s="16">
        <v>0</v>
      </c>
      <c r="AE1609" s="19">
        <v>1</v>
      </c>
    </row>
    <row r="1610" spans="1:31" x14ac:dyDescent="0.2">
      <c r="A1610" s="19">
        <v>1609</v>
      </c>
      <c r="B1610" s="1">
        <v>2023</v>
      </c>
      <c r="C1610" s="1" t="s">
        <v>88</v>
      </c>
      <c r="D1610" s="28" t="s">
        <v>838</v>
      </c>
      <c r="E1610" s="28" t="s">
        <v>964</v>
      </c>
      <c r="F1610" s="19" t="s">
        <v>32</v>
      </c>
      <c r="H1610" s="28" t="s">
        <v>89</v>
      </c>
      <c r="I1610" s="12">
        <v>3.4924249836215</v>
      </c>
      <c r="J1610" s="29">
        <v>9.9783570959999999</v>
      </c>
      <c r="K1610" s="28" t="s">
        <v>34</v>
      </c>
      <c r="L1610" s="33">
        <v>3411.5987654320002</v>
      </c>
      <c r="M1610" s="30" t="s">
        <v>89</v>
      </c>
      <c r="N1610" s="33">
        <v>11901.530070283001</v>
      </c>
      <c r="O1610" s="31">
        <v>34.354613811</v>
      </c>
      <c r="P1610" s="32">
        <v>7.7795679010000001</v>
      </c>
      <c r="Q1610" s="32">
        <v>46.825000000000003</v>
      </c>
      <c r="R1610" s="32">
        <v>49.956507725999998</v>
      </c>
      <c r="T1610" s="32">
        <v>28.025925925999999</v>
      </c>
      <c r="V1610" s="32">
        <v>12.495555555999999</v>
      </c>
      <c r="W1610" s="12">
        <v>0.73636296295999992</v>
      </c>
      <c r="X1610" s="17"/>
      <c r="Y1610" s="32">
        <v>67.573765432000002</v>
      </c>
      <c r="AA1610" s="32">
        <v>1.3520353439999999</v>
      </c>
      <c r="AB1610" s="16">
        <f t="shared" si="9"/>
        <v>13.520353439999999</v>
      </c>
      <c r="AC1610" s="32">
        <v>0.5</v>
      </c>
      <c r="AD1610" s="16">
        <v>5</v>
      </c>
      <c r="AE1610" s="19">
        <v>1</v>
      </c>
    </row>
    <row r="1611" spans="1:31" x14ac:dyDescent="0.2">
      <c r="A1611" s="19">
        <v>1610</v>
      </c>
      <c r="B1611" s="1">
        <v>2023</v>
      </c>
      <c r="C1611" s="1" t="s">
        <v>88</v>
      </c>
      <c r="D1611" s="28" t="s">
        <v>838</v>
      </c>
      <c r="E1611" s="28" t="s">
        <v>841</v>
      </c>
      <c r="F1611" s="19" t="s">
        <v>32</v>
      </c>
      <c r="H1611" s="28" t="s">
        <v>89</v>
      </c>
      <c r="I1611" s="12">
        <v>4.051437997581</v>
      </c>
      <c r="J1611" s="29">
        <v>11.575537135999999</v>
      </c>
      <c r="K1611" s="28" t="s">
        <v>34</v>
      </c>
      <c r="L1611" s="33">
        <v>3422.265432099</v>
      </c>
      <c r="M1611" s="30" t="s">
        <v>89</v>
      </c>
      <c r="N1611" s="33">
        <v>14114.946608509001</v>
      </c>
      <c r="O1611" s="31">
        <v>32.909462558000001</v>
      </c>
      <c r="P1611" s="32">
        <v>8.1462345680000006</v>
      </c>
      <c r="Q1611" s="32">
        <v>47.031666667000003</v>
      </c>
      <c r="R1611" s="32">
        <v>51.855783162999998</v>
      </c>
      <c r="T1611" s="32">
        <v>27.079259259000001</v>
      </c>
      <c r="V1611" s="32">
        <v>12.622222222</v>
      </c>
      <c r="W1611" s="12">
        <v>0.73702962963000007</v>
      </c>
      <c r="X1611" s="17"/>
      <c r="Y1611" s="32">
        <v>67.613765431999994</v>
      </c>
      <c r="AA1611" s="32">
        <v>1.1851584209999999</v>
      </c>
      <c r="AB1611" s="16">
        <f t="shared" si="9"/>
        <v>11.851584209999999</v>
      </c>
      <c r="AC1611" s="32">
        <v>0.33333333300000001</v>
      </c>
      <c r="AD1611" s="16">
        <v>3.3333333300000003</v>
      </c>
      <c r="AE1611" s="19">
        <v>1</v>
      </c>
    </row>
    <row r="1612" spans="1:31" x14ac:dyDescent="0.2">
      <c r="A1612" s="19">
        <v>1611</v>
      </c>
      <c r="B1612" s="1">
        <v>2023</v>
      </c>
      <c r="C1612" s="1" t="s">
        <v>88</v>
      </c>
      <c r="D1612" s="28" t="s">
        <v>838</v>
      </c>
      <c r="E1612" s="28" t="s">
        <v>843</v>
      </c>
      <c r="F1612" s="19" t="s">
        <v>32</v>
      </c>
      <c r="H1612" s="28" t="s">
        <v>89</v>
      </c>
      <c r="I1612" s="12">
        <v>3.2672059313049999</v>
      </c>
      <c r="J1612" s="29">
        <v>9.3348740889999995</v>
      </c>
      <c r="K1612" s="28" t="s">
        <v>89</v>
      </c>
      <c r="L1612" s="33">
        <v>3401.9320987649999</v>
      </c>
      <c r="M1612" s="30" t="s">
        <v>89</v>
      </c>
      <c r="N1612" s="33">
        <v>11108.605110256</v>
      </c>
      <c r="O1612" s="31">
        <v>32.582472678999999</v>
      </c>
      <c r="P1612" s="32">
        <v>8.4095679010000008</v>
      </c>
      <c r="Q1612" s="32">
        <v>52.058333333</v>
      </c>
      <c r="R1612" s="32">
        <v>57.313355864000002</v>
      </c>
      <c r="T1612" s="32">
        <v>29.869259259</v>
      </c>
      <c r="V1612" s="32">
        <v>10.352222222</v>
      </c>
      <c r="W1612" s="12">
        <v>0.72342962963000002</v>
      </c>
      <c r="X1612" s="17"/>
      <c r="Y1612" s="32">
        <v>68.887098765000005</v>
      </c>
      <c r="AA1612" s="32">
        <v>1.1018782439999999</v>
      </c>
      <c r="AB1612" s="16">
        <f t="shared" si="9"/>
        <v>11.018782439999999</v>
      </c>
      <c r="AC1612" s="32">
        <v>0</v>
      </c>
      <c r="AD1612" s="16">
        <v>0</v>
      </c>
      <c r="AE1612" s="19">
        <v>1</v>
      </c>
    </row>
    <row r="1613" spans="1:31" x14ac:dyDescent="0.2">
      <c r="A1613" s="19">
        <v>1612</v>
      </c>
      <c r="B1613" s="1">
        <v>2023</v>
      </c>
      <c r="C1613" s="1" t="s">
        <v>88</v>
      </c>
      <c r="D1613" s="28" t="s">
        <v>246</v>
      </c>
      <c r="E1613" s="28" t="s">
        <v>513</v>
      </c>
      <c r="F1613" s="19" t="s">
        <v>32</v>
      </c>
      <c r="H1613" s="28" t="s">
        <v>89</v>
      </c>
      <c r="I1613" s="12">
        <v>5.2405601890805</v>
      </c>
      <c r="J1613" s="29">
        <v>14.973029112000001</v>
      </c>
      <c r="K1613" s="28" t="s">
        <v>89</v>
      </c>
      <c r="L1613" s="33">
        <v>2871</v>
      </c>
      <c r="M1613" s="30" t="s">
        <v>89</v>
      </c>
      <c r="N1613" s="33">
        <v>15060.084971519</v>
      </c>
      <c r="O1613" s="31">
        <v>27.265035552000001</v>
      </c>
      <c r="P1613" s="32">
        <v>6.1</v>
      </c>
      <c r="Q1613" s="32">
        <v>59.174999999999997</v>
      </c>
      <c r="R1613" s="32">
        <v>49.806836167999997</v>
      </c>
      <c r="T1613" s="32">
        <v>35.409999999999997</v>
      </c>
      <c r="V1613" s="32">
        <v>9.5299999999999994</v>
      </c>
      <c r="W1613" s="12">
        <v>0.65339999999999998</v>
      </c>
      <c r="X1613" s="17"/>
      <c r="Y1613" s="32">
        <v>60.655000000000001</v>
      </c>
      <c r="AA1613" s="32">
        <v>1.2498735110000001</v>
      </c>
      <c r="AB1613" s="16">
        <f t="shared" si="9"/>
        <v>12.498735110000002</v>
      </c>
      <c r="AC1613" s="32">
        <v>0</v>
      </c>
      <c r="AD1613" s="16">
        <v>0</v>
      </c>
      <c r="AE1613" s="19">
        <v>1</v>
      </c>
    </row>
    <row r="1614" spans="1:31" x14ac:dyDescent="0.2">
      <c r="A1614" s="19">
        <v>1613</v>
      </c>
      <c r="B1614" s="1">
        <v>2023</v>
      </c>
      <c r="C1614" s="1" t="s">
        <v>88</v>
      </c>
      <c r="D1614" s="28" t="s">
        <v>246</v>
      </c>
      <c r="E1614" s="28" t="s">
        <v>965</v>
      </c>
      <c r="F1614" s="19" t="s">
        <v>32</v>
      </c>
      <c r="H1614" s="28" t="s">
        <v>89</v>
      </c>
      <c r="I1614" s="12">
        <v>3.7698498663495004</v>
      </c>
      <c r="J1614" s="29">
        <v>10.770999617999999</v>
      </c>
      <c r="K1614" s="28" t="s">
        <v>89</v>
      </c>
      <c r="L1614" s="33">
        <v>3298.5</v>
      </c>
      <c r="M1614" s="30" t="s">
        <v>89</v>
      </c>
      <c r="N1614" s="33">
        <v>12685.530506237999</v>
      </c>
      <c r="O1614" s="31">
        <v>27.324826915999999</v>
      </c>
      <c r="P1614" s="32">
        <v>7.55</v>
      </c>
      <c r="Q1614" s="32">
        <v>50.85</v>
      </c>
      <c r="R1614" s="32">
        <v>51.617076988000001</v>
      </c>
      <c r="T1614" s="32">
        <v>29.54</v>
      </c>
      <c r="V1614" s="32">
        <v>14.35</v>
      </c>
      <c r="W1614" s="12">
        <v>0.71530000000000005</v>
      </c>
      <c r="X1614" s="17"/>
      <c r="Y1614" s="32">
        <v>66.510000000000005</v>
      </c>
      <c r="AA1614" s="32">
        <v>1.749811104</v>
      </c>
      <c r="AB1614" s="16">
        <f t="shared" si="9"/>
        <v>17.498111039999998</v>
      </c>
      <c r="AC1614" s="32">
        <v>0.25</v>
      </c>
      <c r="AD1614" s="16">
        <v>2.5</v>
      </c>
      <c r="AE1614" s="19">
        <v>1</v>
      </c>
    </row>
    <row r="1615" spans="1:31" x14ac:dyDescent="0.2">
      <c r="A1615" s="19">
        <v>1614</v>
      </c>
      <c r="B1615" s="1">
        <v>2023</v>
      </c>
      <c r="C1615" s="1" t="s">
        <v>88</v>
      </c>
      <c r="D1615" s="28" t="s">
        <v>246</v>
      </c>
      <c r="E1615" s="28" t="s">
        <v>966</v>
      </c>
      <c r="F1615" s="19" t="s">
        <v>32</v>
      </c>
      <c r="H1615" s="28" t="s">
        <v>89</v>
      </c>
      <c r="I1615" s="12">
        <v>4.2347894025265003</v>
      </c>
      <c r="J1615" s="29">
        <v>12.099398293</v>
      </c>
      <c r="K1615" s="28" t="s">
        <v>89</v>
      </c>
      <c r="L1615" s="33">
        <v>3329.8487654320002</v>
      </c>
      <c r="M1615" s="30" t="s">
        <v>89</v>
      </c>
      <c r="N1615" s="33">
        <v>13949.365134563001</v>
      </c>
      <c r="O1615" s="31">
        <v>24.828007455000002</v>
      </c>
      <c r="P1615" s="32">
        <v>8.7729012350000009</v>
      </c>
      <c r="Q1615" s="32">
        <v>51.943333332999998</v>
      </c>
      <c r="R1615" s="32">
        <v>54.056457457</v>
      </c>
      <c r="T1615" s="32">
        <v>30.040925926</v>
      </c>
      <c r="V1615" s="32">
        <v>11.706388888999999</v>
      </c>
      <c r="W1615" s="12">
        <v>0.71709629629999994</v>
      </c>
      <c r="X1615" s="17"/>
      <c r="Y1615" s="32">
        <v>67.299598764999999</v>
      </c>
      <c r="AA1615" s="32">
        <v>1.331060495</v>
      </c>
      <c r="AB1615" s="16">
        <f t="shared" si="9"/>
        <v>13.31060495</v>
      </c>
      <c r="AC1615" s="32">
        <v>0.25</v>
      </c>
      <c r="AD1615" s="16">
        <v>2.5</v>
      </c>
      <c r="AE1615" s="19">
        <v>1</v>
      </c>
    </row>
    <row r="1616" spans="1:31" x14ac:dyDescent="0.2">
      <c r="A1616" s="19">
        <v>1615</v>
      </c>
      <c r="B1616" s="1">
        <v>2023</v>
      </c>
      <c r="C1616" s="1" t="s">
        <v>88</v>
      </c>
      <c r="D1616" s="28" t="s">
        <v>246</v>
      </c>
      <c r="E1616" s="28" t="s">
        <v>967</v>
      </c>
      <c r="F1616" s="19" t="s">
        <v>32</v>
      </c>
      <c r="H1616" s="28" t="s">
        <v>89</v>
      </c>
      <c r="I1616" s="12">
        <v>4.7269449882124999</v>
      </c>
      <c r="J1616" s="29">
        <v>13.505557109</v>
      </c>
      <c r="K1616" s="28" t="s">
        <v>89</v>
      </c>
      <c r="L1616" s="33">
        <v>2999.7993827159999</v>
      </c>
      <c r="M1616" s="30" t="s">
        <v>89</v>
      </c>
      <c r="N1616" s="33">
        <v>14303.649851269</v>
      </c>
      <c r="O1616" s="31">
        <v>34.379770888000003</v>
      </c>
      <c r="P1616" s="32">
        <v>7.0914506169999996</v>
      </c>
      <c r="Q1616" s="32">
        <v>53.541666667000001</v>
      </c>
      <c r="R1616" s="32">
        <v>52.669478728999998</v>
      </c>
      <c r="T1616" s="32">
        <v>31.570462963000001</v>
      </c>
      <c r="V1616" s="32">
        <v>10.086944444</v>
      </c>
      <c r="W1616" s="12">
        <v>0.66812314814999996</v>
      </c>
      <c r="X1616" s="17"/>
      <c r="Y1616" s="32">
        <v>63.098549382999998</v>
      </c>
      <c r="AA1616" s="32">
        <v>1.384280247</v>
      </c>
      <c r="AB1616" s="16">
        <f t="shared" si="9"/>
        <v>13.842802469999999</v>
      </c>
      <c r="AC1616" s="32">
        <v>0</v>
      </c>
      <c r="AD1616" s="16">
        <v>0</v>
      </c>
      <c r="AE1616" s="19">
        <v>1</v>
      </c>
    </row>
    <row r="1617" spans="1:31" x14ac:dyDescent="0.2">
      <c r="A1617" s="19">
        <v>1616</v>
      </c>
      <c r="B1617" s="1">
        <v>2023</v>
      </c>
      <c r="C1617" s="1" t="s">
        <v>88</v>
      </c>
      <c r="D1617" s="28" t="s">
        <v>246</v>
      </c>
      <c r="E1617" s="28" t="s">
        <v>593</v>
      </c>
      <c r="F1617" s="19" t="s">
        <v>32</v>
      </c>
      <c r="H1617" s="28" t="s">
        <v>34</v>
      </c>
      <c r="I1617" s="12">
        <v>5.8039454144359999</v>
      </c>
      <c r="J1617" s="29">
        <v>16.582701184000001</v>
      </c>
      <c r="K1617" s="28" t="s">
        <v>89</v>
      </c>
      <c r="L1617" s="33">
        <v>3227.8487654320002</v>
      </c>
      <c r="M1617" s="30" t="s">
        <v>34</v>
      </c>
      <c r="N1617" s="33">
        <v>18844.467331037999</v>
      </c>
      <c r="O1617" s="31">
        <v>28.265701904</v>
      </c>
      <c r="P1617" s="32">
        <v>8.1479012350000009</v>
      </c>
      <c r="Q1617" s="32">
        <v>51.223333332999999</v>
      </c>
      <c r="R1617" s="32">
        <v>50.088957456999999</v>
      </c>
      <c r="T1617" s="32">
        <v>29.805925926</v>
      </c>
      <c r="V1617" s="32">
        <v>13.471388889</v>
      </c>
      <c r="W1617" s="12">
        <v>0.70759629630000009</v>
      </c>
      <c r="X1617" s="17"/>
      <c r="Y1617" s="32">
        <v>65.149598764999993</v>
      </c>
      <c r="AA1617" s="32">
        <v>1.206060495</v>
      </c>
      <c r="AB1617" s="16">
        <f t="shared" si="9"/>
        <v>12.06060495</v>
      </c>
      <c r="AC1617" s="32">
        <v>0</v>
      </c>
      <c r="AD1617" s="16">
        <v>0</v>
      </c>
      <c r="AE1617" s="19">
        <v>1</v>
      </c>
    </row>
    <row r="1618" spans="1:31" x14ac:dyDescent="0.2">
      <c r="A1618" s="19">
        <v>1617</v>
      </c>
      <c r="B1618" s="1">
        <v>2023</v>
      </c>
      <c r="C1618" s="8" t="s">
        <v>96</v>
      </c>
      <c r="D1618" s="22" t="s">
        <v>931</v>
      </c>
      <c r="E1618" s="1">
        <v>7416</v>
      </c>
      <c r="F1618" s="19" t="s">
        <v>32</v>
      </c>
      <c r="H1618" s="28" t="s">
        <v>34</v>
      </c>
      <c r="I1618" s="12">
        <v>2.9335</v>
      </c>
      <c r="J1618" s="1">
        <v>8.3800000000000008</v>
      </c>
      <c r="L1618" s="16">
        <v>2657</v>
      </c>
      <c r="M1618" s="1" t="s">
        <v>34</v>
      </c>
      <c r="N1618" s="16">
        <v>7777</v>
      </c>
      <c r="O1618" s="15">
        <v>20.9</v>
      </c>
      <c r="P1618" s="15">
        <v>10.8</v>
      </c>
      <c r="Q1618" s="15">
        <v>66.099999999999994</v>
      </c>
      <c r="R1618" s="15">
        <v>57.4</v>
      </c>
      <c r="U1618" s="12">
        <v>1.79</v>
      </c>
      <c r="V1618" s="15">
        <v>6.83</v>
      </c>
      <c r="W1618" s="12">
        <v>0.60699999999999998</v>
      </c>
      <c r="Y1618" s="15">
        <v>60.9</v>
      </c>
      <c r="AA1618" s="15">
        <v>1.6</v>
      </c>
      <c r="AB1618" s="16">
        <v>16</v>
      </c>
      <c r="AC1618" s="32"/>
      <c r="AD1618" s="32"/>
      <c r="AE1618" s="1">
        <v>0</v>
      </c>
    </row>
    <row r="1619" spans="1:31" x14ac:dyDescent="0.2">
      <c r="A1619" s="19">
        <v>1618</v>
      </c>
      <c r="B1619" s="1">
        <v>2023</v>
      </c>
      <c r="C1619" s="8" t="s">
        <v>96</v>
      </c>
      <c r="D1619" s="22" t="s">
        <v>931</v>
      </c>
      <c r="E1619" s="1" t="s">
        <v>970</v>
      </c>
      <c r="F1619" s="19" t="s">
        <v>32</v>
      </c>
      <c r="H1619" s="28" t="s">
        <v>34</v>
      </c>
      <c r="I1619" s="12">
        <v>2.637</v>
      </c>
      <c r="J1619" s="1">
        <v>7.53</v>
      </c>
      <c r="L1619" s="16">
        <v>2784</v>
      </c>
      <c r="M1619" s="1" t="s">
        <v>34</v>
      </c>
      <c r="N1619" s="16">
        <v>7344</v>
      </c>
      <c r="O1619" s="15">
        <v>19.5</v>
      </c>
      <c r="P1619" s="15">
        <v>10.199999999999999</v>
      </c>
      <c r="Q1619" s="15">
        <v>64.400000000000006</v>
      </c>
      <c r="R1619" s="15">
        <v>60.8</v>
      </c>
      <c r="U1619" s="12">
        <v>2.98</v>
      </c>
      <c r="V1619" s="15">
        <v>7.45</v>
      </c>
      <c r="W1619" s="12">
        <v>0.622</v>
      </c>
      <c r="Y1619" s="15">
        <v>63.2</v>
      </c>
      <c r="AA1619" s="15">
        <v>1.1000000000000001</v>
      </c>
      <c r="AB1619" s="16">
        <v>11</v>
      </c>
      <c r="AC1619" s="32"/>
      <c r="AD1619" s="32"/>
      <c r="AE1619" s="1">
        <v>0</v>
      </c>
    </row>
    <row r="1620" spans="1:31" ht="15.75" customHeight="1" x14ac:dyDescent="0.2">
      <c r="A1620" s="19">
        <v>1619</v>
      </c>
      <c r="B1620" s="1">
        <v>2023</v>
      </c>
      <c r="C1620" s="8" t="s">
        <v>96</v>
      </c>
      <c r="D1620" s="22" t="s">
        <v>931</v>
      </c>
      <c r="E1620" s="17" t="s">
        <v>971</v>
      </c>
      <c r="F1620" s="19" t="s">
        <v>32</v>
      </c>
      <c r="G1620" s="17"/>
      <c r="H1620" s="28"/>
      <c r="I1620" s="12">
        <v>1.5075000000000001</v>
      </c>
      <c r="J1620" s="1">
        <v>4.3099999999999996</v>
      </c>
      <c r="K1620" s="17"/>
      <c r="L1620" s="16">
        <v>2816</v>
      </c>
      <c r="M1620" s="17"/>
      <c r="N1620" s="16">
        <v>4243</v>
      </c>
      <c r="O1620" s="15">
        <v>18</v>
      </c>
      <c r="P1620" s="15">
        <v>9.6999999999999993</v>
      </c>
      <c r="Q1620" s="15">
        <v>62.6</v>
      </c>
      <c r="R1620" s="15">
        <v>65.400000000000006</v>
      </c>
      <c r="S1620" s="17"/>
      <c r="T1620" s="17"/>
      <c r="U1620" s="12">
        <v>1.86</v>
      </c>
      <c r="V1620" s="15">
        <v>8.11</v>
      </c>
      <c r="W1620" s="12">
        <v>0.621</v>
      </c>
      <c r="X1620" s="17"/>
      <c r="Y1620" s="15">
        <v>65.2</v>
      </c>
      <c r="Z1620" s="17"/>
      <c r="AA1620" s="15">
        <v>1.3</v>
      </c>
      <c r="AB1620" s="16">
        <v>13</v>
      </c>
      <c r="AC1620" s="32"/>
      <c r="AD1620" s="32"/>
      <c r="AE1620" s="1">
        <v>0</v>
      </c>
    </row>
    <row r="1621" spans="1:31" x14ac:dyDescent="0.2">
      <c r="A1621" s="19">
        <v>1620</v>
      </c>
      <c r="B1621" s="1">
        <v>2023</v>
      </c>
      <c r="C1621" s="8" t="s">
        <v>96</v>
      </c>
      <c r="D1621" s="22" t="s">
        <v>931</v>
      </c>
      <c r="E1621" s="17" t="s">
        <v>972</v>
      </c>
      <c r="F1621" s="19" t="s">
        <v>32</v>
      </c>
      <c r="G1621" s="17"/>
      <c r="H1621" s="28"/>
      <c r="I1621" s="12">
        <v>2.1019999999999999</v>
      </c>
      <c r="J1621" s="1">
        <v>6.01</v>
      </c>
      <c r="K1621" s="17" t="s">
        <v>34</v>
      </c>
      <c r="L1621" s="16">
        <v>2959</v>
      </c>
      <c r="M1621" s="17"/>
      <c r="N1621" s="16">
        <v>6243</v>
      </c>
      <c r="O1621" s="15">
        <v>22.2</v>
      </c>
      <c r="P1621" s="15">
        <v>9.3000000000000007</v>
      </c>
      <c r="Q1621" s="15">
        <v>63.7</v>
      </c>
      <c r="R1621" s="15">
        <v>64.8</v>
      </c>
      <c r="S1621" s="17"/>
      <c r="T1621" s="17"/>
      <c r="U1621" s="12">
        <v>2.68</v>
      </c>
      <c r="V1621" s="15">
        <v>8.67</v>
      </c>
      <c r="W1621" s="12">
        <v>0.64400000000000002</v>
      </c>
      <c r="X1621" s="17"/>
      <c r="Y1621" s="15">
        <v>66.599999999999994</v>
      </c>
      <c r="Z1621" s="17"/>
      <c r="AA1621" s="15">
        <v>1.1000000000000001</v>
      </c>
      <c r="AB1621" s="16">
        <v>11</v>
      </c>
      <c r="AC1621" s="32"/>
      <c r="AD1621" s="32"/>
      <c r="AE1621" s="1">
        <v>0</v>
      </c>
    </row>
    <row r="1622" spans="1:31" x14ac:dyDescent="0.2">
      <c r="A1622" s="19">
        <v>1621</v>
      </c>
      <c r="B1622" s="1">
        <v>2023</v>
      </c>
      <c r="C1622" s="8" t="s">
        <v>96</v>
      </c>
      <c r="D1622" s="1" t="s">
        <v>914</v>
      </c>
      <c r="E1622" s="1" t="s">
        <v>973</v>
      </c>
      <c r="F1622" s="19" t="s">
        <v>32</v>
      </c>
      <c r="H1622" s="28" t="s">
        <v>34</v>
      </c>
      <c r="I1622" s="12">
        <v>2.8174999999999999</v>
      </c>
      <c r="J1622" s="1">
        <v>8.0500000000000007</v>
      </c>
      <c r="L1622" s="16">
        <v>2618</v>
      </c>
      <c r="M1622" s="1" t="s">
        <v>34</v>
      </c>
      <c r="N1622" s="16">
        <v>7467</v>
      </c>
      <c r="O1622" s="15">
        <v>21.7</v>
      </c>
      <c r="P1622" s="15">
        <v>10.3</v>
      </c>
      <c r="Q1622" s="15">
        <v>66.099999999999994</v>
      </c>
      <c r="R1622" s="15">
        <v>57.1</v>
      </c>
      <c r="U1622" s="12">
        <v>2.2599999999999998</v>
      </c>
      <c r="V1622" s="15">
        <v>6.85</v>
      </c>
      <c r="W1622" s="12">
        <v>0.60099999999999998</v>
      </c>
      <c r="Y1622" s="15">
        <v>60.2</v>
      </c>
      <c r="AA1622" s="15">
        <v>1.3</v>
      </c>
      <c r="AB1622" s="16">
        <v>13</v>
      </c>
      <c r="AC1622" s="32"/>
      <c r="AD1622" s="32"/>
      <c r="AE1622" s="1">
        <v>0</v>
      </c>
    </row>
    <row r="1623" spans="1:31" x14ac:dyDescent="0.2">
      <c r="A1623" s="19">
        <v>1622</v>
      </c>
      <c r="B1623" s="1">
        <v>2023</v>
      </c>
      <c r="C1623" s="8" t="s">
        <v>96</v>
      </c>
      <c r="D1623" s="1" t="s">
        <v>914</v>
      </c>
      <c r="E1623" s="1" t="s">
        <v>974</v>
      </c>
      <c r="F1623" s="19" t="s">
        <v>32</v>
      </c>
      <c r="H1623" s="28"/>
      <c r="I1623" s="12">
        <v>1.8480000000000001</v>
      </c>
      <c r="J1623" s="1">
        <v>5.28</v>
      </c>
      <c r="K1623" s="1" t="s">
        <v>34</v>
      </c>
      <c r="L1623" s="16">
        <v>2944</v>
      </c>
      <c r="N1623" s="16">
        <v>5493</v>
      </c>
      <c r="O1623" s="15">
        <v>19.8</v>
      </c>
      <c r="P1623" s="15">
        <v>9.6</v>
      </c>
      <c r="Q1623" s="15">
        <v>65.5</v>
      </c>
      <c r="R1623" s="15">
        <v>64.3</v>
      </c>
      <c r="U1623" s="12">
        <v>2.2200000000000002</v>
      </c>
      <c r="V1623" s="15">
        <v>7.7</v>
      </c>
      <c r="W1623" s="12">
        <v>0.64300000000000002</v>
      </c>
      <c r="Y1623" s="15">
        <v>66.400000000000006</v>
      </c>
      <c r="AA1623" s="15">
        <v>1.3</v>
      </c>
      <c r="AB1623" s="16">
        <v>13</v>
      </c>
      <c r="AC1623" s="32"/>
      <c r="AD1623" s="32"/>
      <c r="AE1623" s="1">
        <v>0</v>
      </c>
    </row>
    <row r="1624" spans="1:31" x14ac:dyDescent="0.2">
      <c r="A1624" s="19">
        <v>1623</v>
      </c>
      <c r="B1624" s="1">
        <v>2023</v>
      </c>
      <c r="C1624" s="8" t="s">
        <v>96</v>
      </c>
      <c r="D1624" s="1" t="s">
        <v>914</v>
      </c>
      <c r="E1624" s="1" t="s">
        <v>975</v>
      </c>
      <c r="F1624" s="19" t="s">
        <v>32</v>
      </c>
      <c r="H1624" s="28"/>
      <c r="I1624" s="12">
        <v>1.738</v>
      </c>
      <c r="J1624" s="1">
        <v>4.97</v>
      </c>
      <c r="L1624" s="16">
        <v>2642</v>
      </c>
      <c r="N1624" s="16">
        <v>4634</v>
      </c>
      <c r="O1624" s="15">
        <v>16.8</v>
      </c>
      <c r="P1624" s="15">
        <v>11</v>
      </c>
      <c r="Q1624" s="15">
        <v>64</v>
      </c>
      <c r="R1624" s="15">
        <v>63.2</v>
      </c>
      <c r="U1624" s="12">
        <v>1.0900000000000001</v>
      </c>
      <c r="V1624" s="15">
        <v>6.06</v>
      </c>
      <c r="W1624" s="12">
        <v>0.59599999999999997</v>
      </c>
      <c r="Y1624" s="15">
        <v>62.6</v>
      </c>
      <c r="AA1624" s="15">
        <v>1.4</v>
      </c>
      <c r="AB1624" s="16">
        <v>14</v>
      </c>
      <c r="AC1624" s="32"/>
      <c r="AD1624" s="32"/>
      <c r="AE1624" s="1">
        <v>0</v>
      </c>
    </row>
    <row r="1625" spans="1:31" x14ac:dyDescent="0.2">
      <c r="A1625" s="19">
        <v>1624</v>
      </c>
      <c r="B1625" s="1">
        <v>2023</v>
      </c>
      <c r="C1625" s="8" t="s">
        <v>96</v>
      </c>
      <c r="D1625" s="1" t="s">
        <v>914</v>
      </c>
      <c r="E1625" s="1" t="s">
        <v>918</v>
      </c>
      <c r="F1625" s="19" t="s">
        <v>32</v>
      </c>
      <c r="H1625" s="28"/>
      <c r="I1625" s="12">
        <v>2.1549999999999998</v>
      </c>
      <c r="J1625" s="1">
        <v>6.16</v>
      </c>
      <c r="L1625" s="16">
        <v>2623</v>
      </c>
      <c r="N1625" s="16">
        <v>5652</v>
      </c>
      <c r="O1625" s="15">
        <v>15.3</v>
      </c>
      <c r="P1625" s="15">
        <v>9.6</v>
      </c>
      <c r="Q1625" s="15">
        <v>67.599999999999994</v>
      </c>
      <c r="R1625" s="15">
        <v>60.3</v>
      </c>
      <c r="U1625" s="12">
        <v>1.75</v>
      </c>
      <c r="V1625" s="15">
        <v>5.67</v>
      </c>
      <c r="W1625" s="12">
        <v>0.59799999999999998</v>
      </c>
      <c r="Y1625" s="15">
        <v>61.5</v>
      </c>
      <c r="AA1625" s="15">
        <v>1.3</v>
      </c>
      <c r="AB1625" s="16">
        <v>13</v>
      </c>
      <c r="AC1625" s="32"/>
      <c r="AD1625" s="32"/>
      <c r="AE1625" s="1">
        <v>0</v>
      </c>
    </row>
    <row r="1626" spans="1:31" x14ac:dyDescent="0.2">
      <c r="A1626" s="19">
        <v>1625</v>
      </c>
      <c r="B1626" s="1">
        <v>2023</v>
      </c>
      <c r="C1626" s="8" t="s">
        <v>96</v>
      </c>
      <c r="D1626" s="1" t="s">
        <v>914</v>
      </c>
      <c r="E1626" s="1" t="s">
        <v>919</v>
      </c>
      <c r="F1626" s="19" t="s">
        <v>32</v>
      </c>
      <c r="H1626" s="28"/>
      <c r="I1626" s="12">
        <v>1.5925</v>
      </c>
      <c r="J1626" s="1">
        <v>4.55</v>
      </c>
      <c r="L1626" s="16">
        <v>2819</v>
      </c>
      <c r="N1626" s="16">
        <v>4511</v>
      </c>
      <c r="O1626" s="15">
        <v>16.100000000000001</v>
      </c>
      <c r="P1626" s="15">
        <v>10.199999999999999</v>
      </c>
      <c r="Q1626" s="15">
        <v>63.2</v>
      </c>
      <c r="R1626" s="15">
        <v>64</v>
      </c>
      <c r="U1626" s="12">
        <v>1.08</v>
      </c>
      <c r="V1626" s="15">
        <v>7.13</v>
      </c>
      <c r="W1626" s="12">
        <v>0.623</v>
      </c>
      <c r="Y1626" s="15">
        <v>64.8</v>
      </c>
      <c r="AA1626" s="15">
        <v>1.3</v>
      </c>
      <c r="AB1626" s="16">
        <v>13</v>
      </c>
      <c r="AC1626" s="32"/>
      <c r="AD1626" s="32"/>
      <c r="AE1626" s="1">
        <v>0</v>
      </c>
    </row>
    <row r="1627" spans="1:31" x14ac:dyDescent="0.2">
      <c r="A1627" s="19">
        <v>1626</v>
      </c>
      <c r="B1627" s="1">
        <v>2023</v>
      </c>
      <c r="C1627" s="8" t="s">
        <v>96</v>
      </c>
      <c r="D1627" s="1" t="s">
        <v>838</v>
      </c>
      <c r="E1627" s="1" t="s">
        <v>976</v>
      </c>
      <c r="F1627" s="19" t="s">
        <v>32</v>
      </c>
      <c r="H1627" s="28"/>
      <c r="I1627" s="12">
        <v>1.657</v>
      </c>
      <c r="J1627" s="1">
        <v>4.7300000000000004</v>
      </c>
      <c r="L1627" s="16">
        <v>2744</v>
      </c>
      <c r="N1627" s="16">
        <v>4569</v>
      </c>
      <c r="O1627" s="15">
        <v>17.8</v>
      </c>
      <c r="P1627" s="15">
        <v>8.6999999999999993</v>
      </c>
      <c r="Q1627" s="15">
        <v>65.3</v>
      </c>
      <c r="R1627" s="15">
        <v>62.3</v>
      </c>
      <c r="U1627" s="12">
        <v>3.04</v>
      </c>
      <c r="V1627" s="15">
        <v>7.75</v>
      </c>
      <c r="W1627" s="12">
        <v>0.61399999999999999</v>
      </c>
      <c r="Y1627" s="15">
        <v>63.4</v>
      </c>
      <c r="AA1627" s="15">
        <v>1.3</v>
      </c>
      <c r="AB1627" s="16">
        <v>13</v>
      </c>
      <c r="AC1627" s="32"/>
      <c r="AD1627" s="32"/>
      <c r="AE1627" s="1">
        <v>0</v>
      </c>
    </row>
    <row r="1628" spans="1:31" x14ac:dyDescent="0.2">
      <c r="A1628" s="19">
        <v>1627</v>
      </c>
      <c r="B1628" s="1">
        <v>2023</v>
      </c>
      <c r="C1628" s="8" t="s">
        <v>96</v>
      </c>
      <c r="D1628" s="1" t="s">
        <v>838</v>
      </c>
      <c r="E1628" s="1" t="s">
        <v>977</v>
      </c>
      <c r="F1628" s="19" t="s">
        <v>32</v>
      </c>
      <c r="H1628" s="28"/>
      <c r="I1628" s="12">
        <v>1.139</v>
      </c>
      <c r="J1628" s="1">
        <v>3.25</v>
      </c>
      <c r="L1628" s="16">
        <v>2882</v>
      </c>
      <c r="N1628" s="16">
        <v>3282</v>
      </c>
      <c r="O1628" s="15">
        <v>16.399999999999999</v>
      </c>
      <c r="P1628" s="15">
        <v>9.3000000000000007</v>
      </c>
      <c r="Q1628" s="15">
        <v>65.3</v>
      </c>
      <c r="R1628" s="15">
        <v>66.900000000000006</v>
      </c>
      <c r="U1628" s="12">
        <v>2.95</v>
      </c>
      <c r="V1628" s="15">
        <v>7.46</v>
      </c>
      <c r="W1628" s="12">
        <v>0.629</v>
      </c>
      <c r="Y1628" s="15">
        <v>66.599999999999994</v>
      </c>
      <c r="AA1628" s="15">
        <v>1.2</v>
      </c>
      <c r="AB1628" s="16">
        <v>12</v>
      </c>
      <c r="AC1628" s="32"/>
      <c r="AD1628" s="32"/>
      <c r="AE1628" s="1">
        <v>0</v>
      </c>
    </row>
    <row r="1629" spans="1:31" x14ac:dyDescent="0.2">
      <c r="A1629" s="19">
        <v>1628</v>
      </c>
      <c r="B1629" s="1">
        <v>2023</v>
      </c>
      <c r="C1629" s="19" t="s">
        <v>31</v>
      </c>
      <c r="D1629" s="19" t="s">
        <v>402</v>
      </c>
      <c r="E1629" s="1" t="s">
        <v>858</v>
      </c>
      <c r="F1629" s="1" t="s">
        <v>83</v>
      </c>
      <c r="G1629" s="1">
        <v>114</v>
      </c>
      <c r="H1629" s="28" t="s">
        <v>34</v>
      </c>
      <c r="I1629" s="12">
        <v>7.0722417823879997</v>
      </c>
      <c r="J1629" s="12">
        <v>20.206405093000001</v>
      </c>
      <c r="K1629" s="1" t="s">
        <v>89</v>
      </c>
      <c r="L1629" s="16">
        <v>2955.5922278910002</v>
      </c>
      <c r="M1629" s="1" t="s">
        <v>89</v>
      </c>
      <c r="N1629" s="16">
        <v>20922.902695987999</v>
      </c>
      <c r="O1629" s="15">
        <v>35.485224035000002</v>
      </c>
      <c r="P1629" s="15">
        <v>8.1260227270000005</v>
      </c>
      <c r="Q1629" s="15">
        <v>39.521136364</v>
      </c>
      <c r="R1629" s="15">
        <v>51.511317769999998</v>
      </c>
      <c r="T1629" s="15">
        <v>21.620568182</v>
      </c>
      <c r="U1629" s="12">
        <v>34.032727272999999</v>
      </c>
      <c r="V1629" s="15">
        <v>8.2735880759999993</v>
      </c>
      <c r="W1629" s="12">
        <v>0.51702840909000003</v>
      </c>
      <c r="Y1629" s="15">
        <v>66.820813909999998</v>
      </c>
      <c r="AA1629" s="15">
        <v>1.0397727269999999</v>
      </c>
      <c r="AB1629" s="16">
        <v>10.397727269999999</v>
      </c>
      <c r="AC1629" s="32"/>
      <c r="AD1629" s="32"/>
      <c r="AE1629" s="19">
        <v>1</v>
      </c>
    </row>
    <row r="1630" spans="1:31" x14ac:dyDescent="0.2">
      <c r="A1630" s="19">
        <v>1629</v>
      </c>
      <c r="B1630" s="1">
        <v>2023</v>
      </c>
      <c r="C1630" s="19" t="s">
        <v>31</v>
      </c>
      <c r="D1630" s="22" t="s">
        <v>931</v>
      </c>
      <c r="E1630" s="1" t="s">
        <v>932</v>
      </c>
      <c r="F1630" s="1" t="s">
        <v>83</v>
      </c>
      <c r="G1630" s="1">
        <v>117</v>
      </c>
      <c r="H1630" s="28" t="s">
        <v>89</v>
      </c>
      <c r="I1630" s="12">
        <v>4.6549302784885001</v>
      </c>
      <c r="J1630" s="12">
        <v>13.299800796</v>
      </c>
      <c r="K1630" s="1" t="s">
        <v>34</v>
      </c>
      <c r="L1630" s="16">
        <v>3195.0922278910002</v>
      </c>
      <c r="M1630" s="1" t="s">
        <v>89</v>
      </c>
      <c r="N1630" s="16">
        <v>14907.874181076</v>
      </c>
      <c r="O1630" s="15">
        <v>30.308360506</v>
      </c>
      <c r="P1630" s="15">
        <v>8.6035227269999996</v>
      </c>
      <c r="Q1630" s="15">
        <v>40.878636364000002</v>
      </c>
      <c r="R1630" s="15">
        <v>64.853817770000006</v>
      </c>
      <c r="T1630" s="15">
        <v>21.588068182000001</v>
      </c>
      <c r="U1630" s="12">
        <v>32.917727272999997</v>
      </c>
      <c r="V1630" s="15">
        <v>7.3785880759999998</v>
      </c>
      <c r="W1630" s="12">
        <v>0.56672840909</v>
      </c>
      <c r="Y1630" s="15">
        <v>71.285813910000002</v>
      </c>
      <c r="AA1630" s="15">
        <v>1.5397727269999999</v>
      </c>
      <c r="AB1630" s="16">
        <v>15.397727269999999</v>
      </c>
      <c r="AC1630" s="32"/>
      <c r="AD1630" s="32"/>
      <c r="AE1630" s="19">
        <v>1</v>
      </c>
    </row>
    <row r="1631" spans="1:31" x14ac:dyDescent="0.2">
      <c r="A1631" s="19">
        <v>1630</v>
      </c>
      <c r="B1631" s="1">
        <v>2023</v>
      </c>
      <c r="C1631" s="19" t="s">
        <v>31</v>
      </c>
      <c r="D1631" s="22" t="s">
        <v>931</v>
      </c>
      <c r="E1631" s="1" t="s">
        <v>933</v>
      </c>
      <c r="F1631" s="1" t="s">
        <v>83</v>
      </c>
      <c r="G1631" s="1">
        <v>119</v>
      </c>
      <c r="H1631" s="28" t="s">
        <v>89</v>
      </c>
      <c r="I1631" s="12">
        <v>4.964344318318</v>
      </c>
      <c r="J1631" s="12">
        <v>14.183840909000001</v>
      </c>
      <c r="K1631" s="1" t="s">
        <v>34</v>
      </c>
      <c r="L1631" s="16">
        <v>3331.0800674080001</v>
      </c>
      <c r="M1631" s="1" t="s">
        <v>89</v>
      </c>
      <c r="N1631" s="16">
        <v>16568.369669643002</v>
      </c>
      <c r="O1631" s="15">
        <v>28.872419627999999</v>
      </c>
      <c r="P1631" s="15">
        <v>8.9360227269999992</v>
      </c>
      <c r="Q1631" s="15">
        <v>43.026136364000003</v>
      </c>
      <c r="R1631" s="15">
        <v>69.883117423000002</v>
      </c>
      <c r="T1631" s="15">
        <v>22.993068181999998</v>
      </c>
      <c r="U1631" s="12">
        <v>28.762727272999999</v>
      </c>
      <c r="V1631" s="15">
        <v>8.3387617879999993</v>
      </c>
      <c r="W1631" s="12">
        <v>0.58547007575999999</v>
      </c>
      <c r="Y1631" s="15">
        <v>73.840410938000005</v>
      </c>
      <c r="AA1631" s="15">
        <v>1.5606060610000001</v>
      </c>
      <c r="AB1631" s="16">
        <v>15.60606061</v>
      </c>
      <c r="AC1631" s="32"/>
      <c r="AD1631" s="32"/>
      <c r="AE1631" s="19">
        <v>1</v>
      </c>
    </row>
    <row r="1632" spans="1:31" x14ac:dyDescent="0.2">
      <c r="A1632" s="19">
        <v>1631</v>
      </c>
      <c r="B1632" s="1">
        <v>2023</v>
      </c>
      <c r="C1632" s="19" t="s">
        <v>31</v>
      </c>
      <c r="D1632" s="1" t="s">
        <v>874</v>
      </c>
      <c r="E1632" s="1" t="s">
        <v>935</v>
      </c>
      <c r="F1632" s="1" t="s">
        <v>83</v>
      </c>
      <c r="G1632" s="1">
        <v>118</v>
      </c>
      <c r="H1632" s="28" t="s">
        <v>89</v>
      </c>
      <c r="I1632" s="12">
        <v>6.4678006873465002</v>
      </c>
      <c r="J1632" s="12">
        <v>18.479430534999999</v>
      </c>
      <c r="K1632" s="1" t="s">
        <v>89</v>
      </c>
      <c r="L1632" s="16">
        <v>2943.018582147</v>
      </c>
      <c r="M1632" s="1" t="s">
        <v>89</v>
      </c>
      <c r="N1632" s="16">
        <v>19074.237959914</v>
      </c>
      <c r="O1632" s="15">
        <v>35.162701691999999</v>
      </c>
      <c r="P1632" s="15">
        <v>7.5753409090000003</v>
      </c>
      <c r="Q1632" s="15">
        <v>40.832045454999999</v>
      </c>
      <c r="R1632" s="15">
        <v>51.798905576000003</v>
      </c>
      <c r="T1632" s="15">
        <v>22.661022726999999</v>
      </c>
      <c r="U1632" s="12">
        <v>34.890909090999997</v>
      </c>
      <c r="V1632" s="15">
        <v>7.1663697370000001</v>
      </c>
      <c r="W1632" s="12">
        <v>0.51610113635999999</v>
      </c>
      <c r="Y1632" s="15">
        <v>66.783201665000007</v>
      </c>
      <c r="AA1632" s="15">
        <v>1.1590909089999999</v>
      </c>
      <c r="AB1632" s="16">
        <v>11.590909089999998</v>
      </c>
      <c r="AC1632" s="32"/>
      <c r="AD1632" s="32"/>
      <c r="AE1632" s="19">
        <v>1</v>
      </c>
    </row>
    <row r="1633" spans="1:31" x14ac:dyDescent="0.2">
      <c r="A1633" s="19">
        <v>1632</v>
      </c>
      <c r="B1633" s="1">
        <v>2023</v>
      </c>
      <c r="C1633" s="19" t="s">
        <v>31</v>
      </c>
      <c r="D1633" s="1" t="s">
        <v>874</v>
      </c>
      <c r="E1633" s="1" t="s">
        <v>936</v>
      </c>
      <c r="F1633" s="1" t="s">
        <v>83</v>
      </c>
      <c r="G1633" s="1">
        <v>119</v>
      </c>
      <c r="H1633" s="28" t="s">
        <v>89</v>
      </c>
      <c r="I1633" s="12">
        <v>6.8262104867645004</v>
      </c>
      <c r="J1633" s="12">
        <v>19.503458534</v>
      </c>
      <c r="K1633" s="1" t="s">
        <v>89</v>
      </c>
      <c r="L1633" s="16">
        <v>2973.0922278910002</v>
      </c>
      <c r="M1633" s="1" t="s">
        <v>89</v>
      </c>
      <c r="N1633" s="16">
        <v>20342.259577736</v>
      </c>
      <c r="O1633" s="15">
        <v>30.234099019999999</v>
      </c>
      <c r="P1633" s="15">
        <v>8.8760227270000005</v>
      </c>
      <c r="Q1633" s="15">
        <v>42.051136364000001</v>
      </c>
      <c r="R1633" s="15">
        <v>54.331317769999998</v>
      </c>
      <c r="T1633" s="15">
        <v>23.195568181999999</v>
      </c>
      <c r="U1633" s="12">
        <v>28.237727273000001</v>
      </c>
      <c r="V1633" s="15">
        <v>8.8235880760000001</v>
      </c>
      <c r="W1633" s="12">
        <v>0.51057840908999996</v>
      </c>
      <c r="Y1633" s="15">
        <v>67.315813910000003</v>
      </c>
      <c r="AA1633" s="15">
        <v>0.97727272700000001</v>
      </c>
      <c r="AB1633" s="16">
        <v>9.7727272700000007</v>
      </c>
      <c r="AC1633" s="32"/>
      <c r="AD1633" s="32"/>
      <c r="AE1633" s="19">
        <v>1</v>
      </c>
    </row>
    <row r="1634" spans="1:31" x14ac:dyDescent="0.2">
      <c r="A1634" s="19">
        <v>1633</v>
      </c>
      <c r="B1634" s="1">
        <v>2023</v>
      </c>
      <c r="C1634" s="19" t="s">
        <v>31</v>
      </c>
      <c r="D1634" s="1" t="s">
        <v>874</v>
      </c>
      <c r="E1634" s="1" t="s">
        <v>978</v>
      </c>
      <c r="F1634" s="1" t="s">
        <v>83</v>
      </c>
      <c r="G1634" s="1">
        <v>118</v>
      </c>
      <c r="H1634" s="28" t="s">
        <v>89</v>
      </c>
      <c r="I1634" s="12">
        <v>5.2445039039085009</v>
      </c>
      <c r="J1634" s="12">
        <v>14.984296867999999</v>
      </c>
      <c r="K1634" s="1" t="s">
        <v>89</v>
      </c>
      <c r="L1634" s="16">
        <v>3038.2961139459999</v>
      </c>
      <c r="M1634" s="1" t="s">
        <v>89</v>
      </c>
      <c r="N1634" s="16">
        <v>15951.865560406</v>
      </c>
      <c r="O1634" s="15">
        <v>35.732902011999997</v>
      </c>
      <c r="P1634" s="15">
        <v>8.470511364</v>
      </c>
      <c r="Q1634" s="15">
        <v>39.123068181999997</v>
      </c>
      <c r="R1634" s="15">
        <v>55.570658885</v>
      </c>
      <c r="T1634" s="15">
        <v>21.346534090999999</v>
      </c>
      <c r="U1634" s="12">
        <v>35.121363635999998</v>
      </c>
      <c r="V1634" s="15">
        <v>6.7292940379999999</v>
      </c>
      <c r="W1634" s="12">
        <v>0.53790170454999997</v>
      </c>
      <c r="Y1634" s="15">
        <v>68.275406954999994</v>
      </c>
      <c r="AA1634" s="15">
        <v>1.051136364</v>
      </c>
      <c r="AB1634" s="16">
        <v>10.511363639999999</v>
      </c>
      <c r="AC1634" s="32"/>
      <c r="AD1634" s="32"/>
      <c r="AE1634" s="19">
        <v>1</v>
      </c>
    </row>
    <row r="1635" spans="1:31" x14ac:dyDescent="0.2">
      <c r="A1635" s="19">
        <v>1634</v>
      </c>
      <c r="B1635" s="1">
        <v>2023</v>
      </c>
      <c r="C1635" s="19" t="s">
        <v>31</v>
      </c>
      <c r="D1635" s="8" t="s">
        <v>1024</v>
      </c>
      <c r="E1635" s="1" t="s">
        <v>941</v>
      </c>
      <c r="F1635" s="1" t="s">
        <v>83</v>
      </c>
      <c r="G1635" s="1">
        <v>118</v>
      </c>
      <c r="H1635" s="28" t="s">
        <v>89</v>
      </c>
      <c r="I1635" s="12">
        <v>5.9586182056690005</v>
      </c>
      <c r="J1635" s="12">
        <v>17.024623445</v>
      </c>
      <c r="K1635" s="1" t="s">
        <v>89</v>
      </c>
      <c r="L1635" s="16">
        <v>3094</v>
      </c>
      <c r="M1635" s="1" t="s">
        <v>89</v>
      </c>
      <c r="N1635" s="16">
        <v>18509.327232743999</v>
      </c>
      <c r="O1635" s="15">
        <v>30.809202167999999</v>
      </c>
      <c r="P1635" s="15">
        <v>8.0885227270000009</v>
      </c>
      <c r="Q1635" s="15">
        <v>43.121136364000002</v>
      </c>
      <c r="R1635" s="15">
        <v>59.228817769999999</v>
      </c>
      <c r="T1635" s="15">
        <v>24.110568182000002</v>
      </c>
      <c r="U1635" s="12">
        <v>29.320227273</v>
      </c>
      <c r="V1635" s="15">
        <v>8.5310880759999996</v>
      </c>
      <c r="W1635" s="12">
        <v>0.53450340908999994</v>
      </c>
      <c r="Y1635" s="15">
        <v>69.460813909999999</v>
      </c>
      <c r="AA1635" s="15">
        <v>1.1022727269999999</v>
      </c>
      <c r="AB1635" s="16">
        <v>11.022727269999999</v>
      </c>
      <c r="AC1635" s="32"/>
      <c r="AD1635" s="32"/>
      <c r="AE1635" s="19">
        <v>1</v>
      </c>
    </row>
    <row r="1636" spans="1:31" x14ac:dyDescent="0.2">
      <c r="A1636" s="19">
        <v>1635</v>
      </c>
      <c r="B1636" s="1">
        <v>2023</v>
      </c>
      <c r="C1636" s="19" t="s">
        <v>31</v>
      </c>
      <c r="D1636" s="8" t="s">
        <v>1024</v>
      </c>
      <c r="E1636" s="1" t="s">
        <v>937</v>
      </c>
      <c r="F1636" s="1" t="s">
        <v>83</v>
      </c>
      <c r="G1636" s="1">
        <v>115</v>
      </c>
      <c r="H1636" s="28" t="s">
        <v>89</v>
      </c>
      <c r="I1636" s="12">
        <v>6.326544480291</v>
      </c>
      <c r="J1636" s="12">
        <v>18.075841371999999</v>
      </c>
      <c r="K1636" s="1" t="s">
        <v>89</v>
      </c>
      <c r="L1636" s="16">
        <v>3093.8422278910002</v>
      </c>
      <c r="M1636" s="1" t="s">
        <v>89</v>
      </c>
      <c r="N1636" s="16">
        <v>19587.45362679</v>
      </c>
      <c r="O1636" s="15">
        <v>35.390863533000001</v>
      </c>
      <c r="P1636" s="15">
        <v>7.8010227270000003</v>
      </c>
      <c r="Q1636" s="15">
        <v>42.568636364</v>
      </c>
      <c r="R1636" s="15">
        <v>56.923817769999999</v>
      </c>
      <c r="T1636" s="15">
        <v>22.515568181999999</v>
      </c>
      <c r="U1636" s="12">
        <v>30.787727273000002</v>
      </c>
      <c r="V1636" s="15">
        <v>8.6435880760000003</v>
      </c>
      <c r="W1636" s="12">
        <v>0.53505340908999999</v>
      </c>
      <c r="Y1636" s="15">
        <v>69.243313909999998</v>
      </c>
      <c r="AA1636" s="15">
        <v>0.97727272700000001</v>
      </c>
      <c r="AB1636" s="16">
        <v>9.7727272700000007</v>
      </c>
      <c r="AC1636" s="32"/>
      <c r="AD1636" s="32"/>
      <c r="AE1636" s="19">
        <v>1</v>
      </c>
    </row>
    <row r="1637" spans="1:31" x14ac:dyDescent="0.2">
      <c r="A1637" s="19">
        <v>1636</v>
      </c>
      <c r="B1637" s="1">
        <v>2023</v>
      </c>
      <c r="C1637" s="19" t="s">
        <v>31</v>
      </c>
      <c r="D1637" s="8" t="s">
        <v>1024</v>
      </c>
      <c r="E1637" s="1" t="s">
        <v>938</v>
      </c>
      <c r="F1637" s="1" t="s">
        <v>83</v>
      </c>
      <c r="G1637" s="1">
        <v>116</v>
      </c>
      <c r="H1637" s="28" t="s">
        <v>89</v>
      </c>
      <c r="I1637" s="12">
        <v>6.2809999999999997</v>
      </c>
      <c r="J1637" s="12">
        <v>17.945520265999999</v>
      </c>
      <c r="K1637" s="1" t="s">
        <v>89</v>
      </c>
      <c r="L1637" s="16">
        <v>3067.3422278910002</v>
      </c>
      <c r="M1637" s="1" t="s">
        <v>89</v>
      </c>
      <c r="N1637" s="16">
        <v>19260.635318296001</v>
      </c>
      <c r="O1637" s="15">
        <v>33.206369436000003</v>
      </c>
      <c r="P1637" s="15">
        <v>8.3885227269999998</v>
      </c>
      <c r="Q1637" s="15">
        <v>37.396136364</v>
      </c>
      <c r="R1637" s="15">
        <v>54.926317769999997</v>
      </c>
      <c r="T1637" s="15">
        <v>20.228068182000001</v>
      </c>
      <c r="U1637" s="12">
        <v>35.102727272999999</v>
      </c>
      <c r="V1637" s="15">
        <v>7.4060880759999996</v>
      </c>
      <c r="W1637" s="12">
        <v>0.54125340908999997</v>
      </c>
      <c r="Y1637" s="15">
        <v>68.558313909999995</v>
      </c>
      <c r="AA1637" s="15">
        <v>1.1022727269999999</v>
      </c>
      <c r="AB1637" s="16">
        <v>11.022727269999999</v>
      </c>
      <c r="AC1637" s="32"/>
      <c r="AD1637" s="32"/>
      <c r="AE1637" s="19">
        <v>1</v>
      </c>
    </row>
    <row r="1638" spans="1:31" x14ac:dyDescent="0.2">
      <c r="A1638" s="19">
        <v>1637</v>
      </c>
      <c r="B1638" s="1">
        <v>2023</v>
      </c>
      <c r="C1638" s="19" t="s">
        <v>31</v>
      </c>
      <c r="D1638" s="8" t="s">
        <v>1024</v>
      </c>
      <c r="E1638" s="1" t="s">
        <v>939</v>
      </c>
      <c r="F1638" s="1" t="s">
        <v>83</v>
      </c>
      <c r="G1638" s="1">
        <v>117</v>
      </c>
      <c r="H1638" s="28" t="s">
        <v>89</v>
      </c>
      <c r="I1638" s="12">
        <v>6.3393412882035003</v>
      </c>
      <c r="J1638" s="12">
        <v>18.112403681</v>
      </c>
      <c r="K1638" s="1" t="s">
        <v>89</v>
      </c>
      <c r="L1638" s="16">
        <v>2979.0922278910002</v>
      </c>
      <c r="M1638" s="1" t="s">
        <v>89</v>
      </c>
      <c r="N1638" s="16">
        <v>18946.793395722001</v>
      </c>
      <c r="O1638" s="15">
        <v>31.005724331</v>
      </c>
      <c r="P1638" s="15">
        <v>8.378522727</v>
      </c>
      <c r="Q1638" s="15">
        <v>42.981136364000001</v>
      </c>
      <c r="R1638" s="15">
        <v>55.611317769999999</v>
      </c>
      <c r="T1638" s="15">
        <v>23.933068182</v>
      </c>
      <c r="U1638" s="12">
        <v>27.575227272999999</v>
      </c>
      <c r="V1638" s="15">
        <v>9.0060880759999993</v>
      </c>
      <c r="W1638" s="12">
        <v>0.51627840909</v>
      </c>
      <c r="Y1638" s="15">
        <v>67.683313909999995</v>
      </c>
      <c r="AA1638" s="15">
        <v>1.0397727269999999</v>
      </c>
      <c r="AB1638" s="16">
        <v>10.397727269999999</v>
      </c>
      <c r="AC1638" s="32"/>
      <c r="AD1638" s="32"/>
      <c r="AE1638" s="19">
        <v>1</v>
      </c>
    </row>
    <row r="1639" spans="1:31" x14ac:dyDescent="0.2">
      <c r="A1639" s="19">
        <v>1638</v>
      </c>
      <c r="B1639" s="1">
        <v>2023</v>
      </c>
      <c r="C1639" s="19" t="s">
        <v>31</v>
      </c>
      <c r="D1639" s="8" t="s">
        <v>1024</v>
      </c>
      <c r="E1639" s="1" t="s">
        <v>940</v>
      </c>
      <c r="F1639" s="1" t="s">
        <v>83</v>
      </c>
      <c r="G1639" s="1">
        <v>117</v>
      </c>
      <c r="H1639" s="28" t="s">
        <v>89</v>
      </c>
      <c r="I1639" s="12">
        <v>5.9047229171420001</v>
      </c>
      <c r="J1639" s="12">
        <v>16.870636906000001</v>
      </c>
      <c r="K1639" s="1" t="s">
        <v>89</v>
      </c>
      <c r="L1639" s="16">
        <v>3051.7961139459999</v>
      </c>
      <c r="M1639" s="1" t="s">
        <v>89</v>
      </c>
      <c r="N1639" s="16">
        <v>18031.493247759001</v>
      </c>
      <c r="O1639" s="15">
        <v>34.892869912999998</v>
      </c>
      <c r="P1639" s="15">
        <v>8.3930113639999995</v>
      </c>
      <c r="Q1639" s="15">
        <v>41.438068182000002</v>
      </c>
      <c r="R1639" s="15">
        <v>57.290658884999999</v>
      </c>
      <c r="T1639" s="15">
        <v>21.974034091</v>
      </c>
      <c r="U1639" s="12">
        <v>31.241363635999999</v>
      </c>
      <c r="V1639" s="15">
        <v>7.644294038</v>
      </c>
      <c r="W1639" s="12">
        <v>0.53180170454999998</v>
      </c>
      <c r="Y1639" s="15">
        <v>68.677906954999997</v>
      </c>
      <c r="AA1639" s="15">
        <v>1.238636364</v>
      </c>
      <c r="AB1639" s="16">
        <v>12.386363639999999</v>
      </c>
      <c r="AC1639" s="32"/>
      <c r="AD1639" s="32"/>
      <c r="AE1639" s="19">
        <v>1</v>
      </c>
    </row>
    <row r="1640" spans="1:31" x14ac:dyDescent="0.2">
      <c r="A1640" s="19">
        <v>1639</v>
      </c>
      <c r="B1640" s="1">
        <v>2023</v>
      </c>
      <c r="C1640" s="19" t="s">
        <v>31</v>
      </c>
      <c r="D1640" s="8" t="s">
        <v>1024</v>
      </c>
      <c r="E1640" s="1" t="s">
        <v>942</v>
      </c>
      <c r="F1640" s="1" t="s">
        <v>83</v>
      </c>
      <c r="G1640" s="1">
        <v>118</v>
      </c>
      <c r="H1640" s="28" t="s">
        <v>89</v>
      </c>
      <c r="I1640" s="12">
        <v>5.5663973199840004</v>
      </c>
      <c r="J1640" s="12">
        <v>15.903992343000001</v>
      </c>
      <c r="K1640" s="1" t="s">
        <v>89</v>
      </c>
      <c r="L1640" s="16">
        <v>2980.5461139459999</v>
      </c>
      <c r="M1640" s="1" t="s">
        <v>89</v>
      </c>
      <c r="N1640" s="16">
        <v>16611.344626876002</v>
      </c>
      <c r="O1640" s="15">
        <v>33.853533933999998</v>
      </c>
      <c r="P1640" s="15">
        <v>8.3630113640000001</v>
      </c>
      <c r="Q1640" s="15">
        <v>41.365568181999997</v>
      </c>
      <c r="R1640" s="15">
        <v>53.795658885000002</v>
      </c>
      <c r="T1640" s="15">
        <v>22.976534091000001</v>
      </c>
      <c r="U1640" s="12">
        <v>31.498863635999999</v>
      </c>
      <c r="V1640" s="15">
        <v>8.0917940379999997</v>
      </c>
      <c r="W1640" s="12">
        <v>0.51707670454999999</v>
      </c>
      <c r="Y1640" s="15">
        <v>67.382906954999996</v>
      </c>
      <c r="AA1640" s="15">
        <v>1.238636364</v>
      </c>
      <c r="AB1640" s="16">
        <v>12.386363639999999</v>
      </c>
      <c r="AC1640" s="32"/>
      <c r="AD1640" s="32"/>
      <c r="AE1640" s="19">
        <v>1</v>
      </c>
    </row>
    <row r="1641" spans="1:31" x14ac:dyDescent="0.2">
      <c r="A1641" s="19">
        <v>1640</v>
      </c>
      <c r="B1641" s="1">
        <v>2023</v>
      </c>
      <c r="C1641" s="19" t="s">
        <v>31</v>
      </c>
      <c r="D1641" s="8" t="s">
        <v>1024</v>
      </c>
      <c r="E1641" s="1" t="s">
        <v>943</v>
      </c>
      <c r="F1641" s="1" t="s">
        <v>83</v>
      </c>
      <c r="G1641" s="1">
        <v>119</v>
      </c>
      <c r="H1641" s="28" t="s">
        <v>89</v>
      </c>
      <c r="I1641" s="12">
        <v>6.2839922543700002</v>
      </c>
      <c r="J1641" s="12">
        <v>17.954263584</v>
      </c>
      <c r="K1641" s="1" t="s">
        <v>89</v>
      </c>
      <c r="L1641" s="16">
        <v>3141.0461139459999</v>
      </c>
      <c r="M1641" s="1" t="s">
        <v>89</v>
      </c>
      <c r="N1641" s="16">
        <v>19748.137009739999</v>
      </c>
      <c r="O1641" s="15">
        <v>35.222911445000001</v>
      </c>
      <c r="P1641" s="15">
        <v>7.8380113639999998</v>
      </c>
      <c r="Q1641" s="15">
        <v>38.870568182</v>
      </c>
      <c r="R1641" s="15">
        <v>57.260658884999998</v>
      </c>
      <c r="T1641" s="15">
        <v>20.726534091000001</v>
      </c>
      <c r="U1641" s="12">
        <v>34.883863636000001</v>
      </c>
      <c r="V1641" s="15">
        <v>7.6567940380000001</v>
      </c>
      <c r="W1641" s="12">
        <v>0.55170170455</v>
      </c>
      <c r="Y1641" s="15">
        <v>69.682906955000007</v>
      </c>
      <c r="AA1641" s="15">
        <v>1.176136364</v>
      </c>
      <c r="AB1641" s="16">
        <v>11.761363639999999</v>
      </c>
      <c r="AC1641" s="32"/>
      <c r="AD1641" s="32"/>
      <c r="AE1641" s="19">
        <v>1</v>
      </c>
    </row>
    <row r="1642" spans="1:31" x14ac:dyDescent="0.2">
      <c r="A1642" s="19">
        <v>1641</v>
      </c>
      <c r="B1642" s="1">
        <v>2023</v>
      </c>
      <c r="C1642" s="19" t="s">
        <v>31</v>
      </c>
      <c r="D1642" s="1" t="s">
        <v>37</v>
      </c>
      <c r="E1642" s="1" t="s">
        <v>979</v>
      </c>
      <c r="F1642" s="1" t="s">
        <v>83</v>
      </c>
      <c r="G1642" s="1">
        <v>130</v>
      </c>
      <c r="H1642" s="28" t="s">
        <v>89</v>
      </c>
      <c r="I1642" s="12">
        <v>6.6596936636099997</v>
      </c>
      <c r="J1642" s="12">
        <v>19.027696182</v>
      </c>
      <c r="K1642" s="1" t="s">
        <v>34</v>
      </c>
      <c r="L1642" s="16">
        <v>3184.0922278910002</v>
      </c>
      <c r="M1642" s="1" t="s">
        <v>89</v>
      </c>
      <c r="N1642" s="16">
        <v>21277.526317061001</v>
      </c>
      <c r="O1642" s="15">
        <v>29.848326919000002</v>
      </c>
      <c r="P1642" s="15">
        <v>8.5460227270000004</v>
      </c>
      <c r="Q1642" s="15">
        <v>45.128636364000002</v>
      </c>
      <c r="R1642" s="15">
        <v>62.878817769999998</v>
      </c>
      <c r="T1642" s="15">
        <v>24.140568181999999</v>
      </c>
      <c r="U1642" s="12">
        <v>26.040227272999999</v>
      </c>
      <c r="V1642" s="15">
        <v>8.993588076</v>
      </c>
      <c r="W1642" s="12">
        <v>0.54815340908999999</v>
      </c>
      <c r="Y1642" s="15">
        <v>71.183313909999995</v>
      </c>
      <c r="AA1642" s="15">
        <v>0.97727272700000001</v>
      </c>
      <c r="AB1642" s="16">
        <v>9.7727272700000007</v>
      </c>
      <c r="AC1642" s="32"/>
      <c r="AD1642" s="32"/>
      <c r="AE1642" s="19">
        <v>1</v>
      </c>
    </row>
    <row r="1643" spans="1:31" x14ac:dyDescent="0.2">
      <c r="A1643" s="19">
        <v>1642</v>
      </c>
      <c r="B1643" s="1">
        <v>2023</v>
      </c>
      <c r="C1643" s="19" t="s">
        <v>31</v>
      </c>
      <c r="D1643" s="19" t="s">
        <v>900</v>
      </c>
      <c r="E1643" s="1" t="s">
        <v>946</v>
      </c>
      <c r="F1643" s="1" t="s">
        <v>83</v>
      </c>
      <c r="G1643" s="1">
        <v>115</v>
      </c>
      <c r="H1643" s="28" t="s">
        <v>89</v>
      </c>
      <c r="I1643" s="12">
        <v>6.5453066827230009</v>
      </c>
      <c r="J1643" s="12">
        <v>18.700876235999999</v>
      </c>
      <c r="K1643" s="1" t="s">
        <v>89</v>
      </c>
      <c r="L1643" s="16">
        <v>3030.3422278910002</v>
      </c>
      <c r="M1643" s="1" t="s">
        <v>89</v>
      </c>
      <c r="N1643" s="16">
        <v>19847.882237578</v>
      </c>
      <c r="O1643" s="15">
        <v>36.945610008999999</v>
      </c>
      <c r="P1643" s="15">
        <v>7.2685227269999997</v>
      </c>
      <c r="Q1643" s="15">
        <v>36.678636363999999</v>
      </c>
      <c r="R1643" s="15">
        <v>55.311317770000002</v>
      </c>
      <c r="T1643" s="15">
        <v>19.453068181999999</v>
      </c>
      <c r="U1643" s="12">
        <v>41.187727273</v>
      </c>
      <c r="V1643" s="15">
        <v>6.3185880760000002</v>
      </c>
      <c r="W1643" s="12">
        <v>0.54742840909000001</v>
      </c>
      <c r="Y1643" s="15">
        <v>68.058313909999995</v>
      </c>
      <c r="AA1643" s="15">
        <v>0.97727272700000001</v>
      </c>
      <c r="AB1643" s="16">
        <v>9.7727272700000007</v>
      </c>
      <c r="AC1643" s="32"/>
      <c r="AD1643" s="32"/>
      <c r="AE1643" s="19">
        <v>1</v>
      </c>
    </row>
    <row r="1644" spans="1:31" x14ac:dyDescent="0.2">
      <c r="A1644" s="19">
        <v>1643</v>
      </c>
      <c r="B1644" s="1">
        <v>2023</v>
      </c>
      <c r="C1644" s="19" t="s">
        <v>31</v>
      </c>
      <c r="D1644" s="19" t="s">
        <v>900</v>
      </c>
      <c r="E1644" s="1" t="s">
        <v>947</v>
      </c>
      <c r="F1644" s="1" t="s">
        <v>83</v>
      </c>
      <c r="G1644" s="1">
        <v>118</v>
      </c>
      <c r="H1644" s="28" t="s">
        <v>89</v>
      </c>
      <c r="I1644" s="12">
        <v>6.6496993054790003</v>
      </c>
      <c r="J1644" s="12">
        <v>18.999140873000002</v>
      </c>
      <c r="K1644" s="1" t="s">
        <v>89</v>
      </c>
      <c r="L1644" s="16">
        <v>3128.5922278910002</v>
      </c>
      <c r="M1644" s="1" t="s">
        <v>89</v>
      </c>
      <c r="N1644" s="16">
        <v>20829.880961905001</v>
      </c>
      <c r="O1644" s="15">
        <v>33.532697579999997</v>
      </c>
      <c r="P1644" s="15">
        <v>8.1085227270000004</v>
      </c>
      <c r="Q1644" s="15">
        <v>39.386136364000002</v>
      </c>
      <c r="R1644" s="15">
        <v>59.616317770000002</v>
      </c>
      <c r="T1644" s="15">
        <v>21.968068182</v>
      </c>
      <c r="U1644" s="12">
        <v>35.340227273000004</v>
      </c>
      <c r="V1644" s="15">
        <v>6.8035880759999996</v>
      </c>
      <c r="W1644" s="12">
        <v>0.55437840909000002</v>
      </c>
      <c r="Y1644" s="15">
        <v>69.780813910000006</v>
      </c>
      <c r="AA1644" s="15">
        <v>1.2272727269999999</v>
      </c>
      <c r="AB1644" s="16">
        <v>12.272727269999999</v>
      </c>
      <c r="AC1644" s="32"/>
      <c r="AD1644" s="32"/>
      <c r="AE1644" s="19">
        <v>1</v>
      </c>
    </row>
    <row r="1645" spans="1:31" x14ac:dyDescent="0.2">
      <c r="A1645" s="19">
        <v>1644</v>
      </c>
      <c r="B1645" s="1">
        <v>2023</v>
      </c>
      <c r="C1645" s="19" t="s">
        <v>31</v>
      </c>
      <c r="D1645" s="1" t="s">
        <v>917</v>
      </c>
      <c r="E1645" s="1" t="s">
        <v>953</v>
      </c>
      <c r="F1645" s="1" t="s">
        <v>83</v>
      </c>
      <c r="G1645" s="1">
        <v>118</v>
      </c>
      <c r="H1645" s="28" t="s">
        <v>89</v>
      </c>
      <c r="I1645" s="12">
        <v>6.8387951125014999</v>
      </c>
      <c r="J1645" s="12">
        <v>19.539414607000001</v>
      </c>
      <c r="K1645" s="1" t="s">
        <v>89</v>
      </c>
      <c r="L1645" s="16">
        <v>2963.0800674080001</v>
      </c>
      <c r="M1645" s="1" t="s">
        <v>89</v>
      </c>
      <c r="N1645" s="16">
        <v>20280.406978257</v>
      </c>
      <c r="O1645" s="15">
        <v>34.009686733000002</v>
      </c>
      <c r="P1645" s="15">
        <v>7.719356061</v>
      </c>
      <c r="Q1645" s="15">
        <v>44.176136364000001</v>
      </c>
      <c r="R1645" s="15">
        <v>56.113117422999998</v>
      </c>
      <c r="T1645" s="15">
        <v>25.266401514999998</v>
      </c>
      <c r="U1645" s="12">
        <v>31.532727272999999</v>
      </c>
      <c r="V1645" s="15">
        <v>7.1354284549999996</v>
      </c>
      <c r="W1645" s="12">
        <v>0.51603674241999997</v>
      </c>
      <c r="Y1645" s="15">
        <v>67.543744270999994</v>
      </c>
      <c r="AA1645" s="15">
        <v>1.2272727269999999</v>
      </c>
      <c r="AB1645" s="16">
        <v>12.272727269999999</v>
      </c>
      <c r="AC1645" s="32"/>
      <c r="AD1645" s="32"/>
      <c r="AE1645" s="19">
        <v>1</v>
      </c>
    </row>
    <row r="1646" spans="1:31" x14ac:dyDescent="0.2">
      <c r="A1646" s="19">
        <v>1645</v>
      </c>
      <c r="B1646" s="1">
        <v>2023</v>
      </c>
      <c r="C1646" s="19" t="s">
        <v>31</v>
      </c>
      <c r="D1646" s="1" t="s">
        <v>108</v>
      </c>
      <c r="E1646" s="1" t="s">
        <v>781</v>
      </c>
      <c r="F1646" s="1" t="s">
        <v>83</v>
      </c>
      <c r="G1646" s="1">
        <v>117</v>
      </c>
      <c r="H1646" s="28" t="s">
        <v>34</v>
      </c>
      <c r="I1646" s="12">
        <v>7.1351662471765005</v>
      </c>
      <c r="J1646" s="12">
        <v>20.386189278</v>
      </c>
      <c r="K1646" s="1" t="s">
        <v>89</v>
      </c>
      <c r="L1646" s="16">
        <v>3070.5922278910002</v>
      </c>
      <c r="M1646" s="1" t="s">
        <v>34</v>
      </c>
      <c r="N1646" s="16">
        <v>21953.493609621</v>
      </c>
      <c r="O1646" s="15">
        <v>31.473632292000001</v>
      </c>
      <c r="P1646" s="15">
        <v>8.9235227269999999</v>
      </c>
      <c r="Q1646" s="15">
        <v>41.158636364000003</v>
      </c>
      <c r="R1646" s="15">
        <v>58.32131777</v>
      </c>
      <c r="T1646" s="15">
        <v>22.298068182000002</v>
      </c>
      <c r="U1646" s="12">
        <v>30.482727272999998</v>
      </c>
      <c r="V1646" s="15">
        <v>7.9960880760000004</v>
      </c>
      <c r="W1646" s="12">
        <v>0.53532840909000001</v>
      </c>
      <c r="Y1646" s="15">
        <v>69.000813910000005</v>
      </c>
      <c r="AA1646" s="15">
        <v>1.1022727269999999</v>
      </c>
      <c r="AB1646" s="16">
        <v>11.022727269999999</v>
      </c>
      <c r="AC1646" s="32"/>
      <c r="AD1646" s="32"/>
      <c r="AE1646" s="19">
        <v>1</v>
      </c>
    </row>
    <row r="1647" spans="1:31" x14ac:dyDescent="0.2">
      <c r="A1647" s="19">
        <v>1646</v>
      </c>
      <c r="B1647" s="1">
        <v>2023</v>
      </c>
      <c r="C1647" s="1" t="s">
        <v>88</v>
      </c>
      <c r="D1647" s="22" t="s">
        <v>931</v>
      </c>
      <c r="E1647" s="1" t="s">
        <v>921</v>
      </c>
      <c r="F1647" s="1" t="s">
        <v>83</v>
      </c>
      <c r="H1647" s="28" t="s">
        <v>89</v>
      </c>
      <c r="I1647" s="12">
        <v>8.3949584354864992</v>
      </c>
      <c r="J1647" s="12">
        <v>23.985595530000001</v>
      </c>
      <c r="K1647" s="1" t="s">
        <v>89</v>
      </c>
      <c r="L1647" s="16">
        <v>3282.8732306840002</v>
      </c>
      <c r="M1647" s="1" t="s">
        <v>89</v>
      </c>
      <c r="N1647" s="16">
        <v>28098.913037294002</v>
      </c>
      <c r="O1647" s="15">
        <v>27.644911499999999</v>
      </c>
      <c r="P1647" s="15">
        <v>9.6655080239999993</v>
      </c>
      <c r="Q1647" s="15">
        <v>44.823166667000002</v>
      </c>
      <c r="R1647" s="15">
        <v>50.065670638</v>
      </c>
      <c r="T1647" s="15"/>
      <c r="U1647" s="12"/>
      <c r="V1647" s="15">
        <v>12.276547022000001</v>
      </c>
      <c r="W1647" s="12">
        <v>0.71791166666999995</v>
      </c>
      <c r="Y1647" s="15">
        <v>65.882943041999994</v>
      </c>
      <c r="AA1647" s="15">
        <v>1.3374999999999999</v>
      </c>
      <c r="AB1647" s="16">
        <v>13.375</v>
      </c>
      <c r="AC1647" s="32">
        <v>0.46413894300000003</v>
      </c>
      <c r="AD1647" s="16">
        <v>4.6413894300000003</v>
      </c>
      <c r="AE1647" s="19">
        <v>1</v>
      </c>
    </row>
    <row r="1648" spans="1:31" x14ac:dyDescent="0.2">
      <c r="A1648" s="19">
        <v>1647</v>
      </c>
      <c r="B1648" s="1">
        <v>2023</v>
      </c>
      <c r="C1648" s="1" t="s">
        <v>88</v>
      </c>
      <c r="D1648" s="22" t="s">
        <v>931</v>
      </c>
      <c r="E1648" s="1" t="s">
        <v>960</v>
      </c>
      <c r="F1648" s="1" t="s">
        <v>83</v>
      </c>
      <c r="H1648" s="28" t="s">
        <v>89</v>
      </c>
      <c r="I1648" s="12">
        <v>7.0220729500529995</v>
      </c>
      <c r="J1648" s="12">
        <v>20.063065571999999</v>
      </c>
      <c r="K1648" s="1" t="s">
        <v>89</v>
      </c>
      <c r="L1648" s="16">
        <v>2982.1232306840002</v>
      </c>
      <c r="M1648" s="1" t="s">
        <v>89</v>
      </c>
      <c r="N1648" s="16">
        <v>21521.533358419001</v>
      </c>
      <c r="O1648" s="15">
        <v>26.184047223</v>
      </c>
      <c r="P1648" s="15">
        <v>7.7880080239999998</v>
      </c>
      <c r="Q1648" s="15">
        <v>56.890666666999998</v>
      </c>
      <c r="R1648" s="15">
        <v>60.173170638000002</v>
      </c>
      <c r="T1648" s="15"/>
      <c r="U1648" s="12"/>
      <c r="V1648" s="15">
        <v>9.4715470219999993</v>
      </c>
      <c r="W1648" s="12">
        <v>0.65348666666999999</v>
      </c>
      <c r="Y1648" s="15">
        <v>65.265443042000001</v>
      </c>
      <c r="AA1648" s="15">
        <v>1.4624999999999999</v>
      </c>
      <c r="AB1648" s="16">
        <v>14.625</v>
      </c>
      <c r="AC1648" s="32">
        <v>0.46413894300000003</v>
      </c>
      <c r="AD1648" s="16">
        <v>4.6413894300000003</v>
      </c>
      <c r="AE1648" s="19">
        <v>1</v>
      </c>
    </row>
    <row r="1649" spans="1:31" x14ac:dyDescent="0.2">
      <c r="A1649" s="19">
        <v>1648</v>
      </c>
      <c r="B1649" s="1">
        <v>2023</v>
      </c>
      <c r="C1649" s="1" t="s">
        <v>88</v>
      </c>
      <c r="D1649" s="22" t="s">
        <v>931</v>
      </c>
      <c r="E1649" s="1" t="s">
        <v>968</v>
      </c>
      <c r="F1649" s="1" t="s">
        <v>83</v>
      </c>
      <c r="H1649" s="1" t="s">
        <v>89</v>
      </c>
      <c r="I1649" s="12">
        <v>6.0284365896395</v>
      </c>
      <c r="J1649" s="12">
        <v>17.224104541999999</v>
      </c>
      <c r="K1649" s="1" t="s">
        <v>89</v>
      </c>
      <c r="L1649" s="16">
        <v>2584.3732306840002</v>
      </c>
      <c r="M1649" t="s">
        <v>89</v>
      </c>
      <c r="N1649" s="16">
        <v>16094.600395375999</v>
      </c>
      <c r="O1649" s="15">
        <v>22.201109805000002</v>
      </c>
      <c r="P1649" s="15">
        <v>8.2305080240000006</v>
      </c>
      <c r="Q1649" s="15">
        <v>62.410666667000001</v>
      </c>
      <c r="R1649" s="15">
        <v>55.005670637999998</v>
      </c>
      <c r="S1649"/>
      <c r="T1649" s="15"/>
      <c r="U1649"/>
      <c r="V1649" s="15">
        <v>11.041547022</v>
      </c>
      <c r="W1649" s="12">
        <v>0.59938666666999996</v>
      </c>
      <c r="Y1649" s="15">
        <v>59.545443042000002</v>
      </c>
      <c r="AA1649" s="15">
        <v>1.0249999999999999</v>
      </c>
      <c r="AB1649" s="16">
        <v>10.25</v>
      </c>
      <c r="AC1649" s="32">
        <v>0.214138943</v>
      </c>
      <c r="AD1649" s="16">
        <v>2.1413894299999998</v>
      </c>
      <c r="AE1649" s="19">
        <v>1</v>
      </c>
    </row>
    <row r="1650" spans="1:31" x14ac:dyDescent="0.2">
      <c r="A1650" s="19">
        <v>1649</v>
      </c>
      <c r="B1650" s="1">
        <v>2023</v>
      </c>
      <c r="C1650" s="1" t="s">
        <v>88</v>
      </c>
      <c r="D1650" s="22" t="s">
        <v>931</v>
      </c>
      <c r="E1650" s="1" t="s">
        <v>969</v>
      </c>
      <c r="F1650" s="1" t="s">
        <v>83</v>
      </c>
      <c r="H1650" s="1" t="s">
        <v>89</v>
      </c>
      <c r="I1650" s="12">
        <v>5.6927740746874997</v>
      </c>
      <c r="J1650" s="12">
        <v>16.265068785</v>
      </c>
      <c r="K1650" s="1" t="s">
        <v>89</v>
      </c>
      <c r="L1650" s="16">
        <v>2657.6232306840002</v>
      </c>
      <c r="M1650" t="s">
        <v>89</v>
      </c>
      <c r="N1650" s="16">
        <v>15556.361007124</v>
      </c>
      <c r="O1650" s="15">
        <v>22.094356085000001</v>
      </c>
      <c r="P1650" s="15">
        <v>8.0155080240000007</v>
      </c>
      <c r="Q1650" s="15">
        <v>63.065666667000002</v>
      </c>
      <c r="R1650" s="15">
        <v>57.828170638000003</v>
      </c>
      <c r="S1650"/>
      <c r="T1650" s="15"/>
      <c r="U1650"/>
      <c r="V1650" s="15">
        <v>11.004047022</v>
      </c>
      <c r="W1650" s="12">
        <v>0.60613666666999999</v>
      </c>
      <c r="Y1650" s="15">
        <v>61.062943042000001</v>
      </c>
      <c r="AA1650" s="15">
        <v>1.0249999999999999</v>
      </c>
      <c r="AB1650" s="16">
        <v>10.25</v>
      </c>
      <c r="AC1650" s="32">
        <v>0.214138943</v>
      </c>
      <c r="AD1650" s="16">
        <v>2.1413894299999998</v>
      </c>
      <c r="AE1650" s="19">
        <v>1</v>
      </c>
    </row>
    <row r="1651" spans="1:31" x14ac:dyDescent="0.2">
      <c r="A1651" s="19">
        <v>1650</v>
      </c>
      <c r="B1651" s="1">
        <v>2023</v>
      </c>
      <c r="C1651" s="1" t="s">
        <v>88</v>
      </c>
      <c r="D1651" s="1" t="s">
        <v>914</v>
      </c>
      <c r="E1651" s="1" t="s">
        <v>961</v>
      </c>
      <c r="F1651" s="1" t="s">
        <v>83</v>
      </c>
      <c r="G1651"/>
      <c r="H1651" t="s">
        <v>89</v>
      </c>
      <c r="I1651" s="12">
        <v>8.2590000000000003</v>
      </c>
      <c r="J1651" s="12">
        <v>23.597557380000001</v>
      </c>
      <c r="K1651" t="s">
        <v>34</v>
      </c>
      <c r="L1651" s="16">
        <v>3555.8732306840002</v>
      </c>
      <c r="M1651" t="s">
        <v>89</v>
      </c>
      <c r="N1651" s="16">
        <v>29785.268920679999</v>
      </c>
      <c r="O1651" s="15">
        <v>26.357804368</v>
      </c>
      <c r="P1651" s="15">
        <v>10.015508024000001</v>
      </c>
      <c r="Q1651" s="15">
        <v>43.355666667000001</v>
      </c>
      <c r="R1651" s="15">
        <v>53.725670637999997</v>
      </c>
      <c r="S1651"/>
      <c r="T1651" s="15"/>
      <c r="U1651"/>
      <c r="V1651" s="15">
        <v>10.614047021999999</v>
      </c>
      <c r="W1651" s="12">
        <v>0.75421166666999995</v>
      </c>
      <c r="X1651"/>
      <c r="Y1651" s="15">
        <v>69.797943042</v>
      </c>
      <c r="Z1651"/>
      <c r="AA1651" s="15">
        <v>1.3374999999999999</v>
      </c>
      <c r="AB1651" s="16">
        <v>13.375</v>
      </c>
      <c r="AC1651" s="32">
        <v>0.33913894300000003</v>
      </c>
      <c r="AD1651" s="16">
        <v>3.3913894300000003</v>
      </c>
      <c r="AE1651" s="19">
        <v>1</v>
      </c>
    </row>
    <row r="1652" spans="1:31" x14ac:dyDescent="0.2">
      <c r="A1652" s="19">
        <v>1651</v>
      </c>
      <c r="B1652" s="1">
        <v>2023</v>
      </c>
      <c r="C1652" s="1" t="s">
        <v>88</v>
      </c>
      <c r="D1652" s="17" t="s">
        <v>914</v>
      </c>
      <c r="E1652" s="17" t="s">
        <v>791</v>
      </c>
      <c r="F1652" s="1" t="s">
        <v>83</v>
      </c>
      <c r="G1652"/>
      <c r="H1652" t="s">
        <v>89</v>
      </c>
      <c r="I1652" s="12">
        <v>9.4988819945140008</v>
      </c>
      <c r="J1652" s="12">
        <v>27.139662841</v>
      </c>
      <c r="K1652" t="s">
        <v>89</v>
      </c>
      <c r="L1652" s="16">
        <v>2871.3732306840002</v>
      </c>
      <c r="M1652" t="s">
        <v>89</v>
      </c>
      <c r="N1652" s="16">
        <v>28056.602920309</v>
      </c>
      <c r="O1652" s="15">
        <v>26.569153993</v>
      </c>
      <c r="P1652" s="15">
        <v>6.7080080239999997</v>
      </c>
      <c r="Q1652" s="15">
        <v>57.973166667000001</v>
      </c>
      <c r="R1652" s="15">
        <v>50.215670637999999</v>
      </c>
      <c r="S1652"/>
      <c r="T1652" s="15"/>
      <c r="U1652"/>
      <c r="V1652" s="15">
        <v>10.441547022</v>
      </c>
      <c r="W1652" s="12">
        <v>0.65243666667</v>
      </c>
      <c r="X1652"/>
      <c r="Y1652" s="15">
        <v>60.982943042000002</v>
      </c>
      <c r="Z1652"/>
      <c r="AA1652" s="15">
        <v>1.1499999999999999</v>
      </c>
      <c r="AB1652" s="16">
        <v>11.5</v>
      </c>
      <c r="AC1652" s="32">
        <v>0.46413894300000003</v>
      </c>
      <c r="AD1652" s="16">
        <v>4.6413894300000003</v>
      </c>
      <c r="AE1652" s="19">
        <v>1</v>
      </c>
    </row>
    <row r="1653" spans="1:31" x14ac:dyDescent="0.2">
      <c r="A1653" s="19">
        <v>1652</v>
      </c>
      <c r="B1653" s="1">
        <v>2023</v>
      </c>
      <c r="C1653" s="1" t="s">
        <v>88</v>
      </c>
      <c r="D1653" s="17" t="s">
        <v>914</v>
      </c>
      <c r="E1653" s="17" t="s">
        <v>962</v>
      </c>
      <c r="F1653" s="1" t="s">
        <v>83</v>
      </c>
      <c r="G1653"/>
      <c r="H1653" t="s">
        <v>89</v>
      </c>
      <c r="I1653" s="12">
        <v>7.5991332493019996</v>
      </c>
      <c r="J1653" s="12">
        <v>21.711809284000001</v>
      </c>
      <c r="K1653" t="s">
        <v>89</v>
      </c>
      <c r="L1653" s="16">
        <v>3263.1232306840002</v>
      </c>
      <c r="M1653" t="s">
        <v>89</v>
      </c>
      <c r="N1653" s="16">
        <v>25286.745047226999</v>
      </c>
      <c r="O1653" s="15">
        <v>25.912655700999998</v>
      </c>
      <c r="P1653" s="15">
        <v>8.6180080239999999</v>
      </c>
      <c r="Q1653" s="15">
        <v>48.270666667</v>
      </c>
      <c r="R1653" s="15">
        <v>56.210670638000003</v>
      </c>
      <c r="S1653"/>
      <c r="T1653" s="15"/>
      <c r="U1653"/>
      <c r="V1653" s="15">
        <v>11.934047022</v>
      </c>
      <c r="W1653" s="12">
        <v>0.70413666666999997</v>
      </c>
      <c r="X1653"/>
      <c r="Y1653" s="15">
        <v>67.107943042000002</v>
      </c>
      <c r="Z1653"/>
      <c r="AA1653" s="15">
        <v>1.2124999999999999</v>
      </c>
      <c r="AB1653" s="16">
        <v>12.125</v>
      </c>
      <c r="AC1653" s="32">
        <v>-3.5860999999999997E-2</v>
      </c>
      <c r="AD1653" s="16">
        <v>-0.35860999999999998</v>
      </c>
      <c r="AE1653" s="19">
        <v>1</v>
      </c>
    </row>
    <row r="1654" spans="1:31" x14ac:dyDescent="0.2">
      <c r="A1654" s="19">
        <v>1653</v>
      </c>
      <c r="B1654" s="1">
        <v>2023</v>
      </c>
      <c r="C1654" s="1" t="s">
        <v>88</v>
      </c>
      <c r="D1654" s="17" t="s">
        <v>914</v>
      </c>
      <c r="E1654" s="17" t="s">
        <v>639</v>
      </c>
      <c r="F1654" s="1" t="s">
        <v>83</v>
      </c>
      <c r="G1654"/>
      <c r="H1654" t="s">
        <v>89</v>
      </c>
      <c r="I1654" s="12">
        <v>7.3559925716565004</v>
      </c>
      <c r="J1654" s="12">
        <v>21.017121632999999</v>
      </c>
      <c r="K1654" t="s">
        <v>89</v>
      </c>
      <c r="L1654" s="16">
        <v>3039.1232306840002</v>
      </c>
      <c r="M1654" t="s">
        <v>89</v>
      </c>
      <c r="N1654" s="16">
        <v>22812.495921333</v>
      </c>
      <c r="O1654" s="15">
        <v>26.260222130999999</v>
      </c>
      <c r="P1654" s="15">
        <v>7.4755080239999998</v>
      </c>
      <c r="Q1654" s="15">
        <v>55.305666666999997</v>
      </c>
      <c r="R1654" s="15">
        <v>54.708170637999999</v>
      </c>
      <c r="S1654"/>
      <c r="T1654" s="15"/>
      <c r="U1654"/>
      <c r="V1654" s="15">
        <v>9.7040470219999992</v>
      </c>
      <c r="W1654" s="12">
        <v>0.67033666667000003</v>
      </c>
      <c r="X1654"/>
      <c r="Y1654" s="15">
        <v>64.437943042000001</v>
      </c>
      <c r="Z1654"/>
      <c r="AA1654" s="15">
        <v>1.7124999999999999</v>
      </c>
      <c r="AB1654" s="16">
        <v>17.125</v>
      </c>
      <c r="AC1654" s="32">
        <v>0.46413894300000003</v>
      </c>
      <c r="AD1654" s="16">
        <v>4.6413894300000003</v>
      </c>
      <c r="AE1654" s="19">
        <v>1</v>
      </c>
    </row>
    <row r="1655" spans="1:31" x14ac:dyDescent="0.2">
      <c r="A1655" s="19">
        <v>1654</v>
      </c>
      <c r="B1655" s="1">
        <v>2023</v>
      </c>
      <c r="C1655" s="1" t="s">
        <v>88</v>
      </c>
      <c r="D1655" s="17" t="s">
        <v>914</v>
      </c>
      <c r="E1655" s="17" t="s">
        <v>792</v>
      </c>
      <c r="F1655" s="1" t="s">
        <v>83</v>
      </c>
      <c r="G1655"/>
      <c r="H1655" t="s">
        <v>89</v>
      </c>
      <c r="I1655" s="12">
        <v>5.9608976179535</v>
      </c>
      <c r="J1655" s="12">
        <v>17.031136051000001</v>
      </c>
      <c r="K1655" t="s">
        <v>89</v>
      </c>
      <c r="L1655" s="16">
        <v>3267.3732306840002</v>
      </c>
      <c r="M1655" t="s">
        <v>89</v>
      </c>
      <c r="N1655" s="16">
        <v>19536.339943111001</v>
      </c>
      <c r="O1655" s="15">
        <v>26.176424205</v>
      </c>
      <c r="P1655" s="15">
        <v>8.3730080240000007</v>
      </c>
      <c r="Q1655" s="15">
        <v>49.405666666999998</v>
      </c>
      <c r="R1655" s="15">
        <v>57.818170637999998</v>
      </c>
      <c r="S1655"/>
      <c r="T1655" s="15"/>
      <c r="U1655"/>
      <c r="V1655" s="15">
        <v>11.354047022</v>
      </c>
      <c r="W1655" s="12">
        <v>0.70228666666999995</v>
      </c>
      <c r="X1655"/>
      <c r="Y1655" s="15">
        <v>67.445443041999994</v>
      </c>
      <c r="Z1655"/>
      <c r="AA1655" s="15">
        <v>1.2124999999999999</v>
      </c>
      <c r="AB1655" s="16">
        <v>12.125</v>
      </c>
      <c r="AC1655" s="32">
        <v>-3.5860999999999997E-2</v>
      </c>
      <c r="AD1655" s="16">
        <v>-0.35860999999999998</v>
      </c>
      <c r="AE1655" s="19">
        <v>1</v>
      </c>
    </row>
    <row r="1656" spans="1:31" x14ac:dyDescent="0.2">
      <c r="A1656" s="19">
        <v>1655</v>
      </c>
      <c r="B1656" s="1">
        <v>2023</v>
      </c>
      <c r="C1656" s="1" t="s">
        <v>88</v>
      </c>
      <c r="D1656" s="17" t="s">
        <v>914</v>
      </c>
      <c r="E1656" s="17" t="s">
        <v>793</v>
      </c>
      <c r="F1656" s="1" t="s">
        <v>83</v>
      </c>
      <c r="G1656"/>
      <c r="H1656" t="s">
        <v>89</v>
      </c>
      <c r="I1656" s="12">
        <v>7.4602567554045001</v>
      </c>
      <c r="J1656" s="12">
        <v>21.315019301</v>
      </c>
      <c r="K1656" t="s">
        <v>89</v>
      </c>
      <c r="L1656" s="16">
        <v>3426.3732306840002</v>
      </c>
      <c r="M1656" t="s">
        <v>89</v>
      </c>
      <c r="N1656" s="16">
        <v>25887.939717200999</v>
      </c>
      <c r="O1656" s="15">
        <v>26.429468674999999</v>
      </c>
      <c r="P1656" s="15">
        <v>9.5230080239999992</v>
      </c>
      <c r="Q1656" s="15">
        <v>45.728166667000004</v>
      </c>
      <c r="R1656" s="15">
        <v>50.955670638000001</v>
      </c>
      <c r="S1656"/>
      <c r="T1656" s="15"/>
      <c r="U1656"/>
      <c r="V1656" s="15">
        <v>11.891547021999999</v>
      </c>
      <c r="W1656" s="12">
        <v>0.73853666666999995</v>
      </c>
      <c r="X1656"/>
      <c r="Y1656" s="15">
        <v>67.700443042000003</v>
      </c>
      <c r="Z1656"/>
      <c r="AA1656" s="15">
        <v>1.2749999999999999</v>
      </c>
      <c r="AB1656" s="16">
        <v>12.75</v>
      </c>
      <c r="AC1656" s="32">
        <v>0.46413894300000003</v>
      </c>
      <c r="AD1656" s="16">
        <v>4.6413894300000003</v>
      </c>
      <c r="AE1656" s="19">
        <v>1</v>
      </c>
    </row>
    <row r="1657" spans="1:31" x14ac:dyDescent="0.2">
      <c r="A1657" s="19">
        <v>1656</v>
      </c>
      <c r="B1657" s="1">
        <v>2023</v>
      </c>
      <c r="C1657" s="1" t="s">
        <v>88</v>
      </c>
      <c r="D1657" s="17" t="s">
        <v>914</v>
      </c>
      <c r="E1657" s="17" t="s">
        <v>920</v>
      </c>
      <c r="F1657" s="1" t="s">
        <v>83</v>
      </c>
      <c r="G1657"/>
      <c r="H1657" t="s">
        <v>34</v>
      </c>
      <c r="I1657" s="12">
        <v>10.626638845815</v>
      </c>
      <c r="J1657" s="12">
        <v>30.361825274000001</v>
      </c>
      <c r="K1657" t="s">
        <v>89</v>
      </c>
      <c r="L1657" s="16">
        <v>3214.8116153420001</v>
      </c>
      <c r="M1657" t="s">
        <v>34</v>
      </c>
      <c r="N1657" s="16">
        <v>35079.785365244999</v>
      </c>
      <c r="O1657" s="15">
        <v>29.614715515</v>
      </c>
      <c r="P1657" s="15">
        <v>8.0615040120000003</v>
      </c>
      <c r="Q1657" s="15">
        <v>49.472833332999997</v>
      </c>
      <c r="R1657" s="15">
        <v>48.956585318999998</v>
      </c>
      <c r="S1657"/>
      <c r="T1657" s="15"/>
      <c r="U1657"/>
      <c r="V1657" s="15">
        <v>12.925773510999999</v>
      </c>
      <c r="W1657" s="12">
        <v>0.70744333332999998</v>
      </c>
      <c r="X1657"/>
      <c r="Y1657" s="15">
        <v>64.968971521</v>
      </c>
      <c r="Z1657"/>
      <c r="AA1657" s="15">
        <v>1.2625</v>
      </c>
      <c r="AB1657" s="16">
        <v>12.625</v>
      </c>
      <c r="AC1657" s="32">
        <v>0.482069472</v>
      </c>
      <c r="AD1657" s="16">
        <v>4.8206947199999997</v>
      </c>
      <c r="AE1657" s="19">
        <v>1</v>
      </c>
    </row>
    <row r="1658" spans="1:31" x14ac:dyDescent="0.2">
      <c r="A1658" s="19">
        <v>1657</v>
      </c>
      <c r="B1658" s="1">
        <v>2023</v>
      </c>
      <c r="C1658" s="1" t="s">
        <v>88</v>
      </c>
      <c r="D1658" s="17" t="s">
        <v>914</v>
      </c>
      <c r="E1658" s="17" t="s">
        <v>915</v>
      </c>
      <c r="F1658" s="1" t="s">
        <v>83</v>
      </c>
      <c r="G1658"/>
      <c r="H1658" t="s">
        <v>34</v>
      </c>
      <c r="I1658" s="12">
        <v>10.748522949402501</v>
      </c>
      <c r="J1658" s="12">
        <v>30.710065570000001</v>
      </c>
      <c r="K1658" t="s">
        <v>89</v>
      </c>
      <c r="L1658" s="16">
        <v>3178.8732306840002</v>
      </c>
      <c r="M1658" t="s">
        <v>34</v>
      </c>
      <c r="N1658" s="16">
        <v>34903.483795498003</v>
      </c>
      <c r="O1658" s="15">
        <v>31.522081096000001</v>
      </c>
      <c r="P1658" s="15">
        <v>7.7705080239999997</v>
      </c>
      <c r="Q1658" s="15">
        <v>51.085666666999998</v>
      </c>
      <c r="R1658" s="15">
        <v>48.528170637999999</v>
      </c>
      <c r="S1658"/>
      <c r="T1658" s="15"/>
      <c r="U1658"/>
      <c r="V1658" s="15">
        <v>11.139047022</v>
      </c>
      <c r="W1658" s="12">
        <v>0.70271166667000007</v>
      </c>
      <c r="X1658"/>
      <c r="Y1658" s="15">
        <v>64.485443042</v>
      </c>
      <c r="Z1658"/>
      <c r="AA1658" s="15">
        <v>1.4624999999999999</v>
      </c>
      <c r="AB1658" s="16">
        <v>14.625</v>
      </c>
      <c r="AC1658" s="32">
        <v>0.58913894300000003</v>
      </c>
      <c r="AD1658" s="16">
        <v>5.8913894300000003</v>
      </c>
      <c r="AE1658" s="19">
        <v>1</v>
      </c>
    </row>
    <row r="1659" spans="1:31" x14ac:dyDescent="0.2">
      <c r="A1659" s="19">
        <v>1658</v>
      </c>
      <c r="B1659" s="1">
        <v>2023</v>
      </c>
      <c r="C1659" s="1" t="s">
        <v>88</v>
      </c>
      <c r="D1659" s="17" t="s">
        <v>37</v>
      </c>
      <c r="E1659" s="17" t="s">
        <v>963</v>
      </c>
      <c r="F1659" s="1" t="s">
        <v>83</v>
      </c>
      <c r="G1659"/>
      <c r="H1659" t="s">
        <v>89</v>
      </c>
      <c r="I1659" s="12">
        <v>9.2297113260045016</v>
      </c>
      <c r="J1659" s="12">
        <v>26.370603789</v>
      </c>
      <c r="K1659" t="s">
        <v>89</v>
      </c>
      <c r="L1659" s="16">
        <v>3284.3116153420001</v>
      </c>
      <c r="M1659" t="s">
        <v>89</v>
      </c>
      <c r="N1659" s="16">
        <v>30557.130554857999</v>
      </c>
      <c r="O1659" s="15">
        <v>31.653106394999998</v>
      </c>
      <c r="P1659" s="15">
        <v>7.5465040119999998</v>
      </c>
      <c r="Q1659" s="15">
        <v>47.602833333</v>
      </c>
      <c r="R1659" s="15">
        <v>47.994085319</v>
      </c>
      <c r="S1659"/>
      <c r="T1659" s="15"/>
      <c r="U1659"/>
      <c r="V1659" s="15">
        <v>13.278273511</v>
      </c>
      <c r="W1659" s="12">
        <v>0.72016833332999997</v>
      </c>
      <c r="X1659"/>
      <c r="Y1659" s="15">
        <v>65.513971521000002</v>
      </c>
      <c r="Z1659"/>
      <c r="AA1659" s="15">
        <v>1.2625</v>
      </c>
      <c r="AB1659" s="16">
        <v>12.625</v>
      </c>
      <c r="AC1659" s="32">
        <v>0.107069472</v>
      </c>
      <c r="AD1659" s="16">
        <v>1.0706947200000001</v>
      </c>
      <c r="AE1659" s="19">
        <v>1</v>
      </c>
    </row>
    <row r="1660" spans="1:31" x14ac:dyDescent="0.2">
      <c r="A1660" s="19">
        <v>1659</v>
      </c>
      <c r="B1660" s="1">
        <v>2023</v>
      </c>
      <c r="C1660" s="1" t="s">
        <v>88</v>
      </c>
      <c r="D1660" s="17" t="s">
        <v>838</v>
      </c>
      <c r="E1660" s="17" t="s">
        <v>839</v>
      </c>
      <c r="F1660" s="1" t="s">
        <v>83</v>
      </c>
      <c r="G1660"/>
      <c r="H1660" t="s">
        <v>89</v>
      </c>
      <c r="I1660" s="12">
        <v>6.0126622545570001</v>
      </c>
      <c r="J1660" s="12">
        <v>17.179035013</v>
      </c>
      <c r="K1660" t="s">
        <v>89</v>
      </c>
      <c r="L1660" s="16">
        <v>3309.8116153420001</v>
      </c>
      <c r="M1660" t="s">
        <v>89</v>
      </c>
      <c r="N1660" s="16">
        <v>20177.124926212</v>
      </c>
      <c r="O1660" s="15">
        <v>27.817682377000001</v>
      </c>
      <c r="P1660" s="15">
        <v>8.741504012</v>
      </c>
      <c r="Q1660" s="15">
        <v>48.147833333000001</v>
      </c>
      <c r="R1660" s="15">
        <v>52.191585318999998</v>
      </c>
      <c r="S1660"/>
      <c r="T1660" s="15"/>
      <c r="U1660"/>
      <c r="V1660" s="15">
        <v>12.325773511</v>
      </c>
      <c r="W1660" s="12">
        <v>0.71764333332999997</v>
      </c>
      <c r="X1660"/>
      <c r="Y1660" s="15">
        <v>66.623971521000001</v>
      </c>
      <c r="Z1660"/>
      <c r="AA1660" s="15">
        <v>1.0125</v>
      </c>
      <c r="AB1660" s="16">
        <v>10.125</v>
      </c>
      <c r="AC1660" s="32">
        <v>-1.7930999999999999E-2</v>
      </c>
      <c r="AD1660" s="16">
        <v>-0.17931</v>
      </c>
      <c r="AE1660" s="19">
        <v>1</v>
      </c>
    </row>
    <row r="1661" spans="1:31" x14ac:dyDescent="0.2">
      <c r="A1661" s="19">
        <v>1660</v>
      </c>
      <c r="B1661" s="1">
        <v>2023</v>
      </c>
      <c r="C1661" s="1" t="s">
        <v>88</v>
      </c>
      <c r="D1661" s="17" t="s">
        <v>838</v>
      </c>
      <c r="E1661" s="17" t="s">
        <v>964</v>
      </c>
      <c r="F1661" s="1" t="s">
        <v>83</v>
      </c>
      <c r="G1661"/>
      <c r="H1661" t="s">
        <v>89</v>
      </c>
      <c r="I1661" s="12">
        <v>5.9643831881939997</v>
      </c>
      <c r="J1661" s="12">
        <v>17.041094823000002</v>
      </c>
      <c r="K1661" t="s">
        <v>89</v>
      </c>
      <c r="L1661" s="16">
        <v>3345.6232306840002</v>
      </c>
      <c r="M1661" t="s">
        <v>89</v>
      </c>
      <c r="N1661" s="16">
        <v>20324.743587880999</v>
      </c>
      <c r="O1661" s="15">
        <v>27.097831776</v>
      </c>
      <c r="P1661" s="15">
        <v>8.7680080240000002</v>
      </c>
      <c r="Q1661" s="15">
        <v>47.855666667000001</v>
      </c>
      <c r="R1661" s="15">
        <v>53.138170637999998</v>
      </c>
      <c r="S1661"/>
      <c r="T1661" s="15"/>
      <c r="U1661"/>
      <c r="V1661" s="15">
        <v>13.161547022000001</v>
      </c>
      <c r="W1661" s="12">
        <v>0.72241166667000001</v>
      </c>
      <c r="X1661"/>
      <c r="Y1661" s="15">
        <v>67.242943041999993</v>
      </c>
      <c r="Z1661"/>
      <c r="AA1661" s="15">
        <v>1.0874999999999999</v>
      </c>
      <c r="AB1661" s="16">
        <v>10.875</v>
      </c>
      <c r="AC1661" s="32">
        <v>0.33913894300000003</v>
      </c>
      <c r="AD1661" s="16">
        <v>3.3913894300000003</v>
      </c>
      <c r="AE1661" s="19">
        <v>1</v>
      </c>
    </row>
    <row r="1662" spans="1:31" x14ac:dyDescent="0.2">
      <c r="A1662" s="19">
        <v>1661</v>
      </c>
      <c r="B1662" s="1">
        <v>2023</v>
      </c>
      <c r="C1662" s="1" t="s">
        <v>88</v>
      </c>
      <c r="D1662" s="17" t="s">
        <v>838</v>
      </c>
      <c r="E1662" s="17" t="s">
        <v>841</v>
      </c>
      <c r="F1662" s="1" t="s">
        <v>83</v>
      </c>
      <c r="G1662"/>
      <c r="H1662" t="s">
        <v>89</v>
      </c>
      <c r="I1662" s="12">
        <v>6.6005862655885004</v>
      </c>
      <c r="J1662" s="12">
        <v>18.858817901999998</v>
      </c>
      <c r="K1662" t="s">
        <v>89</v>
      </c>
      <c r="L1662" s="16">
        <v>3117.6232306840002</v>
      </c>
      <c r="M1662" t="s">
        <v>89</v>
      </c>
      <c r="N1662" s="16">
        <v>21017.361490323001</v>
      </c>
      <c r="O1662" s="15">
        <v>28.563860329000001</v>
      </c>
      <c r="P1662" s="15">
        <v>7.7730080240000001</v>
      </c>
      <c r="Q1662" s="15">
        <v>54.940666667000002</v>
      </c>
      <c r="R1662" s="15">
        <v>57.210670638000003</v>
      </c>
      <c r="S1662"/>
      <c r="T1662" s="15"/>
      <c r="U1662"/>
      <c r="V1662" s="15">
        <v>11.949047022</v>
      </c>
      <c r="W1662" s="12">
        <v>0.68011166667</v>
      </c>
      <c r="X1662"/>
      <c r="Y1662" s="15">
        <v>65.692943041999996</v>
      </c>
      <c r="Z1662"/>
      <c r="AA1662" s="15">
        <v>1.3374999999999999</v>
      </c>
      <c r="AB1662" s="16">
        <v>13.375</v>
      </c>
      <c r="AC1662" s="32">
        <v>0.33913894300000003</v>
      </c>
      <c r="AD1662" s="16">
        <v>3.3913894300000003</v>
      </c>
      <c r="AE1662" s="19">
        <v>1</v>
      </c>
    </row>
    <row r="1663" spans="1:31" x14ac:dyDescent="0.2">
      <c r="A1663" s="19">
        <v>1662</v>
      </c>
      <c r="B1663" s="1">
        <v>2023</v>
      </c>
      <c r="C1663" s="1" t="s">
        <v>88</v>
      </c>
      <c r="D1663" s="17" t="s">
        <v>838</v>
      </c>
      <c r="E1663" s="17" t="s">
        <v>843</v>
      </c>
      <c r="F1663" s="1" t="s">
        <v>83</v>
      </c>
      <c r="G1663"/>
      <c r="H1663" t="s">
        <v>89</v>
      </c>
      <c r="I1663" s="12">
        <v>5.8492817448305008</v>
      </c>
      <c r="J1663" s="12">
        <v>16.712233557000001</v>
      </c>
      <c r="K1663" t="s">
        <v>34</v>
      </c>
      <c r="L1663" s="16">
        <v>3489.8732306840002</v>
      </c>
      <c r="M1663" t="s">
        <v>89</v>
      </c>
      <c r="N1663" s="16">
        <v>20307.506238356</v>
      </c>
      <c r="O1663" s="15">
        <v>27.735102478000002</v>
      </c>
      <c r="P1663" s="15">
        <v>9.0980080240000003</v>
      </c>
      <c r="Q1663" s="15">
        <v>52.305666666999997</v>
      </c>
      <c r="R1663" s="15">
        <v>60.300670638</v>
      </c>
      <c r="S1663"/>
      <c r="T1663" s="15"/>
      <c r="U1663"/>
      <c r="V1663" s="15">
        <v>11.329047021999999</v>
      </c>
      <c r="W1663" s="12">
        <v>0.73258666667000005</v>
      </c>
      <c r="X1663"/>
      <c r="Y1663" s="15">
        <v>70.520443041999997</v>
      </c>
      <c r="Z1663"/>
      <c r="AA1663" s="15">
        <v>1.0874999999999999</v>
      </c>
      <c r="AB1663" s="16">
        <v>10.875</v>
      </c>
      <c r="AC1663" s="32">
        <v>-3.5860999999999997E-2</v>
      </c>
      <c r="AD1663" s="16">
        <v>-0.35860999999999998</v>
      </c>
      <c r="AE1663" s="19">
        <v>1</v>
      </c>
    </row>
    <row r="1664" spans="1:31" x14ac:dyDescent="0.2">
      <c r="A1664" s="19">
        <v>1663</v>
      </c>
      <c r="B1664" s="1">
        <v>2023</v>
      </c>
      <c r="C1664" s="1" t="s">
        <v>88</v>
      </c>
      <c r="D1664" s="17" t="s">
        <v>246</v>
      </c>
      <c r="E1664" s="17" t="s">
        <v>513</v>
      </c>
      <c r="F1664" s="1" t="s">
        <v>83</v>
      </c>
      <c r="G1664"/>
      <c r="H1664" t="s">
        <v>34</v>
      </c>
      <c r="I1664" s="12">
        <v>11.183287568992</v>
      </c>
      <c r="J1664" s="12">
        <v>31.952250197000001</v>
      </c>
      <c r="K1664" t="s">
        <v>89</v>
      </c>
      <c r="L1664" s="16">
        <v>3342.1232306840002</v>
      </c>
      <c r="M1664" t="s">
        <v>34</v>
      </c>
      <c r="N1664" s="16">
        <v>38924.26659752</v>
      </c>
      <c r="O1664" s="15">
        <v>34.223315993</v>
      </c>
      <c r="P1664" s="15">
        <v>8.7955080240000001</v>
      </c>
      <c r="Q1664" s="15">
        <v>44.848166667000001</v>
      </c>
      <c r="R1664" s="15">
        <v>46.003170638</v>
      </c>
      <c r="S1664"/>
      <c r="T1664" s="15"/>
      <c r="U1664"/>
      <c r="V1664" s="15">
        <v>10.654047022</v>
      </c>
      <c r="W1664" s="12">
        <v>0.73273666667000004</v>
      </c>
      <c r="X1664"/>
      <c r="Y1664" s="15">
        <v>66.275443042000006</v>
      </c>
      <c r="Z1664"/>
      <c r="AA1664" s="15">
        <v>1.3374999999999999</v>
      </c>
      <c r="AB1664" s="16">
        <v>13.375</v>
      </c>
      <c r="AC1664" s="32">
        <v>0.58913894300000003</v>
      </c>
      <c r="AD1664" s="16">
        <v>5.8913894300000003</v>
      </c>
      <c r="AE1664" s="19">
        <v>1</v>
      </c>
    </row>
    <row r="1665" spans="1:31" x14ac:dyDescent="0.2">
      <c r="A1665" s="19">
        <v>1664</v>
      </c>
      <c r="B1665" s="1">
        <v>2023</v>
      </c>
      <c r="C1665" s="1" t="s">
        <v>88</v>
      </c>
      <c r="D1665" s="17" t="s">
        <v>246</v>
      </c>
      <c r="E1665" s="17" t="s">
        <v>965</v>
      </c>
      <c r="F1665" s="1" t="s">
        <v>83</v>
      </c>
      <c r="G1665"/>
      <c r="H1665" t="s">
        <v>89</v>
      </c>
      <c r="I1665" s="12">
        <v>7.8620615417595001</v>
      </c>
      <c r="J1665" s="12">
        <v>22.463032976000001</v>
      </c>
      <c r="K1665" t="s">
        <v>89</v>
      </c>
      <c r="L1665" s="16">
        <v>3011.3732306840002</v>
      </c>
      <c r="M1665" t="s">
        <v>89</v>
      </c>
      <c r="N1665" s="16">
        <v>24478.809217414</v>
      </c>
      <c r="O1665" s="15">
        <v>25.829594025999999</v>
      </c>
      <c r="P1665" s="15">
        <v>6.7630080240000003</v>
      </c>
      <c r="Q1665" s="15">
        <v>50.730666667000001</v>
      </c>
      <c r="R1665" s="15">
        <v>50.603170638000002</v>
      </c>
      <c r="S1665"/>
      <c r="T1665" s="15"/>
      <c r="U1665"/>
      <c r="V1665" s="15">
        <v>14.894047022000001</v>
      </c>
      <c r="W1665" s="12">
        <v>0.67316166666999999</v>
      </c>
      <c r="X1665"/>
      <c r="Y1665" s="15">
        <v>63.100443042000002</v>
      </c>
      <c r="Z1665"/>
      <c r="AA1665" s="15">
        <v>1.4624999999999999</v>
      </c>
      <c r="AB1665" s="16">
        <v>14.625</v>
      </c>
      <c r="AC1665" s="32">
        <v>0.46413894300000003</v>
      </c>
      <c r="AD1665" s="16">
        <v>4.6413894300000003</v>
      </c>
      <c r="AE1665" s="19">
        <v>1</v>
      </c>
    </row>
    <row r="1666" spans="1:31" x14ac:dyDescent="0.2">
      <c r="A1666" s="19">
        <v>1665</v>
      </c>
      <c r="B1666" s="1">
        <v>2023</v>
      </c>
      <c r="C1666" s="1" t="s">
        <v>88</v>
      </c>
      <c r="D1666" s="17" t="s">
        <v>246</v>
      </c>
      <c r="E1666" s="17" t="s">
        <v>966</v>
      </c>
      <c r="F1666" s="1" t="s">
        <v>83</v>
      </c>
      <c r="G1666"/>
      <c r="H1666" t="s">
        <v>89</v>
      </c>
      <c r="I1666" s="12">
        <v>6.7537336132945001</v>
      </c>
      <c r="J1666" s="12">
        <v>19.296381751999998</v>
      </c>
      <c r="K1666" t="s">
        <v>89</v>
      </c>
      <c r="L1666" s="16">
        <v>3249.5616153420001</v>
      </c>
      <c r="M1666" t="s">
        <v>89</v>
      </c>
      <c r="N1666" s="16">
        <v>22465.889594843</v>
      </c>
      <c r="O1666" s="15">
        <v>26.403044623</v>
      </c>
      <c r="P1666" s="15">
        <v>8.2490040120000003</v>
      </c>
      <c r="Q1666" s="15">
        <v>49.460333333000001</v>
      </c>
      <c r="R1666" s="15">
        <v>55.531585319000001</v>
      </c>
      <c r="S1666"/>
      <c r="T1666" s="15"/>
      <c r="U1666"/>
      <c r="V1666" s="15">
        <v>10.635773511</v>
      </c>
      <c r="W1666" s="12">
        <v>0.70174333333000005</v>
      </c>
      <c r="X1666"/>
      <c r="Y1666" s="15">
        <v>66.871471521000004</v>
      </c>
      <c r="Z1666"/>
      <c r="AA1666" s="15">
        <v>1.325</v>
      </c>
      <c r="AB1666" s="16">
        <v>13.25</v>
      </c>
      <c r="AC1666" s="32">
        <v>0.60706947200000005</v>
      </c>
      <c r="AD1666" s="16">
        <v>6.0706947200000005</v>
      </c>
      <c r="AE1666" s="19">
        <v>1</v>
      </c>
    </row>
    <row r="1667" spans="1:31" x14ac:dyDescent="0.2">
      <c r="A1667" s="19">
        <v>1666</v>
      </c>
      <c r="B1667" s="1">
        <v>2023</v>
      </c>
      <c r="C1667" s="1" t="s">
        <v>88</v>
      </c>
      <c r="D1667" s="1" t="s">
        <v>246</v>
      </c>
      <c r="E1667" s="1" t="s">
        <v>967</v>
      </c>
      <c r="F1667" s="1" t="s">
        <v>83</v>
      </c>
      <c r="G1667"/>
      <c r="H1667" t="s">
        <v>89</v>
      </c>
      <c r="I1667" s="12">
        <v>8.4409421223904992</v>
      </c>
      <c r="J1667" s="12">
        <v>24.116977493</v>
      </c>
      <c r="K1667" t="s">
        <v>89</v>
      </c>
      <c r="L1667" s="16">
        <v>3253.3732306840002</v>
      </c>
      <c r="M1667" t="s">
        <v>89</v>
      </c>
      <c r="N1667" s="16">
        <v>28259.802581857999</v>
      </c>
      <c r="O1667" s="15">
        <v>31.832721322000001</v>
      </c>
      <c r="P1667" s="15">
        <v>7.7930080239999997</v>
      </c>
      <c r="Q1667" s="15">
        <v>49.115666666999999</v>
      </c>
      <c r="R1667" s="15">
        <v>51.863170638</v>
      </c>
      <c r="S1667"/>
      <c r="T1667" s="15"/>
      <c r="U1667"/>
      <c r="V1667" s="15">
        <v>10.824047022</v>
      </c>
      <c r="W1667" s="12">
        <v>0.70891166666999994</v>
      </c>
      <c r="X1667"/>
      <c r="Y1667" s="15">
        <v>66.045443042000002</v>
      </c>
      <c r="Z1667"/>
      <c r="AA1667" s="15">
        <v>1.2124999999999999</v>
      </c>
      <c r="AB1667" s="16">
        <v>12.125</v>
      </c>
      <c r="AC1667" s="32">
        <v>-3.5860999999999997E-2</v>
      </c>
      <c r="AD1667" s="16">
        <v>-0.35860999999999998</v>
      </c>
      <c r="AE1667" s="19">
        <v>1</v>
      </c>
    </row>
    <row r="1668" spans="1:31" x14ac:dyDescent="0.2">
      <c r="A1668" s="19">
        <v>1667</v>
      </c>
      <c r="B1668" s="1">
        <v>2023</v>
      </c>
      <c r="C1668" s="1" t="s">
        <v>88</v>
      </c>
      <c r="D1668" s="1" t="s">
        <v>246</v>
      </c>
      <c r="E1668" s="1" t="s">
        <v>593</v>
      </c>
      <c r="F1668" s="1" t="s">
        <v>83</v>
      </c>
      <c r="G1668"/>
      <c r="H1668" t="s">
        <v>34</v>
      </c>
      <c r="I1668" s="12">
        <v>13.728289604858999</v>
      </c>
      <c r="J1668" s="12">
        <v>39.223684585000001</v>
      </c>
      <c r="K1668" t="s">
        <v>89</v>
      </c>
      <c r="L1668" s="16">
        <v>3312.3732306840002</v>
      </c>
      <c r="M1668" t="s">
        <v>34</v>
      </c>
      <c r="N1668" s="16">
        <v>48510.050120264001</v>
      </c>
      <c r="O1668" s="15">
        <v>31.717144948000001</v>
      </c>
      <c r="P1668" s="15">
        <v>8.7905080239999993</v>
      </c>
      <c r="Q1668" s="15">
        <v>43.753166667000002</v>
      </c>
      <c r="R1668" s="15">
        <v>47.430670638000002</v>
      </c>
      <c r="S1668"/>
      <c r="T1668" s="15"/>
      <c r="U1668"/>
      <c r="V1668" s="15">
        <v>14.234047022</v>
      </c>
      <c r="W1668" s="12">
        <v>0.72603666667</v>
      </c>
      <c r="X1668"/>
      <c r="Y1668" s="15">
        <v>65.915443042000007</v>
      </c>
      <c r="Z1668"/>
      <c r="AA1668" s="15">
        <v>1.2749999999999999</v>
      </c>
      <c r="AB1668" s="16">
        <v>12.75</v>
      </c>
      <c r="AC1668" s="32">
        <v>0.214138943</v>
      </c>
      <c r="AD1668" s="16">
        <v>2.1413894299999998</v>
      </c>
      <c r="AE1668" s="19">
        <v>1</v>
      </c>
    </row>
    <row r="1669" spans="1:31" x14ac:dyDescent="0.2">
      <c r="A1669" s="19">
        <v>1668</v>
      </c>
      <c r="B1669" s="1">
        <v>2023</v>
      </c>
      <c r="C1669" s="1" t="s">
        <v>88</v>
      </c>
      <c r="D1669" s="1" t="s">
        <v>980</v>
      </c>
      <c r="E1669" s="1" t="s">
        <v>981</v>
      </c>
      <c r="F1669" s="1" t="s">
        <v>83</v>
      </c>
      <c r="G1669"/>
      <c r="H1669" t="s">
        <v>89</v>
      </c>
      <c r="I1669" s="12">
        <v>9.5209429597359989</v>
      </c>
      <c r="J1669" s="12">
        <v>27.202694171000001</v>
      </c>
      <c r="K1669" t="s">
        <v>89</v>
      </c>
      <c r="L1669" s="16">
        <v>3304.3732306840002</v>
      </c>
      <c r="M1669" t="s">
        <v>89</v>
      </c>
      <c r="N1669" s="16">
        <v>32120.165555629999</v>
      </c>
      <c r="O1669" s="15">
        <v>33.159702785</v>
      </c>
      <c r="P1669" s="15">
        <v>8.1780080240000004</v>
      </c>
      <c r="Q1669" s="15">
        <v>46.123166667</v>
      </c>
      <c r="R1669" s="15">
        <v>51.253170638</v>
      </c>
      <c r="S1669"/>
      <c r="T1669" s="15"/>
      <c r="U1669"/>
      <c r="V1669" s="15">
        <v>10.574047022</v>
      </c>
      <c r="W1669" s="12">
        <v>0.71901166666999994</v>
      </c>
      <c r="X1669"/>
      <c r="Y1669" s="15">
        <v>66.505443041999996</v>
      </c>
      <c r="Z1669"/>
      <c r="AA1669" s="15">
        <v>1.0249999999999999</v>
      </c>
      <c r="AB1669" s="16">
        <v>10.25</v>
      </c>
      <c r="AC1669" s="32">
        <v>-3.5860999999999997E-2</v>
      </c>
      <c r="AD1669" s="16">
        <v>-0.35860999999999998</v>
      </c>
      <c r="AE1669" s="19">
        <v>1</v>
      </c>
    </row>
    <row r="1670" spans="1:31" x14ac:dyDescent="0.2">
      <c r="A1670" s="19">
        <v>1669</v>
      </c>
      <c r="B1670" s="1">
        <v>2023</v>
      </c>
      <c r="C1670" s="1" t="s">
        <v>88</v>
      </c>
      <c r="D1670" s="1" t="s">
        <v>980</v>
      </c>
      <c r="E1670" s="1" t="s">
        <v>982</v>
      </c>
      <c r="F1670" s="1" t="s">
        <v>83</v>
      </c>
      <c r="G1670"/>
      <c r="H1670" t="s">
        <v>89</v>
      </c>
      <c r="I1670" s="12">
        <v>9.043593128464499</v>
      </c>
      <c r="J1670" s="12">
        <v>25.838837510000001</v>
      </c>
      <c r="K1670" t="s">
        <v>89</v>
      </c>
      <c r="L1670" s="16">
        <v>3345.5616153420001</v>
      </c>
      <c r="M1670" t="s">
        <v>89</v>
      </c>
      <c r="N1670" s="16">
        <v>30828.042119435999</v>
      </c>
      <c r="O1670" s="15">
        <v>31.374067831000001</v>
      </c>
      <c r="P1670" s="15">
        <v>8.8865040119999996</v>
      </c>
      <c r="Q1670" s="15">
        <v>45.352833333</v>
      </c>
      <c r="R1670" s="15">
        <v>50.444085319000003</v>
      </c>
      <c r="S1670"/>
      <c r="T1670" s="15"/>
      <c r="U1670"/>
      <c r="V1670" s="15">
        <v>10.298273511</v>
      </c>
      <c r="W1670" s="12">
        <v>0.72541833332999994</v>
      </c>
      <c r="X1670"/>
      <c r="Y1670" s="15">
        <v>66.876471520999999</v>
      </c>
      <c r="Z1670"/>
      <c r="AA1670" s="15">
        <v>1.0125</v>
      </c>
      <c r="AB1670" s="16">
        <v>10.125</v>
      </c>
      <c r="AC1670" s="32">
        <v>-1.7930999999999999E-2</v>
      </c>
      <c r="AD1670" s="16">
        <v>-0.17931</v>
      </c>
      <c r="AE1670" s="19">
        <v>1</v>
      </c>
    </row>
    <row r="1671" spans="1:31" x14ac:dyDescent="0.2">
      <c r="A1671" s="19">
        <v>1670</v>
      </c>
      <c r="B1671" s="1">
        <v>2023</v>
      </c>
      <c r="C1671" s="8" t="s">
        <v>96</v>
      </c>
      <c r="D1671" s="22" t="s">
        <v>931</v>
      </c>
      <c r="E1671" s="1">
        <v>7416</v>
      </c>
      <c r="F1671" s="1" t="s">
        <v>83</v>
      </c>
      <c r="G1671"/>
      <c r="H1671"/>
      <c r="I1671" s="12">
        <v>2.0414835178835</v>
      </c>
      <c r="J1671" s="12">
        <v>5.8328100510000001</v>
      </c>
      <c r="K1671"/>
      <c r="L1671" s="16">
        <v>2781.25</v>
      </c>
      <c r="M1671"/>
      <c r="N1671" s="16">
        <v>5701.0785636299997</v>
      </c>
      <c r="O1671" s="15">
        <v>12.329404895</v>
      </c>
      <c r="P1671"/>
      <c r="Q1671" s="15">
        <v>64.522499999999994</v>
      </c>
      <c r="R1671" s="15">
        <v>67.067499999999995</v>
      </c>
      <c r="S1671"/>
      <c r="T1671" s="15">
        <v>41.015000000000001</v>
      </c>
      <c r="U1671"/>
      <c r="V1671" s="15">
        <v>4.8849999999999998</v>
      </c>
      <c r="W1671" s="12">
        <v>0.61354999999999993</v>
      </c>
      <c r="X1671"/>
      <c r="Y1671" s="15">
        <v>65.282499999999999</v>
      </c>
      <c r="Z1671"/>
      <c r="AA1671" s="15">
        <v>1.05</v>
      </c>
      <c r="AB1671" s="16">
        <v>10.5</v>
      </c>
      <c r="AC1671" s="32"/>
      <c r="AD1671" s="32"/>
      <c r="AE1671" s="1">
        <v>0</v>
      </c>
    </row>
    <row r="1672" spans="1:31" x14ac:dyDescent="0.2">
      <c r="A1672" s="19">
        <v>1671</v>
      </c>
      <c r="B1672" s="1">
        <v>2023</v>
      </c>
      <c r="C1672" s="8" t="s">
        <v>96</v>
      </c>
      <c r="D1672" s="22" t="s">
        <v>931</v>
      </c>
      <c r="E1672" s="1" t="s">
        <v>970</v>
      </c>
      <c r="F1672" s="1" t="s">
        <v>83</v>
      </c>
      <c r="G1672"/>
      <c r="H1672" t="s">
        <v>34</v>
      </c>
      <c r="I1672" s="12">
        <v>2.4849880139844998</v>
      </c>
      <c r="J1672" s="12">
        <v>7.0999657540000003</v>
      </c>
      <c r="K1672"/>
      <c r="L1672" s="16">
        <v>2766.25</v>
      </c>
      <c r="M1672" t="s">
        <v>34</v>
      </c>
      <c r="N1672" s="16">
        <v>6905.0056352219999</v>
      </c>
      <c r="O1672" s="15">
        <v>14.437776396</v>
      </c>
      <c r="P1672"/>
      <c r="Q1672" s="15">
        <v>65.92</v>
      </c>
      <c r="R1672" s="15">
        <v>64.607500000000002</v>
      </c>
      <c r="S1672"/>
      <c r="T1672" s="15">
        <v>42.597499999999997</v>
      </c>
      <c r="U1672"/>
      <c r="V1672" s="15">
        <v>4.3174999999999999</v>
      </c>
      <c r="W1672" s="12">
        <v>0.61387500000000006</v>
      </c>
      <c r="X1672"/>
      <c r="Y1672" s="15">
        <v>64.497500000000002</v>
      </c>
      <c r="Z1672"/>
      <c r="AA1672" s="15">
        <v>1.25</v>
      </c>
      <c r="AB1672" s="16">
        <v>12.5</v>
      </c>
      <c r="AC1672" s="32"/>
      <c r="AD1672" s="32"/>
      <c r="AE1672" s="1">
        <v>0</v>
      </c>
    </row>
    <row r="1673" spans="1:31" x14ac:dyDescent="0.2">
      <c r="A1673" s="19">
        <v>1672</v>
      </c>
      <c r="B1673" s="1">
        <v>2023</v>
      </c>
      <c r="C1673" s="8" t="s">
        <v>96</v>
      </c>
      <c r="D1673" s="22" t="s">
        <v>931</v>
      </c>
      <c r="E1673" s="1" t="s">
        <v>971</v>
      </c>
      <c r="F1673" s="1" t="s">
        <v>83</v>
      </c>
      <c r="G1673"/>
      <c r="H1673"/>
      <c r="I1673" s="12">
        <v>1.4052583981860001</v>
      </c>
      <c r="J1673" s="12">
        <v>4.015023995</v>
      </c>
      <c r="K1673"/>
      <c r="L1673" s="16">
        <v>2940.75</v>
      </c>
      <c r="M1673"/>
      <c r="N1673" s="16">
        <v>4143.5010422839996</v>
      </c>
      <c r="O1673" s="15">
        <v>13.188065562</v>
      </c>
      <c r="P1673"/>
      <c r="Q1673" s="15">
        <v>61.772500000000001</v>
      </c>
      <c r="R1673" s="15">
        <v>72.86</v>
      </c>
      <c r="S1673"/>
      <c r="T1673" s="15">
        <v>39.695</v>
      </c>
      <c r="U1673"/>
      <c r="V1673" s="15">
        <v>5.8224999999999998</v>
      </c>
      <c r="W1673" s="12">
        <v>0.63085000000000002</v>
      </c>
      <c r="X1673"/>
      <c r="Y1673" s="15">
        <v>68.822500000000005</v>
      </c>
      <c r="Z1673"/>
      <c r="AA1673" s="15">
        <v>1.125</v>
      </c>
      <c r="AB1673" s="16">
        <v>11.25</v>
      </c>
      <c r="AC1673" s="32"/>
      <c r="AD1673" s="32"/>
      <c r="AE1673" s="1">
        <v>0</v>
      </c>
    </row>
    <row r="1674" spans="1:31" x14ac:dyDescent="0.2">
      <c r="A1674" s="19">
        <v>1673</v>
      </c>
      <c r="B1674" s="1">
        <v>2023</v>
      </c>
      <c r="C1674" s="8" t="s">
        <v>96</v>
      </c>
      <c r="D1674" s="22" t="s">
        <v>931</v>
      </c>
      <c r="E1674" s="1" t="s">
        <v>972</v>
      </c>
      <c r="F1674" s="1" t="s">
        <v>83</v>
      </c>
      <c r="G1674"/>
      <c r="H1674"/>
      <c r="I1674" s="12">
        <v>1.483626033667</v>
      </c>
      <c r="J1674" s="12">
        <v>4.2389315249999999</v>
      </c>
      <c r="K1674"/>
      <c r="L1674" s="16">
        <v>2990.75</v>
      </c>
      <c r="M1674"/>
      <c r="N1674" s="16">
        <v>4435.2316367120002</v>
      </c>
      <c r="O1674" s="15">
        <v>13.472320112</v>
      </c>
      <c r="P1674"/>
      <c r="Q1674" s="15">
        <v>62.057499999999997</v>
      </c>
      <c r="R1674" s="15">
        <v>72.232500000000002</v>
      </c>
      <c r="S1674"/>
      <c r="T1674" s="15">
        <v>38.06</v>
      </c>
      <c r="U1674"/>
      <c r="V1674" s="15">
        <v>5.6375000000000002</v>
      </c>
      <c r="W1674" s="12">
        <v>0.63947500000000002</v>
      </c>
      <c r="X1674"/>
      <c r="Y1674" s="15">
        <v>69.185000000000002</v>
      </c>
      <c r="Z1674"/>
      <c r="AA1674" s="15">
        <v>1.0249999999999999</v>
      </c>
      <c r="AB1674" s="16">
        <v>10.25</v>
      </c>
      <c r="AC1674" s="32"/>
      <c r="AD1674" s="32"/>
      <c r="AE1674" s="1">
        <v>0</v>
      </c>
    </row>
    <row r="1675" spans="1:31" x14ac:dyDescent="0.2">
      <c r="A1675" s="19">
        <v>1674</v>
      </c>
      <c r="B1675" s="1">
        <v>2023</v>
      </c>
      <c r="C1675" s="8" t="s">
        <v>96</v>
      </c>
      <c r="D1675" s="1" t="s">
        <v>914</v>
      </c>
      <c r="E1675" s="1" t="s">
        <v>973</v>
      </c>
      <c r="F1675" s="1" t="s">
        <v>83</v>
      </c>
      <c r="G1675"/>
      <c r="H1675" t="s">
        <v>34</v>
      </c>
      <c r="I1675" s="12">
        <v>2.6868630937825002</v>
      </c>
      <c r="J1675" s="12">
        <v>7.6767516970000003</v>
      </c>
      <c r="K1675"/>
      <c r="L1675" s="16">
        <v>2856.75</v>
      </c>
      <c r="M1675" t="s">
        <v>34</v>
      </c>
      <c r="N1675" s="16">
        <v>7685.6831371360004</v>
      </c>
      <c r="O1675" s="15">
        <v>14.91220575</v>
      </c>
      <c r="P1675"/>
      <c r="Q1675" s="15">
        <v>63.417499999999997</v>
      </c>
      <c r="R1675" s="15">
        <v>64.222499999999997</v>
      </c>
      <c r="S1675"/>
      <c r="T1675" s="15">
        <v>40.325000000000003</v>
      </c>
      <c r="U1675"/>
      <c r="V1675" s="15">
        <v>5.2774999999999999</v>
      </c>
      <c r="W1675" s="12">
        <v>0.62827500000000003</v>
      </c>
      <c r="X1675"/>
      <c r="Y1675" s="15">
        <v>65.287499999999994</v>
      </c>
      <c r="Z1675"/>
      <c r="AA1675" s="15">
        <v>1.1125</v>
      </c>
      <c r="AB1675" s="16">
        <v>11.125</v>
      </c>
      <c r="AC1675" s="32"/>
      <c r="AD1675" s="32"/>
      <c r="AE1675" s="1">
        <v>0</v>
      </c>
    </row>
    <row r="1676" spans="1:31" x14ac:dyDescent="0.2">
      <c r="A1676" s="19">
        <v>1675</v>
      </c>
      <c r="B1676" s="1">
        <v>2023</v>
      </c>
      <c r="C1676" s="8" t="s">
        <v>96</v>
      </c>
      <c r="D1676" s="1" t="s">
        <v>914</v>
      </c>
      <c r="E1676" s="1" t="s">
        <v>974</v>
      </c>
      <c r="F1676" s="1" t="s">
        <v>83</v>
      </c>
      <c r="G1676"/>
      <c r="H1676" t="s">
        <v>34</v>
      </c>
      <c r="I1676" s="12">
        <v>2.3371942744735001</v>
      </c>
      <c r="J1676" s="12">
        <v>6.6776979269999996</v>
      </c>
      <c r="K1676" t="s">
        <v>34</v>
      </c>
      <c r="L1676" s="16">
        <v>3098.25</v>
      </c>
      <c r="M1676" t="s">
        <v>34</v>
      </c>
      <c r="N1676" s="16">
        <v>7196.3449802169998</v>
      </c>
      <c r="O1676" s="15">
        <v>14.556102863</v>
      </c>
      <c r="P1676"/>
      <c r="Q1676" s="15">
        <v>61.052500000000002</v>
      </c>
      <c r="R1676" s="15">
        <v>73.265000000000001</v>
      </c>
      <c r="S1676"/>
      <c r="T1676" s="15">
        <v>37.417499999999997</v>
      </c>
      <c r="U1676"/>
      <c r="V1676" s="15">
        <v>5.7225000000000001</v>
      </c>
      <c r="W1676" s="12">
        <v>0.65557500000000002</v>
      </c>
      <c r="X1676"/>
      <c r="Y1676" s="15">
        <v>70.457499999999996</v>
      </c>
      <c r="Z1676"/>
      <c r="AA1676" s="15">
        <v>1.175</v>
      </c>
      <c r="AB1676" s="16">
        <v>11.75</v>
      </c>
      <c r="AC1676" s="32"/>
      <c r="AD1676" s="32"/>
      <c r="AE1676" s="1">
        <v>0</v>
      </c>
    </row>
    <row r="1677" spans="1:31" x14ac:dyDescent="0.2">
      <c r="A1677" s="19">
        <v>1676</v>
      </c>
      <c r="B1677" s="1">
        <v>2023</v>
      </c>
      <c r="C1677" s="8" t="s">
        <v>96</v>
      </c>
      <c r="D1677" s="1" t="s">
        <v>914</v>
      </c>
      <c r="E1677" s="1" t="s">
        <v>975</v>
      </c>
      <c r="F1677" s="1" t="s">
        <v>83</v>
      </c>
      <c r="G1677"/>
      <c r="H1677"/>
      <c r="I1677" s="12">
        <v>1.7469250943679999</v>
      </c>
      <c r="J1677" s="12">
        <v>4.991214555</v>
      </c>
      <c r="K1677"/>
      <c r="L1677" s="16">
        <v>2872</v>
      </c>
      <c r="M1677"/>
      <c r="N1677" s="16">
        <v>5025.9050648439998</v>
      </c>
      <c r="O1677" s="15">
        <v>11.131765253999999</v>
      </c>
      <c r="P1677"/>
      <c r="Q1677" s="15">
        <v>61.975000000000001</v>
      </c>
      <c r="R1677" s="15">
        <v>72.392499999999998</v>
      </c>
      <c r="S1677"/>
      <c r="T1677" s="15">
        <v>38.65</v>
      </c>
      <c r="U1677"/>
      <c r="V1677" s="15">
        <v>5.665</v>
      </c>
      <c r="W1677" s="12">
        <v>0.62090000000000001</v>
      </c>
      <c r="X1677"/>
      <c r="Y1677" s="15">
        <v>67.875</v>
      </c>
      <c r="Z1677"/>
      <c r="AA1677" s="15">
        <v>1.1375</v>
      </c>
      <c r="AB1677" s="16">
        <v>11.375</v>
      </c>
      <c r="AC1677" s="32"/>
      <c r="AD1677" s="32"/>
      <c r="AE1677" s="1">
        <v>0</v>
      </c>
    </row>
    <row r="1678" spans="1:31" x14ac:dyDescent="0.2">
      <c r="A1678" s="19">
        <v>1677</v>
      </c>
      <c r="B1678" s="1">
        <v>2023</v>
      </c>
      <c r="C1678" s="8" t="s">
        <v>96</v>
      </c>
      <c r="D1678" s="1" t="s">
        <v>914</v>
      </c>
      <c r="E1678" s="1" t="s">
        <v>918</v>
      </c>
      <c r="F1678" s="1" t="s">
        <v>83</v>
      </c>
      <c r="G1678"/>
      <c r="H1678"/>
      <c r="I1678" s="12">
        <v>1.8565</v>
      </c>
      <c r="J1678" s="12">
        <v>5.3037538319999999</v>
      </c>
      <c r="K1678"/>
      <c r="L1678" s="16">
        <v>2853.25</v>
      </c>
      <c r="M1678"/>
      <c r="N1678" s="16">
        <v>5296.10040415</v>
      </c>
      <c r="O1678" s="15">
        <v>13.649846156000001</v>
      </c>
      <c r="P1678"/>
      <c r="Q1678" s="15">
        <v>65.757499999999993</v>
      </c>
      <c r="R1678" s="15">
        <v>67.117500000000007</v>
      </c>
      <c r="S1678"/>
      <c r="T1678" s="15">
        <v>40.332500000000003</v>
      </c>
      <c r="U1678"/>
      <c r="V1678" s="15">
        <v>4.4375</v>
      </c>
      <c r="W1678" s="12">
        <v>0.62444999999999995</v>
      </c>
      <c r="X1678"/>
      <c r="Y1678" s="15">
        <v>66.33</v>
      </c>
      <c r="Z1678"/>
      <c r="AA1678" s="15">
        <v>1.0249999999999999</v>
      </c>
      <c r="AB1678" s="16">
        <v>10.25</v>
      </c>
      <c r="AC1678" s="32"/>
      <c r="AD1678" s="32"/>
      <c r="AE1678" s="1">
        <v>0</v>
      </c>
    </row>
    <row r="1679" spans="1:31" x14ac:dyDescent="0.2">
      <c r="A1679" s="19">
        <v>1678</v>
      </c>
      <c r="B1679" s="1">
        <v>2023</v>
      </c>
      <c r="C1679" s="8" t="s">
        <v>96</v>
      </c>
      <c r="D1679" s="1" t="s">
        <v>914</v>
      </c>
      <c r="E1679" s="1" t="s">
        <v>919</v>
      </c>
      <c r="F1679" s="1" t="s">
        <v>83</v>
      </c>
      <c r="G1679"/>
      <c r="H1679"/>
      <c r="I1679" s="12">
        <v>1.587673344146</v>
      </c>
      <c r="J1679" s="12">
        <v>4.5362095550000001</v>
      </c>
      <c r="K1679"/>
      <c r="L1679" s="16">
        <v>2992.5</v>
      </c>
      <c r="M1679"/>
      <c r="N1679" s="16">
        <v>4737.3051343870002</v>
      </c>
      <c r="O1679" s="15">
        <v>12.419879288000001</v>
      </c>
      <c r="P1679"/>
      <c r="Q1679" s="15">
        <v>61.954999999999998</v>
      </c>
      <c r="R1679" s="15">
        <v>72.467500000000001</v>
      </c>
      <c r="S1679"/>
      <c r="T1679" s="15">
        <v>38.454999999999998</v>
      </c>
      <c r="U1679"/>
      <c r="V1679" s="15">
        <v>5.3375000000000004</v>
      </c>
      <c r="W1679" s="12">
        <v>0.63944999999999996</v>
      </c>
      <c r="X1679"/>
      <c r="Y1679" s="15">
        <v>69.314999999999998</v>
      </c>
      <c r="Z1679"/>
      <c r="AA1679" s="15">
        <v>1.0249999999999999</v>
      </c>
      <c r="AB1679" s="16">
        <v>10.25</v>
      </c>
      <c r="AC1679" s="32"/>
      <c r="AD1679" s="32"/>
      <c r="AE1679" s="1">
        <v>0</v>
      </c>
    </row>
    <row r="1680" spans="1:31" x14ac:dyDescent="0.2">
      <c r="A1680" s="19">
        <v>1679</v>
      </c>
      <c r="B1680" s="1">
        <v>2023</v>
      </c>
      <c r="C1680" s="8" t="s">
        <v>96</v>
      </c>
      <c r="D1680" s="1" t="s">
        <v>838</v>
      </c>
      <c r="E1680" s="1" t="s">
        <v>976</v>
      </c>
      <c r="F1680" s="1" t="s">
        <v>83</v>
      </c>
      <c r="G1680"/>
      <c r="H1680"/>
      <c r="I1680" s="12">
        <v>1.7673345745040001</v>
      </c>
      <c r="J1680" s="12">
        <v>5.0495273559999996</v>
      </c>
      <c r="K1680"/>
      <c r="L1680" s="16">
        <v>2830.75</v>
      </c>
      <c r="M1680"/>
      <c r="N1680" s="16">
        <v>4995.8979646369999</v>
      </c>
      <c r="O1680" s="15">
        <v>13.144319612</v>
      </c>
      <c r="P1680"/>
      <c r="Q1680" s="15">
        <v>63.767499999999998</v>
      </c>
      <c r="R1680" s="15">
        <v>67.412499999999994</v>
      </c>
      <c r="S1680"/>
      <c r="T1680" s="15">
        <v>40.43</v>
      </c>
      <c r="U1680"/>
      <c r="V1680" s="15">
        <v>5.4924999999999997</v>
      </c>
      <c r="W1680" s="12">
        <v>0.62090000000000001</v>
      </c>
      <c r="X1680"/>
      <c r="Y1680" s="15">
        <v>65.885000000000005</v>
      </c>
      <c r="Z1680"/>
      <c r="AA1680" s="15">
        <v>1.05</v>
      </c>
      <c r="AB1680" s="16">
        <v>10.5</v>
      </c>
      <c r="AC1680" s="32"/>
      <c r="AD1680" s="32"/>
      <c r="AE1680" s="1">
        <v>0</v>
      </c>
    </row>
    <row r="1681" spans="1:31" x14ac:dyDescent="0.2">
      <c r="A1681" s="19">
        <v>1680</v>
      </c>
      <c r="B1681" s="1">
        <v>2023</v>
      </c>
      <c r="C1681" s="8" t="s">
        <v>96</v>
      </c>
      <c r="D1681" s="1" t="s">
        <v>838</v>
      </c>
      <c r="E1681" s="1" t="s">
        <v>977</v>
      </c>
      <c r="F1681" s="1" t="s">
        <v>83</v>
      </c>
      <c r="G1681"/>
      <c r="H1681"/>
      <c r="I1681" s="12">
        <v>1.2765071759505</v>
      </c>
      <c r="J1681" s="12">
        <v>3.64716336</v>
      </c>
      <c r="K1681" t="s">
        <v>34</v>
      </c>
      <c r="L1681" s="16">
        <v>3044.5</v>
      </c>
      <c r="M1681"/>
      <c r="N1681" s="16">
        <v>3915.8714398819998</v>
      </c>
      <c r="O1681" s="15">
        <v>13.192993284</v>
      </c>
      <c r="P1681"/>
      <c r="Q1681" s="15">
        <v>61.842500000000001</v>
      </c>
      <c r="R1681" s="15">
        <v>73.12</v>
      </c>
      <c r="S1681"/>
      <c r="T1681" s="15">
        <v>39.432499999999997</v>
      </c>
      <c r="U1681"/>
      <c r="V1681" s="15">
        <v>5.4</v>
      </c>
      <c r="W1681" s="12">
        <v>0.64702499999999996</v>
      </c>
      <c r="X1681"/>
      <c r="Y1681" s="15">
        <v>69.987499999999997</v>
      </c>
      <c r="Z1681"/>
      <c r="AA1681" s="15">
        <v>1.0249999999999999</v>
      </c>
      <c r="AB1681" s="16">
        <v>10.25</v>
      </c>
      <c r="AC1681" s="32"/>
      <c r="AD1681" s="32"/>
      <c r="AE1681" s="1">
        <v>0</v>
      </c>
    </row>
    <row r="1682" spans="1:31" x14ac:dyDescent="0.2">
      <c r="A1682" s="19">
        <v>1681</v>
      </c>
      <c r="B1682" s="1">
        <v>2023</v>
      </c>
      <c r="C1682" s="8" t="s">
        <v>96</v>
      </c>
      <c r="D1682" s="1" t="s">
        <v>951</v>
      </c>
      <c r="E1682" s="1" t="s">
        <v>983</v>
      </c>
      <c r="F1682" s="1" t="s">
        <v>83</v>
      </c>
      <c r="G1682"/>
      <c r="H1682"/>
      <c r="I1682" s="12">
        <v>1.0024130462110001</v>
      </c>
      <c r="J1682" s="12">
        <v>2.8640372749999998</v>
      </c>
      <c r="K1682" t="s">
        <v>34</v>
      </c>
      <c r="L1682" s="16">
        <v>3029.25</v>
      </c>
      <c r="M1682"/>
      <c r="N1682" s="16">
        <v>3015.468428833</v>
      </c>
      <c r="O1682" s="15">
        <v>14.22575838</v>
      </c>
      <c r="P1682"/>
      <c r="Q1682" s="15">
        <v>59.25</v>
      </c>
      <c r="R1682" s="15">
        <v>72.052499999999995</v>
      </c>
      <c r="S1682"/>
      <c r="T1682" s="15">
        <v>37.717500000000001</v>
      </c>
      <c r="U1682"/>
      <c r="V1682" s="15">
        <v>5.8224999999999998</v>
      </c>
      <c r="W1682" s="12">
        <v>0.64577499999999999</v>
      </c>
      <c r="X1682"/>
      <c r="Y1682" s="15">
        <v>69.2</v>
      </c>
      <c r="Z1682"/>
      <c r="AA1682" s="15">
        <v>1.05</v>
      </c>
      <c r="AB1682" s="16">
        <v>10.5</v>
      </c>
      <c r="AC1682" s="32"/>
      <c r="AD1682" s="32"/>
      <c r="AE1682" s="1">
        <v>0</v>
      </c>
    </row>
    <row r="1683" spans="1:31" x14ac:dyDescent="0.2">
      <c r="A1683" s="19">
        <v>1682</v>
      </c>
      <c r="B1683" s="1">
        <v>2023</v>
      </c>
      <c r="C1683" s="8" t="s">
        <v>96</v>
      </c>
      <c r="D1683" s="1" t="s">
        <v>951</v>
      </c>
      <c r="E1683" s="1" t="s">
        <v>984</v>
      </c>
      <c r="F1683" s="1" t="s">
        <v>83</v>
      </c>
      <c r="G1683"/>
      <c r="H1683" t="s">
        <v>34</v>
      </c>
      <c r="I1683" s="12">
        <v>2.6282176424555002</v>
      </c>
      <c r="J1683" s="12">
        <v>7.5091932640000003</v>
      </c>
      <c r="K1683"/>
      <c r="L1683" s="16">
        <v>2733.25</v>
      </c>
      <c r="M1683" t="s">
        <v>34</v>
      </c>
      <c r="N1683" s="16">
        <v>7190.2998699159998</v>
      </c>
      <c r="O1683" s="15">
        <v>13.68419536</v>
      </c>
      <c r="P1683"/>
      <c r="Q1683" s="15">
        <v>65.215000000000003</v>
      </c>
      <c r="R1683" s="15">
        <v>63.54</v>
      </c>
      <c r="S1683"/>
      <c r="T1683" s="15">
        <v>42.204999999999998</v>
      </c>
      <c r="U1683"/>
      <c r="V1683" s="15">
        <v>4.7575000000000003</v>
      </c>
      <c r="W1683" s="12">
        <v>0.610375</v>
      </c>
      <c r="X1683"/>
      <c r="Y1683" s="15">
        <v>63.677500000000002</v>
      </c>
      <c r="Z1683"/>
      <c r="AA1683" s="15">
        <v>1.2</v>
      </c>
      <c r="AB1683" s="16">
        <v>12</v>
      </c>
      <c r="AC1683" s="32"/>
      <c r="AD1683" s="32"/>
      <c r="AE1683" s="1">
        <v>0</v>
      </c>
    </row>
    <row r="1684" spans="1:31" x14ac:dyDescent="0.2">
      <c r="A1684" s="19">
        <v>1683</v>
      </c>
      <c r="B1684" s="1">
        <v>2024</v>
      </c>
      <c r="C1684" s="8" t="s">
        <v>31</v>
      </c>
      <c r="D1684" s="1" t="s">
        <v>916</v>
      </c>
      <c r="E1684" s="1" t="s">
        <v>986</v>
      </c>
      <c r="F1684" s="1" t="s">
        <v>32</v>
      </c>
      <c r="G1684" s="1">
        <v>125</v>
      </c>
      <c r="H1684" t="s">
        <v>89</v>
      </c>
      <c r="I1684" s="12">
        <v>6.9210229919010002</v>
      </c>
      <c r="J1684" s="12">
        <v>25.105504251474944</v>
      </c>
      <c r="K1684" s="34" t="s">
        <v>89</v>
      </c>
      <c r="L1684" s="16">
        <v>2845.6773893555696</v>
      </c>
      <c r="M1684" t="s">
        <v>89</v>
      </c>
      <c r="N1684" s="16">
        <v>19635.957059821038</v>
      </c>
      <c r="O1684" s="12">
        <v>27.169967865</v>
      </c>
      <c r="P1684" s="15">
        <v>10.149877387</v>
      </c>
      <c r="Q1684"/>
      <c r="R1684"/>
      <c r="S1684"/>
      <c r="T1684" s="15">
        <v>25.241795281999998</v>
      </c>
      <c r="U1684" s="15">
        <v>21.122256295</v>
      </c>
      <c r="V1684" s="15"/>
      <c r="W1684" s="12">
        <v>0.743622636</v>
      </c>
      <c r="X1684"/>
      <c r="Y1684" s="15">
        <v>72.171598282000005</v>
      </c>
      <c r="Z1684"/>
      <c r="AA1684"/>
      <c r="AB1684"/>
      <c r="AC1684"/>
      <c r="AD1684"/>
      <c r="AE1684" s="19">
        <v>1</v>
      </c>
    </row>
    <row r="1685" spans="1:31" x14ac:dyDescent="0.2">
      <c r="A1685" s="19">
        <v>1684</v>
      </c>
      <c r="B1685" s="1">
        <v>2024</v>
      </c>
      <c r="C1685" s="8" t="s">
        <v>31</v>
      </c>
      <c r="D1685" s="1" t="s">
        <v>916</v>
      </c>
      <c r="E1685" s="1" t="s">
        <v>650</v>
      </c>
      <c r="F1685" s="1" t="s">
        <v>32</v>
      </c>
      <c r="G1685" s="1">
        <v>120</v>
      </c>
      <c r="H1685" t="s">
        <v>89</v>
      </c>
      <c r="I1685" s="12">
        <v>7.5093143628400005</v>
      </c>
      <c r="J1685" s="12">
        <v>26.075724382635407</v>
      </c>
      <c r="K1685" s="34" t="s">
        <v>89</v>
      </c>
      <c r="L1685" s="16">
        <v>3001.4909904384263</v>
      </c>
      <c r="M1685" t="s">
        <v>89</v>
      </c>
      <c r="N1685" s="16">
        <v>22544.371388211828</v>
      </c>
      <c r="O1685" s="12">
        <v>29.37133807</v>
      </c>
      <c r="P1685" s="15">
        <v>9.3030916369999996</v>
      </c>
      <c r="Q1685"/>
      <c r="R1685"/>
      <c r="S1685"/>
      <c r="T1685" s="15">
        <v>21.28628462</v>
      </c>
      <c r="U1685" s="15">
        <v>29.375470329999999</v>
      </c>
      <c r="V1685"/>
      <c r="W1685" s="12">
        <v>0.79069321299999995</v>
      </c>
      <c r="X1685"/>
      <c r="Y1685" s="15">
        <v>76.316973824000002</v>
      </c>
      <c r="Z1685"/>
      <c r="AA1685"/>
      <c r="AB1685"/>
      <c r="AC1685"/>
      <c r="AD1685"/>
      <c r="AE1685" s="19">
        <v>1</v>
      </c>
    </row>
    <row r="1686" spans="1:31" x14ac:dyDescent="0.2">
      <c r="A1686" s="19">
        <v>1685</v>
      </c>
      <c r="B1686" s="1">
        <v>2024</v>
      </c>
      <c r="C1686" s="8" t="s">
        <v>31</v>
      </c>
      <c r="D1686" s="1" t="s">
        <v>916</v>
      </c>
      <c r="E1686" s="1" t="s">
        <v>987</v>
      </c>
      <c r="F1686" s="1" t="s">
        <v>32</v>
      </c>
      <c r="G1686" s="1">
        <v>117</v>
      </c>
      <c r="H1686" t="s">
        <v>89</v>
      </c>
      <c r="I1686" s="12">
        <v>5.6211175123519999</v>
      </c>
      <c r="J1686" s="12">
        <v>17.064244331558466</v>
      </c>
      <c r="K1686" s="34" t="s">
        <v>89</v>
      </c>
      <c r="L1686" s="16">
        <v>3091.7366273748753</v>
      </c>
      <c r="M1686" t="s">
        <v>89</v>
      </c>
      <c r="N1686" s="16">
        <v>17541.033491015045</v>
      </c>
      <c r="O1686" s="12">
        <v>32.505414203000001</v>
      </c>
      <c r="P1686" s="15">
        <v>10.197932148</v>
      </c>
      <c r="Q1686"/>
      <c r="R1686"/>
      <c r="S1686"/>
      <c r="T1686" s="15">
        <v>18.012634027000001</v>
      </c>
      <c r="U1686" s="15">
        <v>32.978535371</v>
      </c>
      <c r="V1686"/>
      <c r="W1686" s="12">
        <v>0.82964965499999999</v>
      </c>
      <c r="X1686"/>
      <c r="Y1686" s="15">
        <v>79.747759314999996</v>
      </c>
      <c r="Z1686"/>
      <c r="AA1686"/>
      <c r="AB1686"/>
      <c r="AC1686"/>
      <c r="AD1686"/>
      <c r="AE1686" s="19">
        <v>1</v>
      </c>
    </row>
    <row r="1687" spans="1:31" x14ac:dyDescent="0.2">
      <c r="A1687" s="19">
        <v>1686</v>
      </c>
      <c r="B1687" s="1">
        <v>2024</v>
      </c>
      <c r="C1687" s="8" t="s">
        <v>31</v>
      </c>
      <c r="D1687" s="1" t="s">
        <v>916</v>
      </c>
      <c r="E1687" s="1" t="s">
        <v>988</v>
      </c>
      <c r="F1687" s="1" t="s">
        <v>32</v>
      </c>
      <c r="G1687" s="1">
        <v>116</v>
      </c>
      <c r="H1687" t="s">
        <v>89</v>
      </c>
      <c r="I1687" s="12">
        <v>6.1196490166909996</v>
      </c>
      <c r="J1687" s="12">
        <v>18.194314733115188</v>
      </c>
      <c r="K1687" s="34" t="s">
        <v>89</v>
      </c>
      <c r="L1687" s="16">
        <v>3141.4916341588146</v>
      </c>
      <c r="M1687" s="1" t="s">
        <v>89</v>
      </c>
      <c r="N1687" s="16">
        <v>19218.992749805835</v>
      </c>
      <c r="O1687" s="12">
        <v>31.949120058999998</v>
      </c>
      <c r="P1687" s="15">
        <v>9.5899024720000003</v>
      </c>
      <c r="T1687" s="15">
        <v>16.392105656999998</v>
      </c>
      <c r="U1687" s="15">
        <v>36.956290656</v>
      </c>
      <c r="W1687" s="12">
        <v>0.84893394300000002</v>
      </c>
      <c r="Y1687" s="15">
        <v>81.446072920999995</v>
      </c>
      <c r="AE1687" s="19">
        <v>1</v>
      </c>
    </row>
    <row r="1688" spans="1:31" x14ac:dyDescent="0.2">
      <c r="A1688" s="19">
        <v>1687</v>
      </c>
      <c r="B1688" s="1">
        <v>2024</v>
      </c>
      <c r="C1688" s="8" t="s">
        <v>31</v>
      </c>
      <c r="D1688" s="1" t="s">
        <v>402</v>
      </c>
      <c r="E1688" s="1" t="s">
        <v>989</v>
      </c>
      <c r="F1688" s="1" t="s">
        <v>32</v>
      </c>
      <c r="G1688" s="1">
        <v>114</v>
      </c>
      <c r="H1688" t="s">
        <v>89</v>
      </c>
      <c r="I1688" s="12">
        <v>6.9553145819390005</v>
      </c>
      <c r="J1688" s="12">
        <v>20.878009511200464</v>
      </c>
      <c r="K1688" s="34" t="s">
        <v>89</v>
      </c>
      <c r="L1688" s="16">
        <v>3028.1400972812889</v>
      </c>
      <c r="M1688" s="1" t="s">
        <v>89</v>
      </c>
      <c r="N1688" s="16">
        <v>21123.827514960514</v>
      </c>
      <c r="O1688" s="12">
        <v>33.258374500000002</v>
      </c>
      <c r="P1688" s="15">
        <v>9.2318138100000002</v>
      </c>
      <c r="T1688" s="15">
        <v>20.172773551999999</v>
      </c>
      <c r="U1688" s="15">
        <v>32.390148107000002</v>
      </c>
      <c r="W1688" s="12">
        <v>0.80394399500000002</v>
      </c>
      <c r="Y1688" s="15">
        <v>77.483933167999993</v>
      </c>
      <c r="AE1688" s="19">
        <v>1</v>
      </c>
    </row>
    <row r="1689" spans="1:31" x14ac:dyDescent="0.2">
      <c r="A1689" s="19">
        <v>1688</v>
      </c>
      <c r="B1689" s="1">
        <v>2024</v>
      </c>
      <c r="C1689" s="8" t="s">
        <v>31</v>
      </c>
      <c r="D1689" s="1" t="s">
        <v>402</v>
      </c>
      <c r="E1689" s="1" t="s">
        <v>990</v>
      </c>
      <c r="F1689" s="1" t="s">
        <v>32</v>
      </c>
      <c r="G1689" s="1">
        <v>114</v>
      </c>
      <c r="H1689" t="s">
        <v>89</v>
      </c>
      <c r="I1689" s="12">
        <v>6.2402928328430001</v>
      </c>
      <c r="J1689" s="12">
        <v>18.881156873418519</v>
      </c>
      <c r="K1689" s="34" t="s">
        <v>89</v>
      </c>
      <c r="L1689" s="16">
        <v>3161.6287500278122</v>
      </c>
      <c r="M1689" s="1" t="s">
        <v>89</v>
      </c>
      <c r="N1689" s="16">
        <v>19990.466683235889</v>
      </c>
      <c r="O1689" s="12">
        <v>32.762191041999998</v>
      </c>
      <c r="P1689" s="15">
        <v>8.6265157610000003</v>
      </c>
      <c r="T1689" s="15">
        <v>18.776836674999998</v>
      </c>
      <c r="U1689" s="15">
        <v>34.700307811000002</v>
      </c>
      <c r="W1689" s="12">
        <v>0.82055564400000003</v>
      </c>
      <c r="Y1689" s="15">
        <v>78.946874984000004</v>
      </c>
      <c r="AE1689" s="19">
        <v>1</v>
      </c>
    </row>
    <row r="1690" spans="1:31" x14ac:dyDescent="0.2">
      <c r="A1690" s="19">
        <v>1689</v>
      </c>
      <c r="B1690" s="1">
        <v>2024</v>
      </c>
      <c r="C1690" s="8" t="s">
        <v>31</v>
      </c>
      <c r="D1690" s="1" t="s">
        <v>402</v>
      </c>
      <c r="E1690" s="1" t="s">
        <v>991</v>
      </c>
      <c r="F1690" s="1" t="s">
        <v>32</v>
      </c>
      <c r="G1690" s="1">
        <v>116</v>
      </c>
      <c r="H1690" t="s">
        <v>89</v>
      </c>
      <c r="I1690" s="12">
        <v>6.7625661181660002</v>
      </c>
      <c r="J1690" s="12">
        <v>21.434744669047685</v>
      </c>
      <c r="K1690" s="34" t="s">
        <v>89</v>
      </c>
      <c r="L1690" s="16">
        <v>3170.6407044831299</v>
      </c>
      <c r="M1690" s="1" t="s">
        <v>89</v>
      </c>
      <c r="N1690" s="16">
        <v>21407.966280614102</v>
      </c>
      <c r="O1690" s="12">
        <v>31.94846137</v>
      </c>
      <c r="P1690" s="15">
        <v>8.8867538039999996</v>
      </c>
      <c r="T1690" s="15">
        <v>18.890301193999999</v>
      </c>
      <c r="U1690" s="15">
        <v>34.923192534000002</v>
      </c>
      <c r="W1690" s="12">
        <v>0.81920541599999996</v>
      </c>
      <c r="Y1690" s="15">
        <v>78.827964614999999</v>
      </c>
      <c r="AE1690" s="19">
        <v>1</v>
      </c>
    </row>
    <row r="1691" spans="1:31" x14ac:dyDescent="0.2">
      <c r="A1691" s="19">
        <v>1690</v>
      </c>
      <c r="B1691" s="1">
        <v>2024</v>
      </c>
      <c r="C1691" s="8" t="s">
        <v>31</v>
      </c>
      <c r="D1691" s="1" t="s">
        <v>805</v>
      </c>
      <c r="E1691" s="1" t="s">
        <v>992</v>
      </c>
      <c r="F1691" s="1" t="s">
        <v>32</v>
      </c>
      <c r="G1691" s="1">
        <v>116</v>
      </c>
      <c r="H1691" t="s">
        <v>89</v>
      </c>
      <c r="I1691" s="12">
        <v>7.2735884745275001</v>
      </c>
      <c r="J1691" s="12">
        <v>21.439470005821992</v>
      </c>
      <c r="K1691" s="34" t="s">
        <v>89</v>
      </c>
      <c r="L1691" s="16">
        <v>3225.7760174007508</v>
      </c>
      <c r="M1691" s="1" t="s">
        <v>89</v>
      </c>
      <c r="N1691" s="16">
        <v>23050.438234646153</v>
      </c>
      <c r="O1691" s="12">
        <v>35.961436439000003</v>
      </c>
      <c r="P1691" s="15">
        <v>7.5798203749999997</v>
      </c>
      <c r="T1691" s="15">
        <v>14.355262781</v>
      </c>
      <c r="U1691" s="15">
        <v>43.135841419000002</v>
      </c>
      <c r="W1691" s="12">
        <v>0.87317237299999995</v>
      </c>
      <c r="Y1691" s="15">
        <v>83.580684817999995</v>
      </c>
      <c r="AE1691" s="19">
        <v>1</v>
      </c>
    </row>
    <row r="1692" spans="1:31" x14ac:dyDescent="0.2">
      <c r="A1692" s="19">
        <v>1691</v>
      </c>
      <c r="B1692" s="1">
        <v>2024</v>
      </c>
      <c r="C1692" s="8" t="s">
        <v>31</v>
      </c>
      <c r="D1692" s="1" t="s">
        <v>805</v>
      </c>
      <c r="E1692" s="1" t="s">
        <v>993</v>
      </c>
      <c r="F1692" s="1" t="s">
        <v>32</v>
      </c>
      <c r="G1692" s="1">
        <v>118</v>
      </c>
      <c r="H1692" t="s">
        <v>34</v>
      </c>
      <c r="I1692" s="12">
        <v>8.4355860868239994</v>
      </c>
      <c r="J1692" s="12">
        <v>25.701961926195182</v>
      </c>
      <c r="K1692" s="34" t="s">
        <v>89</v>
      </c>
      <c r="L1692" s="16">
        <v>3130.5542367640824</v>
      </c>
      <c r="M1692" s="1" t="s">
        <v>34</v>
      </c>
      <c r="N1692" s="16">
        <v>26571.672167396817</v>
      </c>
      <c r="O1692" s="12">
        <v>32.564197874000001</v>
      </c>
      <c r="P1692" s="15">
        <v>8.5831449360000001</v>
      </c>
      <c r="T1692" s="15">
        <v>19.733863943999999</v>
      </c>
      <c r="U1692" s="15">
        <v>35.857904425000001</v>
      </c>
      <c r="W1692" s="12">
        <v>0.80916701899999999</v>
      </c>
      <c r="Y1692" s="15">
        <v>77.943909919999996</v>
      </c>
      <c r="AE1692" s="19">
        <v>1</v>
      </c>
    </row>
    <row r="1693" spans="1:31" x14ac:dyDescent="0.2">
      <c r="A1693" s="19">
        <v>1692</v>
      </c>
      <c r="B1693" s="1">
        <v>2024</v>
      </c>
      <c r="C1693" s="8" t="s">
        <v>31</v>
      </c>
      <c r="D1693" s="1" t="s">
        <v>805</v>
      </c>
      <c r="E1693" s="1" t="s">
        <v>994</v>
      </c>
      <c r="F1693" s="1" t="s">
        <v>32</v>
      </c>
      <c r="G1693" s="1">
        <v>120</v>
      </c>
      <c r="H1693" t="s">
        <v>89</v>
      </c>
      <c r="I1693" s="12">
        <v>7.4885893414250004</v>
      </c>
      <c r="J1693" s="12">
        <v>21.67158012418879</v>
      </c>
      <c r="K1693" s="34" t="s">
        <v>89</v>
      </c>
      <c r="L1693" s="16">
        <v>3175.5812646186096</v>
      </c>
      <c r="M1693" s="1" t="s">
        <v>89</v>
      </c>
      <c r="N1693" s="16">
        <v>23939.450239342183</v>
      </c>
      <c r="O1693" s="12">
        <v>34.382722886000003</v>
      </c>
      <c r="P1693" s="15">
        <v>8.3593596629999993</v>
      </c>
      <c r="T1693" s="15">
        <v>19.617343899000002</v>
      </c>
      <c r="U1693" s="15">
        <v>34.426326598999999</v>
      </c>
      <c r="W1693" s="12">
        <v>0.81055360799999998</v>
      </c>
      <c r="Y1693" s="15">
        <v>78.066022974999996</v>
      </c>
      <c r="AE1693" s="19">
        <v>1</v>
      </c>
    </row>
    <row r="1694" spans="1:31" x14ac:dyDescent="0.2">
      <c r="A1694" s="19">
        <v>1693</v>
      </c>
      <c r="B1694" s="1">
        <v>2024</v>
      </c>
      <c r="C1694" s="8" t="s">
        <v>31</v>
      </c>
      <c r="D1694" s="1" t="s">
        <v>861</v>
      </c>
      <c r="E1694" s="1" t="s">
        <v>995</v>
      </c>
      <c r="F1694" s="1" t="s">
        <v>32</v>
      </c>
      <c r="G1694" s="1">
        <v>114</v>
      </c>
      <c r="H1694" t="s">
        <v>89</v>
      </c>
      <c r="I1694" s="12">
        <v>7.1025331970245</v>
      </c>
      <c r="J1694" s="12">
        <v>22.350054056348068</v>
      </c>
      <c r="K1694" s="34" t="s">
        <v>89</v>
      </c>
      <c r="L1694" s="16">
        <v>3175.1440050824212</v>
      </c>
      <c r="M1694" s="1" t="s">
        <v>89</v>
      </c>
      <c r="N1694" s="16">
        <v>22654.371538735602</v>
      </c>
      <c r="O1694" s="12">
        <v>31.722930143999999</v>
      </c>
      <c r="P1694" s="15">
        <v>8.8341950869999994</v>
      </c>
      <c r="T1694" s="15">
        <v>18.577107222999999</v>
      </c>
      <c r="U1694" s="15">
        <v>37.160379020000001</v>
      </c>
      <c r="W1694" s="12">
        <v>0.822932424</v>
      </c>
      <c r="Y1694" s="15">
        <v>79.156191781000004</v>
      </c>
      <c r="AE1694" s="19">
        <v>1</v>
      </c>
    </row>
    <row r="1695" spans="1:31" x14ac:dyDescent="0.2">
      <c r="A1695" s="19">
        <v>1694</v>
      </c>
      <c r="B1695" s="1">
        <v>2024</v>
      </c>
      <c r="C1695" s="8" t="s">
        <v>31</v>
      </c>
      <c r="D1695" s="1" t="s">
        <v>861</v>
      </c>
      <c r="E1695" s="1" t="s">
        <v>996</v>
      </c>
      <c r="F1695" s="1" t="s">
        <v>32</v>
      </c>
      <c r="G1695" s="1">
        <v>114</v>
      </c>
      <c r="H1695" t="s">
        <v>89</v>
      </c>
      <c r="I1695" s="12">
        <v>8.268911616295</v>
      </c>
      <c r="J1695" s="12">
        <v>23.901318548865451</v>
      </c>
      <c r="K1695" s="34" t="s">
        <v>89</v>
      </c>
      <c r="L1695" s="16">
        <v>3155.6086864386452</v>
      </c>
      <c r="M1695" s="1" t="s">
        <v>89</v>
      </c>
      <c r="N1695" s="16">
        <v>25934.365390730465</v>
      </c>
      <c r="O1695" s="12">
        <v>34.920321848</v>
      </c>
      <c r="P1695" s="15">
        <v>8.8272691900000009</v>
      </c>
      <c r="T1695" s="15">
        <v>16.119986911000002</v>
      </c>
      <c r="U1695" s="15">
        <v>36.010653886999997</v>
      </c>
      <c r="W1695" s="12">
        <v>0.85217215599999996</v>
      </c>
      <c r="Y1695" s="15">
        <v>81.731253948000003</v>
      </c>
      <c r="AE1695" s="19">
        <v>1</v>
      </c>
    </row>
    <row r="1696" spans="1:31" x14ac:dyDescent="0.2">
      <c r="A1696" s="19">
        <v>1695</v>
      </c>
      <c r="B1696" s="1">
        <v>2024</v>
      </c>
      <c r="C1696" s="8" t="s">
        <v>31</v>
      </c>
      <c r="D1696" s="1" t="s">
        <v>861</v>
      </c>
      <c r="E1696" s="1" t="s">
        <v>997</v>
      </c>
      <c r="F1696" s="1" t="s">
        <v>32</v>
      </c>
      <c r="G1696" s="1">
        <v>116</v>
      </c>
      <c r="H1696" t="s">
        <v>89</v>
      </c>
      <c r="I1696" s="12">
        <v>6.2208058111845004</v>
      </c>
      <c r="J1696" s="12">
        <v>18.558993889780581</v>
      </c>
      <c r="K1696" s="34" t="s">
        <v>89</v>
      </c>
      <c r="L1696" s="16">
        <v>3037.6203361671705</v>
      </c>
      <c r="M1696" s="1" t="s">
        <v>89</v>
      </c>
      <c r="N1696" s="16">
        <v>19029.526561264418</v>
      </c>
      <c r="O1696" s="12">
        <v>31.287226065999999</v>
      </c>
      <c r="P1696" s="15">
        <v>8.8367277059999996</v>
      </c>
      <c r="T1696" s="15">
        <v>22.011783565999998</v>
      </c>
      <c r="U1696" s="15">
        <v>27.481040085</v>
      </c>
      <c r="W1696" s="12">
        <v>0.78205977599999998</v>
      </c>
      <c r="Y1696" s="15">
        <v>75.556650447999999</v>
      </c>
      <c r="AE1696" s="19">
        <v>1</v>
      </c>
    </row>
    <row r="1697" spans="1:31" x14ac:dyDescent="0.2">
      <c r="A1697" s="19">
        <v>1696</v>
      </c>
      <c r="B1697" s="1">
        <v>2024</v>
      </c>
      <c r="C1697" s="8" t="s">
        <v>31</v>
      </c>
      <c r="D1697" s="1" t="s">
        <v>861</v>
      </c>
      <c r="E1697" s="1" t="s">
        <v>998</v>
      </c>
      <c r="F1697" s="1" t="s">
        <v>32</v>
      </c>
      <c r="G1697" s="1">
        <v>117</v>
      </c>
      <c r="H1697" t="s">
        <v>89</v>
      </c>
      <c r="I1697" s="12">
        <v>6.0831691241914996</v>
      </c>
      <c r="J1697" s="12">
        <v>21.031788466028157</v>
      </c>
      <c r="K1697" s="34" t="s">
        <v>89</v>
      </c>
      <c r="L1697" s="16">
        <v>2764.5484216766426</v>
      </c>
      <c r="M1697" s="1" t="s">
        <v>89</v>
      </c>
      <c r="N1697" s="16">
        <v>16412.282288660641</v>
      </c>
      <c r="O1697" s="12">
        <v>28.900393907000002</v>
      </c>
      <c r="P1697" s="15">
        <v>9.0659419460000006</v>
      </c>
      <c r="T1697" s="15">
        <v>22.823721658</v>
      </c>
      <c r="U1697" s="15">
        <v>24.123528321999999</v>
      </c>
      <c r="W1697" s="12">
        <v>0.77239771199999996</v>
      </c>
      <c r="Y1697" s="15">
        <v>74.705740144999993</v>
      </c>
      <c r="AE1697" s="19">
        <v>1</v>
      </c>
    </row>
    <row r="1698" spans="1:31" x14ac:dyDescent="0.2">
      <c r="A1698" s="19">
        <v>1697</v>
      </c>
      <c r="B1698" s="1">
        <v>2024</v>
      </c>
      <c r="C1698" s="8" t="s">
        <v>31</v>
      </c>
      <c r="D1698" s="1" t="s">
        <v>861</v>
      </c>
      <c r="E1698" s="1" t="s">
        <v>999</v>
      </c>
      <c r="F1698" s="1" t="s">
        <v>32</v>
      </c>
      <c r="G1698" s="1">
        <v>117</v>
      </c>
      <c r="H1698" t="s">
        <v>89</v>
      </c>
      <c r="I1698" s="12">
        <v>7.4098239213434995</v>
      </c>
      <c r="J1698" s="12">
        <v>21.960114161426187</v>
      </c>
      <c r="K1698" s="34" t="s">
        <v>89</v>
      </c>
      <c r="L1698" s="16">
        <v>3171.4172038291272</v>
      </c>
      <c r="M1698" s="1" t="s">
        <v>89</v>
      </c>
      <c r="N1698" s="16">
        <v>23732.074862826816</v>
      </c>
      <c r="O1698" s="12">
        <v>33.003919727000003</v>
      </c>
      <c r="P1698" s="15">
        <v>9.6748361260000006</v>
      </c>
      <c r="T1698" s="15">
        <v>17.19923636</v>
      </c>
      <c r="U1698" s="15">
        <v>36.439674556</v>
      </c>
      <c r="W1698" s="12">
        <v>0.83932908699999997</v>
      </c>
      <c r="Y1698" s="15">
        <v>80.600200228999995</v>
      </c>
      <c r="AE1698" s="19">
        <v>1</v>
      </c>
    </row>
    <row r="1699" spans="1:31" x14ac:dyDescent="0.2">
      <c r="A1699" s="19">
        <v>1698</v>
      </c>
      <c r="B1699" s="1">
        <v>2024</v>
      </c>
      <c r="C1699" s="8" t="s">
        <v>31</v>
      </c>
      <c r="D1699" s="1" t="s">
        <v>861</v>
      </c>
      <c r="E1699" s="1" t="s">
        <v>1000</v>
      </c>
      <c r="F1699" s="1" t="s">
        <v>32</v>
      </c>
      <c r="G1699" s="1">
        <v>119</v>
      </c>
      <c r="H1699" t="s">
        <v>89</v>
      </c>
      <c r="I1699" s="12">
        <v>7.9462215163855001</v>
      </c>
      <c r="J1699" s="12">
        <v>20.80034408763159</v>
      </c>
      <c r="K1699" s="34" t="s">
        <v>89</v>
      </c>
      <c r="L1699" s="16">
        <v>3191.8566064808874</v>
      </c>
      <c r="M1699" s="1" t="s">
        <v>34</v>
      </c>
      <c r="N1699" s="16">
        <v>25446.952713098148</v>
      </c>
      <c r="O1699" s="12">
        <v>37.868536186</v>
      </c>
      <c r="P1699" s="15">
        <v>8.5633824799999996</v>
      </c>
      <c r="T1699" s="15">
        <v>17.323035337</v>
      </c>
      <c r="U1699" s="15">
        <v>38.024692078999998</v>
      </c>
      <c r="W1699" s="12">
        <v>0.83785587900000003</v>
      </c>
      <c r="Y1699" s="15">
        <v>80.470459336999994</v>
      </c>
      <c r="AE1699" s="19">
        <v>1</v>
      </c>
    </row>
    <row r="1700" spans="1:31" x14ac:dyDescent="0.2">
      <c r="A1700" s="19">
        <v>1699</v>
      </c>
      <c r="B1700" s="1">
        <v>2024</v>
      </c>
      <c r="C1700" s="8" t="s">
        <v>31</v>
      </c>
      <c r="D1700" s="1" t="s">
        <v>861</v>
      </c>
      <c r="E1700" s="1" t="s">
        <v>1001</v>
      </c>
      <c r="F1700" s="1" t="s">
        <v>32</v>
      </c>
      <c r="G1700" s="1">
        <v>116</v>
      </c>
      <c r="H1700" t="s">
        <v>89</v>
      </c>
      <c r="I1700" s="12">
        <v>7.4159310545860002</v>
      </c>
      <c r="J1700" s="12">
        <v>20.703384178486825</v>
      </c>
      <c r="K1700" s="34" t="s">
        <v>89</v>
      </c>
      <c r="L1700" s="16">
        <v>3135.3936678472778</v>
      </c>
      <c r="M1700" s="1" t="s">
        <v>89</v>
      </c>
      <c r="N1700" s="16">
        <v>23269.134758552394</v>
      </c>
      <c r="O1700" s="12">
        <v>35.296360673999999</v>
      </c>
      <c r="P1700" s="15">
        <v>8.9187671930000008</v>
      </c>
      <c r="T1700" s="15">
        <v>19.632520455000002</v>
      </c>
      <c r="U1700" s="15">
        <v>35.335453315000002</v>
      </c>
      <c r="W1700" s="12">
        <v>0.81037300700000003</v>
      </c>
      <c r="Y1700" s="15">
        <v>78.050117893999996</v>
      </c>
      <c r="AE1700" s="19">
        <v>1</v>
      </c>
    </row>
    <row r="1701" spans="1:31" x14ac:dyDescent="0.2">
      <c r="A1701" s="19">
        <v>1700</v>
      </c>
      <c r="B1701" s="1">
        <v>2024</v>
      </c>
      <c r="C1701" s="8" t="s">
        <v>31</v>
      </c>
      <c r="D1701" s="1" t="s">
        <v>861</v>
      </c>
      <c r="E1701" s="1" t="s">
        <v>1002</v>
      </c>
      <c r="F1701" s="1" t="s">
        <v>32</v>
      </c>
      <c r="G1701" s="1">
        <v>115</v>
      </c>
      <c r="H1701" t="s">
        <v>89</v>
      </c>
      <c r="I1701" s="12">
        <v>4.9635615522865004</v>
      </c>
      <c r="J1701" s="12">
        <v>14.119697430609657</v>
      </c>
      <c r="K1701" s="35" t="s">
        <v>34</v>
      </c>
      <c r="L1701" s="16">
        <v>3311.6101361848346</v>
      </c>
      <c r="M1701" s="1" t="s">
        <v>89</v>
      </c>
      <c r="N1701" s="16">
        <v>16996.15141220525</v>
      </c>
      <c r="O1701" s="12">
        <v>32.893668355000003</v>
      </c>
      <c r="P1701" s="15">
        <v>9.0290251539999993</v>
      </c>
      <c r="T1701" s="15">
        <v>14.898307924999999</v>
      </c>
      <c r="U1701" s="15">
        <v>41.771973592999998</v>
      </c>
      <c r="W1701" s="12">
        <v>0.86671013600000002</v>
      </c>
      <c r="Y1701" s="15">
        <v>83.011573135999996</v>
      </c>
      <c r="AE1701" s="19">
        <v>1</v>
      </c>
    </row>
    <row r="1702" spans="1:31" x14ac:dyDescent="0.2">
      <c r="A1702" s="19">
        <v>1701</v>
      </c>
      <c r="B1702" s="1">
        <v>2024</v>
      </c>
      <c r="C1702" s="8" t="s">
        <v>31</v>
      </c>
      <c r="D1702" s="1" t="s">
        <v>861</v>
      </c>
      <c r="E1702" s="1" t="s">
        <v>1003</v>
      </c>
      <c r="F1702" s="1" t="s">
        <v>32</v>
      </c>
      <c r="G1702" s="1">
        <v>115</v>
      </c>
      <c r="H1702" t="s">
        <v>89</v>
      </c>
      <c r="I1702" s="12">
        <v>6.3505265577709995</v>
      </c>
      <c r="J1702" s="12">
        <v>19.804356726441394</v>
      </c>
      <c r="K1702" s="35" t="s">
        <v>34</v>
      </c>
      <c r="L1702" s="16">
        <v>3330.8490628122058</v>
      </c>
      <c r="M1702" s="1" t="s">
        <v>89</v>
      </c>
      <c r="N1702" s="16">
        <v>21312.21440689002</v>
      </c>
      <c r="O1702" s="12">
        <v>33.403960116</v>
      </c>
      <c r="P1702" s="15">
        <v>8.2222309970000005</v>
      </c>
      <c r="T1702" s="15">
        <v>15.421050652</v>
      </c>
      <c r="U1702" s="15">
        <v>43.425223189</v>
      </c>
      <c r="W1702" s="12">
        <v>0.86048949699999999</v>
      </c>
      <c r="Y1702" s="15">
        <v>82.463738609999993</v>
      </c>
      <c r="AE1702" s="19">
        <v>1</v>
      </c>
    </row>
    <row r="1703" spans="1:31" x14ac:dyDescent="0.2">
      <c r="A1703" s="19">
        <v>1702</v>
      </c>
      <c r="B1703" s="1">
        <v>2024</v>
      </c>
      <c r="C1703" s="8" t="s">
        <v>31</v>
      </c>
      <c r="D1703" s="1" t="s">
        <v>874</v>
      </c>
      <c r="E1703" s="1" t="s">
        <v>1004</v>
      </c>
      <c r="F1703" s="1" t="s">
        <v>32</v>
      </c>
      <c r="G1703" s="1">
        <v>113</v>
      </c>
      <c r="H1703" t="s">
        <v>89</v>
      </c>
      <c r="I1703" s="12">
        <v>8.0968400001669991</v>
      </c>
      <c r="J1703" s="12">
        <v>23.695739272777541</v>
      </c>
      <c r="K1703" s="34" t="s">
        <v>89</v>
      </c>
      <c r="L1703" s="16">
        <v>3104.9153902401358</v>
      </c>
      <c r="M1703" s="1" t="s">
        <v>89</v>
      </c>
      <c r="N1703" s="16">
        <v>25225.984953913892</v>
      </c>
      <c r="O1703" s="12">
        <v>33.811873935000001</v>
      </c>
      <c r="P1703" s="15">
        <v>9.1913835039999991</v>
      </c>
      <c r="T1703" s="15">
        <v>20.446891682</v>
      </c>
      <c r="U1703" s="15">
        <v>31.89695597</v>
      </c>
      <c r="W1703" s="12">
        <v>0.80068198899999998</v>
      </c>
      <c r="Y1703" s="15">
        <v>77.196657961</v>
      </c>
      <c r="AE1703" s="19">
        <v>1</v>
      </c>
    </row>
    <row r="1704" spans="1:31" x14ac:dyDescent="0.2">
      <c r="A1704" s="19">
        <v>1703</v>
      </c>
      <c r="B1704" s="1">
        <v>2024</v>
      </c>
      <c r="C1704" s="8" t="s">
        <v>31</v>
      </c>
      <c r="D1704" s="1" t="s">
        <v>874</v>
      </c>
      <c r="E1704" s="1" t="s">
        <v>1005</v>
      </c>
      <c r="F1704" s="1" t="s">
        <v>32</v>
      </c>
      <c r="G1704" s="1">
        <v>117</v>
      </c>
      <c r="H1704" t="s">
        <v>34</v>
      </c>
      <c r="I1704" s="12">
        <v>8.0998478487779995</v>
      </c>
      <c r="J1704" s="12">
        <v>25.443925308126946</v>
      </c>
      <c r="K1704" s="34" t="s">
        <v>89</v>
      </c>
      <c r="L1704" s="16">
        <v>3068.988814786353</v>
      </c>
      <c r="M1704" s="1" t="s">
        <v>89</v>
      </c>
      <c r="N1704" s="16">
        <v>24782.02793260117</v>
      </c>
      <c r="O1704" s="12">
        <v>32.038747139999998</v>
      </c>
      <c r="P1704" s="15">
        <v>9.4139250879999992</v>
      </c>
      <c r="T1704" s="15">
        <v>17.496625769000001</v>
      </c>
      <c r="U1704" s="15">
        <v>33.662499977000003</v>
      </c>
      <c r="W1704" s="12">
        <v>0.83579015300000004</v>
      </c>
      <c r="Y1704" s="15">
        <v>80.288536984000004</v>
      </c>
      <c r="AE1704" s="19">
        <v>1</v>
      </c>
    </row>
    <row r="1705" spans="1:31" x14ac:dyDescent="0.2">
      <c r="A1705" s="19">
        <v>1704</v>
      </c>
      <c r="B1705" s="1">
        <v>2024</v>
      </c>
      <c r="C1705" s="8" t="s">
        <v>31</v>
      </c>
      <c r="D1705" s="1" t="s">
        <v>874</v>
      </c>
      <c r="E1705" s="1" t="s">
        <v>599</v>
      </c>
      <c r="F1705" s="1" t="s">
        <v>32</v>
      </c>
      <c r="G1705" s="1">
        <v>119</v>
      </c>
      <c r="H1705" t="s">
        <v>89</v>
      </c>
      <c r="I1705" s="12">
        <v>7.8425017624934998</v>
      </c>
      <c r="J1705" s="12">
        <v>24.022212453469891</v>
      </c>
      <c r="K1705" s="34" t="s">
        <v>89</v>
      </c>
      <c r="L1705" s="16">
        <v>2972.5175444590914</v>
      </c>
      <c r="M1705" s="1" t="s">
        <v>89</v>
      </c>
      <c r="N1705" s="16">
        <v>24391.456689877301</v>
      </c>
      <c r="O1705" s="12">
        <v>30.597539348000002</v>
      </c>
      <c r="P1705" s="15">
        <v>9.5602366140000008</v>
      </c>
      <c r="T1705" s="15">
        <v>21.544553299</v>
      </c>
      <c r="U1705" s="15">
        <v>28.930616589</v>
      </c>
      <c r="W1705" s="12">
        <v>0.78761981599999997</v>
      </c>
      <c r="Y1705" s="15">
        <v>76.046307932000005</v>
      </c>
      <c r="AE1705" s="19">
        <v>1</v>
      </c>
    </row>
    <row r="1706" spans="1:31" x14ac:dyDescent="0.2">
      <c r="A1706" s="19">
        <v>1705</v>
      </c>
      <c r="B1706" s="1">
        <v>2024</v>
      </c>
      <c r="C1706" s="8" t="s">
        <v>31</v>
      </c>
      <c r="D1706" s="8" t="s">
        <v>1024</v>
      </c>
      <c r="E1706" s="1" t="s">
        <v>938</v>
      </c>
      <c r="F1706" s="1" t="s">
        <v>32</v>
      </c>
      <c r="G1706" s="1">
        <v>116</v>
      </c>
      <c r="H1706" t="s">
        <v>89</v>
      </c>
      <c r="I1706" s="12">
        <v>6.4759340714335005</v>
      </c>
      <c r="J1706" s="12">
        <v>19.421021959689291</v>
      </c>
      <c r="K1706" s="34" t="s">
        <v>89</v>
      </c>
      <c r="L1706" s="16">
        <v>3104.0705104079298</v>
      </c>
      <c r="M1706" s="1" t="s">
        <v>89</v>
      </c>
      <c r="N1706" s="16">
        <v>20201.016429275125</v>
      </c>
      <c r="O1706" s="12">
        <v>33.107574626000002</v>
      </c>
      <c r="P1706" s="15">
        <v>9.632368542</v>
      </c>
      <c r="T1706" s="15">
        <v>18.445461684000001</v>
      </c>
      <c r="U1706" s="15">
        <v>33.747498415000003</v>
      </c>
      <c r="W1706" s="12">
        <v>0.82449900600000003</v>
      </c>
      <c r="Y1706" s="15">
        <v>79.294156333999993</v>
      </c>
      <c r="AE1706" s="19">
        <v>1</v>
      </c>
    </row>
    <row r="1707" spans="1:31" x14ac:dyDescent="0.2">
      <c r="A1707" s="19">
        <v>1706</v>
      </c>
      <c r="B1707" s="1">
        <v>2024</v>
      </c>
      <c r="C1707" s="8" t="s">
        <v>31</v>
      </c>
      <c r="D1707" s="8" t="s">
        <v>1024</v>
      </c>
      <c r="E1707" s="1" t="s">
        <v>939</v>
      </c>
      <c r="F1707" s="1" t="s">
        <v>32</v>
      </c>
      <c r="G1707" s="1">
        <v>117</v>
      </c>
      <c r="H1707" t="s">
        <v>89</v>
      </c>
      <c r="I1707" s="12">
        <v>6.9117356553975</v>
      </c>
      <c r="J1707" s="12">
        <v>20.682456220894736</v>
      </c>
      <c r="K1707" s="34" t="s">
        <v>89</v>
      </c>
      <c r="L1707" s="16">
        <v>3137.160792821885</v>
      </c>
      <c r="M1707" s="1" t="s">
        <v>89</v>
      </c>
      <c r="N1707" s="16">
        <v>21681.699673629217</v>
      </c>
      <c r="O1707" s="12">
        <v>33.273447965000003</v>
      </c>
      <c r="P1707" s="15">
        <v>8.7087098780000005</v>
      </c>
      <c r="T1707" s="15">
        <v>16.393325624999999</v>
      </c>
      <c r="U1707" s="15">
        <v>37.183739521</v>
      </c>
      <c r="W1707" s="12">
        <v>0.84891942499999995</v>
      </c>
      <c r="Y1707" s="15">
        <v>81.444794983999998</v>
      </c>
      <c r="AE1707" s="19">
        <v>1</v>
      </c>
    </row>
    <row r="1708" spans="1:31" x14ac:dyDescent="0.2">
      <c r="A1708" s="19">
        <v>1707</v>
      </c>
      <c r="B1708" s="1">
        <v>2024</v>
      </c>
      <c r="C1708" s="8" t="s">
        <v>31</v>
      </c>
      <c r="D1708" s="8" t="s">
        <v>1024</v>
      </c>
      <c r="E1708" s="1" t="s">
        <v>941</v>
      </c>
      <c r="F1708" s="1" t="s">
        <v>32</v>
      </c>
      <c r="G1708" s="1">
        <v>118</v>
      </c>
      <c r="H1708" t="s">
        <v>89</v>
      </c>
      <c r="I1708" s="12">
        <v>5.799163700217</v>
      </c>
      <c r="J1708" s="12">
        <v>20.618597975009312</v>
      </c>
      <c r="K1708" s="34" t="s">
        <v>89</v>
      </c>
      <c r="L1708" s="16">
        <v>2993.21366136298</v>
      </c>
      <c r="M1708" s="1" t="s">
        <v>89</v>
      </c>
      <c r="N1708" s="16">
        <v>17371.410376444295</v>
      </c>
      <c r="O1708" s="12">
        <v>27.925087692000002</v>
      </c>
      <c r="P1708" s="15">
        <v>9.5927620099999995</v>
      </c>
      <c r="T1708" s="15">
        <v>21.657451802000001</v>
      </c>
      <c r="U1708" s="15">
        <v>26.228275535000002</v>
      </c>
      <c r="W1708" s="12">
        <v>0.78627632400000003</v>
      </c>
      <c r="Y1708" s="15">
        <v>75.927990867000005</v>
      </c>
      <c r="AE1708" s="19">
        <v>1</v>
      </c>
    </row>
    <row r="1709" spans="1:31" x14ac:dyDescent="0.2">
      <c r="A1709" s="19">
        <v>1708</v>
      </c>
      <c r="B1709" s="1">
        <v>2024</v>
      </c>
      <c r="C1709" s="8" t="s">
        <v>31</v>
      </c>
      <c r="D1709" s="8" t="s">
        <v>1024</v>
      </c>
      <c r="E1709" s="1" t="s">
        <v>1006</v>
      </c>
      <c r="F1709" s="1" t="s">
        <v>32</v>
      </c>
      <c r="G1709" s="1">
        <v>119</v>
      </c>
      <c r="H1709" t="s">
        <v>89</v>
      </c>
      <c r="I1709" s="12">
        <v>7.1151716930160003</v>
      </c>
      <c r="J1709" s="12">
        <v>19.845898900593152</v>
      </c>
      <c r="K1709" s="34" t="s">
        <v>89</v>
      </c>
      <c r="L1709" s="16">
        <v>3226.367851528641</v>
      </c>
      <c r="M1709" s="1" t="s">
        <v>89</v>
      </c>
      <c r="N1709" s="16">
        <v>23697.044341717807</v>
      </c>
      <c r="O1709" s="12">
        <v>35.466254067000001</v>
      </c>
      <c r="P1709" s="15">
        <v>9.1820373489999998</v>
      </c>
      <c r="T1709" s="15">
        <v>17.264974393999999</v>
      </c>
      <c r="U1709" s="15">
        <v>37.427099957999999</v>
      </c>
      <c r="W1709" s="12">
        <v>0.83854680500000001</v>
      </c>
      <c r="Y1709" s="15">
        <v>80.531307330999994</v>
      </c>
      <c r="AE1709" s="19">
        <v>1</v>
      </c>
    </row>
    <row r="1710" spans="1:31" x14ac:dyDescent="0.2">
      <c r="A1710" s="19">
        <v>1709</v>
      </c>
      <c r="B1710" s="1">
        <v>2024</v>
      </c>
      <c r="C1710" s="8" t="s">
        <v>31</v>
      </c>
      <c r="D1710" s="1" t="s">
        <v>37</v>
      </c>
      <c r="E1710" s="1" t="s">
        <v>1007</v>
      </c>
      <c r="F1710" s="1" t="s">
        <v>32</v>
      </c>
      <c r="G1710" s="1">
        <v>117</v>
      </c>
      <c r="H1710" t="s">
        <v>89</v>
      </c>
      <c r="I1710" s="12">
        <v>7.6501020773060002</v>
      </c>
      <c r="J1710" s="12">
        <v>26.186743862540016</v>
      </c>
      <c r="K1710" s="34" t="s">
        <v>89</v>
      </c>
      <c r="L1710" s="16">
        <v>3038.1898652465206</v>
      </c>
      <c r="M1710" s="1" t="s">
        <v>89</v>
      </c>
      <c r="N1710" s="16">
        <v>22856.785943099403</v>
      </c>
      <c r="O1710" s="12">
        <v>29.456090659000001</v>
      </c>
      <c r="P1710" s="15">
        <v>8.8794787589999995</v>
      </c>
      <c r="T1710" s="15">
        <v>20.143147206999998</v>
      </c>
      <c r="U1710" s="15">
        <v>29.017289237</v>
      </c>
      <c r="W1710" s="12">
        <v>0.80429654799999994</v>
      </c>
      <c r="Y1710" s="15">
        <v>77.514981047999996</v>
      </c>
      <c r="AE1710" s="19">
        <v>1</v>
      </c>
    </row>
    <row r="1711" spans="1:31" x14ac:dyDescent="0.2">
      <c r="A1711" s="19">
        <v>1710</v>
      </c>
      <c r="B1711" s="1">
        <v>2024</v>
      </c>
      <c r="C1711" s="8" t="s">
        <v>31</v>
      </c>
      <c r="D1711" s="1" t="s">
        <v>37</v>
      </c>
      <c r="E1711" s="1" t="s">
        <v>892</v>
      </c>
      <c r="F1711" s="1" t="s">
        <v>32</v>
      </c>
      <c r="G1711" s="1">
        <v>120</v>
      </c>
      <c r="H1711" t="s">
        <v>89</v>
      </c>
      <c r="I1711" s="12">
        <v>7.2709001396844997</v>
      </c>
      <c r="J1711" s="12">
        <v>22.571728692525905</v>
      </c>
      <c r="K1711" s="34" t="s">
        <v>89</v>
      </c>
      <c r="L1711" s="16">
        <v>3054.1003061213451</v>
      </c>
      <c r="M1711" s="1" t="s">
        <v>89</v>
      </c>
      <c r="N1711" s="16">
        <v>22374.00640207274</v>
      </c>
      <c r="O1711" s="12">
        <v>31.594391435999999</v>
      </c>
      <c r="P1711" s="15">
        <v>9.2976250619999998</v>
      </c>
      <c r="T1711" s="15">
        <v>20.367420598999999</v>
      </c>
      <c r="U1711" s="15">
        <v>29.830157813</v>
      </c>
      <c r="W1711" s="12">
        <v>0.80162769499999997</v>
      </c>
      <c r="Y1711" s="15">
        <v>77.279943080999999</v>
      </c>
      <c r="AE1711" s="19">
        <v>1</v>
      </c>
    </row>
    <row r="1712" spans="1:31" x14ac:dyDescent="0.2">
      <c r="A1712" s="19">
        <v>1711</v>
      </c>
      <c r="B1712" s="1">
        <v>2024</v>
      </c>
      <c r="C1712" s="8" t="s">
        <v>31</v>
      </c>
      <c r="D1712" s="19" t="s">
        <v>900</v>
      </c>
      <c r="E1712" s="1" t="s">
        <v>1008</v>
      </c>
      <c r="F1712" s="1" t="s">
        <v>32</v>
      </c>
      <c r="G1712" s="1">
        <v>116</v>
      </c>
      <c r="H1712" t="s">
        <v>89</v>
      </c>
      <c r="I1712" s="12">
        <v>6.1867069991964998</v>
      </c>
      <c r="J1712" s="12">
        <v>17.791847110787881</v>
      </c>
      <c r="K1712" s="35" t="s">
        <v>34</v>
      </c>
      <c r="L1712" s="16">
        <v>3253.5646668406112</v>
      </c>
      <c r="M1712" s="1" t="s">
        <v>89</v>
      </c>
      <c r="N1712" s="16">
        <v>20255.179829284174</v>
      </c>
      <c r="O1712" s="12">
        <v>34.781334082000001</v>
      </c>
      <c r="P1712" s="15">
        <v>9.3725024739999991</v>
      </c>
      <c r="T1712" s="15">
        <v>18.945746432</v>
      </c>
      <c r="U1712" s="15">
        <v>34.642001403999998</v>
      </c>
      <c r="W1712" s="12">
        <v>0.81854561699999995</v>
      </c>
      <c r="Y1712" s="15">
        <v>78.769857598000002</v>
      </c>
      <c r="AE1712" s="19">
        <v>1</v>
      </c>
    </row>
    <row r="1713" spans="1:31" x14ac:dyDescent="0.2">
      <c r="A1713" s="19">
        <v>1712</v>
      </c>
      <c r="B1713" s="1">
        <v>2024</v>
      </c>
      <c r="C1713" s="8" t="s">
        <v>31</v>
      </c>
      <c r="D1713" s="19" t="s">
        <v>900</v>
      </c>
      <c r="E1713" s="1" t="s">
        <v>947</v>
      </c>
      <c r="F1713" s="1" t="s">
        <v>32</v>
      </c>
      <c r="G1713" s="1">
        <v>118</v>
      </c>
      <c r="H1713" t="s">
        <v>89</v>
      </c>
      <c r="I1713" s="12">
        <v>6.7068223095155002</v>
      </c>
      <c r="J1713" s="12">
        <v>17.92800372059013</v>
      </c>
      <c r="K1713" s="34" t="s">
        <v>89</v>
      </c>
      <c r="L1713" s="16">
        <v>3112.3776670607945</v>
      </c>
      <c r="M1713" s="1" t="s">
        <v>89</v>
      </c>
      <c r="N1713" s="16">
        <v>21266.053158030652</v>
      </c>
      <c r="O1713" s="12">
        <v>35.720502283000002</v>
      </c>
      <c r="P1713" s="15">
        <v>9.3094457130000006</v>
      </c>
      <c r="T1713" s="15">
        <v>19.494199769000002</v>
      </c>
      <c r="U1713" s="15">
        <v>34.072528372999997</v>
      </c>
      <c r="W1713" s="12">
        <v>0.81201902299999995</v>
      </c>
      <c r="Y1713" s="15">
        <v>78.19507806</v>
      </c>
      <c r="AE1713" s="19">
        <v>1</v>
      </c>
    </row>
    <row r="1714" spans="1:31" x14ac:dyDescent="0.2">
      <c r="A1714" s="19">
        <v>1713</v>
      </c>
      <c r="B1714" s="1">
        <v>2024</v>
      </c>
      <c r="C1714" s="8" t="s">
        <v>31</v>
      </c>
      <c r="D1714" s="1" t="s">
        <v>1009</v>
      </c>
      <c r="E1714" s="1" t="s">
        <v>1010</v>
      </c>
      <c r="F1714" s="1" t="s">
        <v>32</v>
      </c>
      <c r="G1714" s="1">
        <v>118</v>
      </c>
      <c r="H1714" t="s">
        <v>89</v>
      </c>
      <c r="I1714" s="12">
        <v>7.6203359572105001</v>
      </c>
      <c r="J1714" s="12">
        <v>20.799421618073563</v>
      </c>
      <c r="K1714" s="34" t="s">
        <v>89</v>
      </c>
      <c r="L1714" s="16">
        <v>3184.3384328212792</v>
      </c>
      <c r="M1714" s="1" t="s">
        <v>89</v>
      </c>
      <c r="N1714" s="16">
        <v>24494.929899427272</v>
      </c>
      <c r="O1714" s="12">
        <v>35.555325953999997</v>
      </c>
      <c r="P1714" s="15">
        <v>9.1367132610000006</v>
      </c>
      <c r="T1714" s="15">
        <v>17.141535389000001</v>
      </c>
      <c r="U1714" s="15">
        <v>37.326788915999998</v>
      </c>
      <c r="W1714" s="12">
        <v>0.84001572899999999</v>
      </c>
      <c r="Y1714" s="15">
        <v>80.660671980000004</v>
      </c>
      <c r="AE1714" s="19">
        <v>1</v>
      </c>
    </row>
    <row r="1715" spans="1:31" x14ac:dyDescent="0.2">
      <c r="A1715" s="19">
        <v>1714</v>
      </c>
      <c r="B1715" s="1">
        <v>2024</v>
      </c>
      <c r="C1715" s="8" t="s">
        <v>31</v>
      </c>
      <c r="D1715" s="1" t="s">
        <v>1009</v>
      </c>
      <c r="E1715" s="1" t="s">
        <v>1011</v>
      </c>
      <c r="F1715" s="1" t="s">
        <v>32</v>
      </c>
      <c r="G1715" s="1">
        <v>117</v>
      </c>
      <c r="H1715" t="s">
        <v>89</v>
      </c>
      <c r="I1715" s="12">
        <v>5.6589805325814995</v>
      </c>
      <c r="J1715" s="12">
        <v>19.837407561016501</v>
      </c>
      <c r="K1715" s="34" t="s">
        <v>89</v>
      </c>
      <c r="L1715" s="16">
        <v>2885.0329165111953</v>
      </c>
      <c r="M1715" s="1" t="s">
        <v>89</v>
      </c>
      <c r="N1715" s="16">
        <v>16202.028368558427</v>
      </c>
      <c r="O1715" s="12">
        <v>27.722745986</v>
      </c>
      <c r="P1715" s="15">
        <v>9.3925613800000001</v>
      </c>
      <c r="T1715" s="15">
        <v>23.854568735000001</v>
      </c>
      <c r="U1715" s="15">
        <v>20.996278929999999</v>
      </c>
      <c r="W1715" s="12">
        <v>0.76013063199999997</v>
      </c>
      <c r="Y1715" s="15">
        <v>73.625412108000006</v>
      </c>
      <c r="AE1715" s="19">
        <v>1</v>
      </c>
    </row>
    <row r="1716" spans="1:31" x14ac:dyDescent="0.2">
      <c r="A1716" s="19">
        <v>1715</v>
      </c>
      <c r="B1716" s="1">
        <v>2024</v>
      </c>
      <c r="C1716" s="8" t="s">
        <v>31</v>
      </c>
      <c r="D1716" s="1" t="s">
        <v>1009</v>
      </c>
      <c r="E1716" s="1" t="s">
        <v>950</v>
      </c>
      <c r="F1716" s="1" t="s">
        <v>32</v>
      </c>
      <c r="G1716" s="1">
        <v>118</v>
      </c>
      <c r="H1716" t="s">
        <v>89</v>
      </c>
      <c r="I1716" s="12">
        <v>7.0853002217884997</v>
      </c>
      <c r="J1716" s="12">
        <v>21.263540792659338</v>
      </c>
      <c r="K1716" s="34" t="s">
        <v>89</v>
      </c>
      <c r="L1716" s="16">
        <v>3167.8049550661121</v>
      </c>
      <c r="M1716" s="1" t="s">
        <v>89</v>
      </c>
      <c r="N1716" s="16">
        <v>22755.695401442663</v>
      </c>
      <c r="O1716" s="12">
        <v>33.101641522000001</v>
      </c>
      <c r="P1716" s="15">
        <v>9.5532329800000007</v>
      </c>
      <c r="T1716" s="15">
        <v>17.716624941999999</v>
      </c>
      <c r="U1716" s="15">
        <v>38.224476181</v>
      </c>
      <c r="W1716" s="12">
        <v>0.83317216299999997</v>
      </c>
      <c r="Y1716" s="15">
        <v>80.057976479999994</v>
      </c>
      <c r="AE1716" s="19">
        <v>1</v>
      </c>
    </row>
    <row r="1717" spans="1:31" x14ac:dyDescent="0.2">
      <c r="A1717" s="19">
        <v>1716</v>
      </c>
      <c r="B1717" s="1">
        <v>2024</v>
      </c>
      <c r="C1717" s="8" t="s">
        <v>31</v>
      </c>
      <c r="D1717" s="1" t="s">
        <v>1012</v>
      </c>
      <c r="E1717" s="1" t="s">
        <v>1013</v>
      </c>
      <c r="F1717" s="1" t="s">
        <v>32</v>
      </c>
      <c r="G1717" s="1">
        <v>115</v>
      </c>
      <c r="H1717" t="s">
        <v>89</v>
      </c>
      <c r="I1717" s="12">
        <v>6.3692769342865008</v>
      </c>
      <c r="J1717" s="12">
        <v>17.300143419545005</v>
      </c>
      <c r="K1717" s="35" t="s">
        <v>34</v>
      </c>
      <c r="L1717" s="16">
        <v>3251.9014809762921</v>
      </c>
      <c r="M1717" s="1" t="s">
        <v>89</v>
      </c>
      <c r="N1717" s="16">
        <v>20934.106355040905</v>
      </c>
      <c r="O1717" s="12">
        <v>36.235450145000001</v>
      </c>
      <c r="P1717" s="15">
        <v>9.0051616130000003</v>
      </c>
      <c r="T1717" s="15">
        <v>17.104704917999999</v>
      </c>
      <c r="U1717" s="15">
        <v>38.556052198000003</v>
      </c>
      <c r="W1717" s="12">
        <v>0.84045401099999995</v>
      </c>
      <c r="Y1717" s="15">
        <v>80.699268807999999</v>
      </c>
      <c r="AE1717" s="19">
        <v>1</v>
      </c>
    </row>
    <row r="1718" spans="1:31" x14ac:dyDescent="0.2">
      <c r="A1718" s="19">
        <v>1717</v>
      </c>
      <c r="B1718" s="1">
        <v>2024</v>
      </c>
      <c r="C1718" s="8" t="s">
        <v>31</v>
      </c>
      <c r="D1718" s="1" t="s">
        <v>1012</v>
      </c>
      <c r="E1718" s="1" t="s">
        <v>1014</v>
      </c>
      <c r="F1718" s="1" t="s">
        <v>32</v>
      </c>
      <c r="G1718" s="1">
        <v>113</v>
      </c>
      <c r="H1718" t="s">
        <v>89</v>
      </c>
      <c r="I1718" s="12">
        <v>6.3476001483035001</v>
      </c>
      <c r="J1718" s="12">
        <v>17.669820388488624</v>
      </c>
      <c r="K1718" s="34" t="s">
        <v>89</v>
      </c>
      <c r="L1718" s="16">
        <v>3216.1704911408724</v>
      </c>
      <c r="M1718" s="1" t="s">
        <v>89</v>
      </c>
      <c r="N1718" s="16">
        <v>20501.28920129019</v>
      </c>
      <c r="O1718" s="12">
        <v>36.061908760000001</v>
      </c>
      <c r="P1718" s="15">
        <v>9.7388970980000007</v>
      </c>
      <c r="T1718" s="15">
        <v>16.890792817000001</v>
      </c>
      <c r="U1718" s="15">
        <v>38.071442904999998</v>
      </c>
      <c r="W1718" s="12">
        <v>0.84299956499999995</v>
      </c>
      <c r="Y1718" s="15">
        <v>80.923448500000006</v>
      </c>
      <c r="AE1718" s="19">
        <v>1</v>
      </c>
    </row>
    <row r="1719" spans="1:31" x14ac:dyDescent="0.2">
      <c r="A1719" s="19">
        <v>1718</v>
      </c>
      <c r="B1719" s="1">
        <v>2024</v>
      </c>
      <c r="C1719" s="8" t="s">
        <v>31</v>
      </c>
      <c r="D1719" s="1" t="s">
        <v>1012</v>
      </c>
      <c r="E1719" s="1" t="s">
        <v>1015</v>
      </c>
      <c r="F1719" s="1" t="s">
        <v>32</v>
      </c>
      <c r="G1719" s="1">
        <v>119</v>
      </c>
      <c r="H1719" t="s">
        <v>89</v>
      </c>
      <c r="I1719" s="12">
        <v>6.457149679414</v>
      </c>
      <c r="J1719" s="12">
        <v>19.590917336101572</v>
      </c>
      <c r="K1719" s="34" t="s">
        <v>89</v>
      </c>
      <c r="L1719" s="16">
        <v>3116.7327028275095</v>
      </c>
      <c r="M1719" s="1" t="s">
        <v>89</v>
      </c>
      <c r="N1719" s="16">
        <v>20186.952046000242</v>
      </c>
      <c r="O1719" s="12">
        <v>32.414713470000002</v>
      </c>
      <c r="P1719" s="15">
        <v>9.3048393140000005</v>
      </c>
      <c r="T1719" s="15">
        <v>18.842336240000002</v>
      </c>
      <c r="U1719" s="15">
        <v>33.380692535999998</v>
      </c>
      <c r="W1719" s="12">
        <v>0.81977619899999998</v>
      </c>
      <c r="Y1719" s="15">
        <v>78.878231450000001</v>
      </c>
      <c r="AE1719" s="19">
        <v>1</v>
      </c>
    </row>
    <row r="1720" spans="1:31" x14ac:dyDescent="0.2">
      <c r="A1720" s="19">
        <v>1719</v>
      </c>
      <c r="B1720" s="1">
        <v>2024</v>
      </c>
      <c r="C1720" s="8" t="s">
        <v>31</v>
      </c>
      <c r="D1720" s="1" t="s">
        <v>917</v>
      </c>
      <c r="E1720" s="1" t="s">
        <v>1016</v>
      </c>
      <c r="F1720" s="1" t="s">
        <v>32</v>
      </c>
      <c r="G1720" s="1">
        <v>117</v>
      </c>
      <c r="H1720" t="s">
        <v>89</v>
      </c>
      <c r="I1720" s="12">
        <v>7.2943366827890008</v>
      </c>
      <c r="J1720" s="12">
        <v>21.573771852875065</v>
      </c>
      <c r="K1720" s="35" t="s">
        <v>34</v>
      </c>
      <c r="L1720" s="16">
        <v>3227.4575398001321</v>
      </c>
      <c r="M1720" s="1" t="s">
        <v>89</v>
      </c>
      <c r="N1720" s="16">
        <v>23496.082618630131</v>
      </c>
      <c r="O1720" s="12">
        <v>34.744129133000001</v>
      </c>
      <c r="P1720" s="15">
        <v>8.6992037510000007</v>
      </c>
      <c r="T1720" s="15">
        <v>15.878397891000001</v>
      </c>
      <c r="U1720" s="15">
        <v>39.887290583999999</v>
      </c>
      <c r="W1720" s="12">
        <v>0.85504706500000005</v>
      </c>
      <c r="Y1720" s="15">
        <v>81.984438576000002</v>
      </c>
      <c r="AE1720" s="19">
        <v>1</v>
      </c>
    </row>
    <row r="1721" spans="1:31" x14ac:dyDescent="0.2">
      <c r="A1721" s="19">
        <v>1720</v>
      </c>
      <c r="B1721" s="1">
        <v>2024</v>
      </c>
      <c r="C1721" s="8" t="s">
        <v>31</v>
      </c>
      <c r="D1721" s="1" t="s">
        <v>108</v>
      </c>
      <c r="E1721" s="1" t="s">
        <v>1017</v>
      </c>
      <c r="F1721" s="1" t="s">
        <v>32</v>
      </c>
      <c r="G1721" s="1">
        <v>114</v>
      </c>
      <c r="H1721" t="s">
        <v>89</v>
      </c>
      <c r="I1721" s="12">
        <v>6.2118685416404995</v>
      </c>
      <c r="J1721" s="12">
        <v>19.688910854019387</v>
      </c>
      <c r="K1721" s="34" t="s">
        <v>89</v>
      </c>
      <c r="L1721" s="16">
        <v>3023.7935033120898</v>
      </c>
      <c r="M1721" s="1" t="s">
        <v>89</v>
      </c>
      <c r="N1721" s="16">
        <v>18787.034937555192</v>
      </c>
      <c r="O1721" s="12">
        <v>31.055119250000001</v>
      </c>
      <c r="P1721" s="15">
        <v>9.1461075090000001</v>
      </c>
      <c r="T1721" s="15">
        <v>20.881346358999998</v>
      </c>
      <c r="U1721" s="15">
        <v>29.548994875999998</v>
      </c>
      <c r="W1721" s="12">
        <v>0.79551197799999995</v>
      </c>
      <c r="Y1721" s="15">
        <v>76.741348669999994</v>
      </c>
      <c r="AE1721" s="19">
        <v>1</v>
      </c>
    </row>
    <row r="1722" spans="1:31" x14ac:dyDescent="0.2">
      <c r="A1722" s="19">
        <v>1721</v>
      </c>
      <c r="B1722" s="1">
        <v>2024</v>
      </c>
      <c r="C1722" s="8" t="s">
        <v>31</v>
      </c>
      <c r="D1722" s="1" t="s">
        <v>108</v>
      </c>
      <c r="E1722" s="1" t="s">
        <v>1018</v>
      </c>
      <c r="F1722" s="1" t="s">
        <v>32</v>
      </c>
      <c r="G1722" s="1">
        <v>117</v>
      </c>
      <c r="H1722" t="s">
        <v>89</v>
      </c>
      <c r="I1722" s="12">
        <v>6.7226407653519997</v>
      </c>
      <c r="J1722" s="12">
        <v>19.320487881872317</v>
      </c>
      <c r="K1722" s="34" t="s">
        <v>89</v>
      </c>
      <c r="L1722" s="16">
        <v>3175.0116293182118</v>
      </c>
      <c r="M1722" s="1" t="s">
        <v>89</v>
      </c>
      <c r="N1722" s="16">
        <v>21433.450727706313</v>
      </c>
      <c r="O1722" s="12">
        <v>34.243581874999997</v>
      </c>
      <c r="P1722" s="15">
        <v>9.2871987839999992</v>
      </c>
      <c r="T1722" s="15">
        <v>17.556688199</v>
      </c>
      <c r="U1722" s="15">
        <v>34.641957335999997</v>
      </c>
      <c r="W1722" s="12">
        <v>0.83507540999999996</v>
      </c>
      <c r="Y1722" s="15">
        <v>80.225591430999998</v>
      </c>
      <c r="AE1722" s="19">
        <v>1</v>
      </c>
    </row>
    <row r="1723" spans="1:31" x14ac:dyDescent="0.2">
      <c r="A1723" s="19">
        <v>1722</v>
      </c>
      <c r="B1723" s="1">
        <v>2024</v>
      </c>
      <c r="C1723" s="8" t="s">
        <v>31</v>
      </c>
      <c r="D1723" s="1" t="s">
        <v>108</v>
      </c>
      <c r="E1723" s="1" t="s">
        <v>1019</v>
      </c>
      <c r="F1723" s="1" t="s">
        <v>32</v>
      </c>
      <c r="G1723" s="1">
        <v>114</v>
      </c>
      <c r="H1723" t="s">
        <v>89</v>
      </c>
      <c r="I1723" s="12">
        <v>6.4095274236505002</v>
      </c>
      <c r="J1723" s="12">
        <v>21.305266165101852</v>
      </c>
      <c r="K1723" s="34" t="s">
        <v>89</v>
      </c>
      <c r="L1723" s="16">
        <v>3150.4186117715972</v>
      </c>
      <c r="M1723" s="1" t="s">
        <v>89</v>
      </c>
      <c r="N1723" s="16">
        <v>20283.226663524129</v>
      </c>
      <c r="O1723" s="12">
        <v>30.175225037000001</v>
      </c>
      <c r="P1723" s="15">
        <v>9.4774116979999992</v>
      </c>
      <c r="T1723" s="15">
        <v>20.118760251000001</v>
      </c>
      <c r="U1723" s="15">
        <v>33.086396893</v>
      </c>
      <c r="W1723" s="12">
        <v>0.80458675300000004</v>
      </c>
      <c r="Y1723" s="15">
        <v>77.540539054000007</v>
      </c>
      <c r="AE1723" s="19">
        <v>1</v>
      </c>
    </row>
    <row r="1724" spans="1:31" x14ac:dyDescent="0.2">
      <c r="A1724" s="19">
        <v>1723</v>
      </c>
      <c r="B1724" s="1">
        <v>2024</v>
      </c>
      <c r="C1724" s="8" t="s">
        <v>31</v>
      </c>
      <c r="D1724" s="1" t="s">
        <v>108</v>
      </c>
      <c r="E1724" s="1" t="s">
        <v>1020</v>
      </c>
      <c r="F1724" s="1" t="s">
        <v>32</v>
      </c>
      <c r="G1724" s="1">
        <v>117</v>
      </c>
      <c r="H1724" t="s">
        <v>89</v>
      </c>
      <c r="I1724" s="12">
        <v>5.8709559630724995</v>
      </c>
      <c r="J1724" s="12">
        <v>21.691872530416109</v>
      </c>
      <c r="K1724" s="34" t="s">
        <v>89</v>
      </c>
      <c r="L1724" s="16">
        <v>3034.5563019440847</v>
      </c>
      <c r="M1724" s="1" t="s">
        <v>89</v>
      </c>
      <c r="N1724" s="16">
        <v>17473.341026375816</v>
      </c>
      <c r="O1724" s="12">
        <v>28.276356186000001</v>
      </c>
      <c r="P1724" s="15">
        <v>9.432505398</v>
      </c>
      <c r="T1724" s="15">
        <v>19.381111249</v>
      </c>
      <c r="U1724" s="15">
        <v>30.885396003</v>
      </c>
      <c r="W1724" s="12">
        <v>0.81336477600000001</v>
      </c>
      <c r="Y1724" s="15">
        <v>78.313596137000005</v>
      </c>
      <c r="AE1724" s="19">
        <v>1</v>
      </c>
    </row>
    <row r="1725" spans="1:31" x14ac:dyDescent="0.2">
      <c r="A1725" s="19">
        <v>1724</v>
      </c>
      <c r="B1725" s="1">
        <v>2024</v>
      </c>
      <c r="C1725" s="8" t="s">
        <v>31</v>
      </c>
      <c r="D1725" s="1" t="s">
        <v>108</v>
      </c>
      <c r="E1725" s="1" t="s">
        <v>911</v>
      </c>
      <c r="F1725" s="1" t="s">
        <v>32</v>
      </c>
      <c r="G1725" s="1">
        <v>118</v>
      </c>
      <c r="H1725" t="s">
        <v>89</v>
      </c>
      <c r="I1725" s="12">
        <v>6.4438743575344999</v>
      </c>
      <c r="J1725" s="12">
        <v>20.582067978776333</v>
      </c>
      <c r="K1725" s="34" t="s">
        <v>89</v>
      </c>
      <c r="L1725" s="16">
        <v>3228.2342799512994</v>
      </c>
      <c r="M1725" s="1" t="s">
        <v>89</v>
      </c>
      <c r="N1725" s="16">
        <v>20794.030221762896</v>
      </c>
      <c r="O1725" s="12">
        <v>31.456737565000001</v>
      </c>
      <c r="P1725" s="15">
        <v>8.9989270319999992</v>
      </c>
      <c r="T1725" s="15">
        <v>19.291750617000002</v>
      </c>
      <c r="U1725" s="15">
        <v>32.327873713000002</v>
      </c>
      <c r="W1725" s="12">
        <v>0.81442816799999995</v>
      </c>
      <c r="Y1725" s="15">
        <v>78.407245044000007</v>
      </c>
      <c r="AE1725" s="19">
        <v>1</v>
      </c>
    </row>
    <row r="1726" spans="1:31" x14ac:dyDescent="0.2">
      <c r="A1726" s="19">
        <v>1725</v>
      </c>
      <c r="B1726" s="1">
        <v>2024</v>
      </c>
      <c r="C1726" s="8" t="s">
        <v>31</v>
      </c>
      <c r="D1726" s="1" t="s">
        <v>67</v>
      </c>
      <c r="E1726" s="1" t="s">
        <v>1021</v>
      </c>
      <c r="F1726" s="1" t="s">
        <v>32</v>
      </c>
      <c r="G1726" s="1">
        <v>120</v>
      </c>
      <c r="H1726" t="s">
        <v>89</v>
      </c>
      <c r="I1726" s="12">
        <v>7.1463640660439998</v>
      </c>
      <c r="J1726" s="12">
        <v>20.54271845981398</v>
      </c>
      <c r="K1726" s="34" t="s">
        <v>89</v>
      </c>
      <c r="L1726" s="16">
        <v>2978.0864842114152</v>
      </c>
      <c r="M1726" s="1" t="s">
        <v>89</v>
      </c>
      <c r="N1726" s="16">
        <v>21052.300331869479</v>
      </c>
      <c r="O1726" s="12">
        <v>34.180668218999998</v>
      </c>
      <c r="P1726" s="15">
        <v>8.5604753240000004</v>
      </c>
      <c r="T1726" s="15">
        <v>22.805617026</v>
      </c>
      <c r="U1726" s="15">
        <v>29.270629071999998</v>
      </c>
      <c r="W1726" s="12">
        <v>0.77261315699999999</v>
      </c>
      <c r="Y1726" s="15">
        <v>74.724713613000006</v>
      </c>
      <c r="AE1726" s="19">
        <v>1</v>
      </c>
    </row>
    <row r="1727" spans="1:31" x14ac:dyDescent="0.2">
      <c r="A1727" s="19">
        <v>1726</v>
      </c>
      <c r="B1727" s="1">
        <v>2024</v>
      </c>
      <c r="C1727" s="8" t="s">
        <v>31</v>
      </c>
      <c r="D1727" s="1" t="s">
        <v>67</v>
      </c>
      <c r="E1727" s="1" t="s">
        <v>1022</v>
      </c>
      <c r="F1727" s="1" t="s">
        <v>32</v>
      </c>
      <c r="G1727" s="1">
        <v>120</v>
      </c>
      <c r="H1727" t="s">
        <v>34</v>
      </c>
      <c r="I1727" s="12">
        <v>8.7794741466214994</v>
      </c>
      <c r="J1727" s="12">
        <v>26.623979800682619</v>
      </c>
      <c r="K1727" s="34" t="s">
        <v>89</v>
      </c>
      <c r="L1727" s="16">
        <v>3116.5916511150467</v>
      </c>
      <c r="M1727" s="1" t="s">
        <v>34</v>
      </c>
      <c r="N1727" s="16">
        <v>27149.015119114152</v>
      </c>
      <c r="O1727" s="12">
        <v>33.193176465999997</v>
      </c>
      <c r="P1727" s="15">
        <v>8.5027492169999999</v>
      </c>
      <c r="T1727" s="15">
        <v>20.98455062</v>
      </c>
      <c r="U1727" s="15">
        <v>29.028629189</v>
      </c>
      <c r="W1727" s="12">
        <v>0.79428384799999996</v>
      </c>
      <c r="Y1727" s="15">
        <v>76.633191513</v>
      </c>
      <c r="AE1727" s="19">
        <v>1</v>
      </c>
    </row>
    <row r="1728" spans="1:31" x14ac:dyDescent="0.2">
      <c r="A1728" s="19">
        <v>1727</v>
      </c>
      <c r="B1728" s="1">
        <v>2024</v>
      </c>
      <c r="C1728" s="1" t="s">
        <v>88</v>
      </c>
      <c r="D1728" s="1" t="s">
        <v>1023</v>
      </c>
      <c r="E1728" s="1" t="s">
        <v>1025</v>
      </c>
      <c r="F1728" s="1" t="s">
        <v>32</v>
      </c>
      <c r="H1728" t="s">
        <v>89</v>
      </c>
      <c r="I1728" s="12">
        <v>6.372759743375001</v>
      </c>
      <c r="J1728" s="12">
        <v>18.207884981071441</v>
      </c>
      <c r="K1728" s="34" t="s">
        <v>89</v>
      </c>
      <c r="L1728" s="16">
        <v>1749.8665737334579</v>
      </c>
      <c r="M1728" s="1" t="s">
        <v>89</v>
      </c>
      <c r="N1728" s="16">
        <v>11213.886483870148</v>
      </c>
      <c r="O1728" s="12">
        <v>31.339367493360889</v>
      </c>
      <c r="P1728" s="15">
        <v>5.54</v>
      </c>
      <c r="T1728" s="15">
        <v>38.706666667</v>
      </c>
      <c r="W1728" s="12">
        <v>0.58339066666666672</v>
      </c>
      <c r="Y1728" s="15">
        <v>58.060413333333386</v>
      </c>
      <c r="AE1728" s="19">
        <v>1</v>
      </c>
    </row>
    <row r="1729" spans="1:31" x14ac:dyDescent="0.2">
      <c r="A1729" s="19">
        <v>1728</v>
      </c>
      <c r="B1729" s="1">
        <v>2024</v>
      </c>
      <c r="C1729" s="1" t="s">
        <v>88</v>
      </c>
      <c r="D1729" s="1" t="s">
        <v>1023</v>
      </c>
      <c r="E1729" s="1" t="s">
        <v>1026</v>
      </c>
      <c r="F1729" s="1" t="s">
        <v>32</v>
      </c>
      <c r="H1729" t="s">
        <v>34</v>
      </c>
      <c r="I1729" s="12">
        <v>6.9258491134954827</v>
      </c>
      <c r="J1729" s="12">
        <v>19.788140324272817</v>
      </c>
      <c r="K1729" s="34" t="s">
        <v>89</v>
      </c>
      <c r="L1729" s="16">
        <v>1701.5743034896918</v>
      </c>
      <c r="M1729" s="1" t="s">
        <v>89</v>
      </c>
      <c r="N1729" s="16">
        <v>11771.825152794769</v>
      </c>
      <c r="O1729" s="12">
        <v>30.606728613228221</v>
      </c>
      <c r="P1729" s="15">
        <v>5.6</v>
      </c>
      <c r="T1729" s="15">
        <v>41.133333333000003</v>
      </c>
      <c r="W1729" s="12">
        <v>0.5545133333333333</v>
      </c>
      <c r="Y1729" s="15">
        <v>55.517266666666714</v>
      </c>
      <c r="AE1729" s="19">
        <v>1</v>
      </c>
    </row>
    <row r="1730" spans="1:31" x14ac:dyDescent="0.2">
      <c r="A1730" s="19">
        <v>1729</v>
      </c>
      <c r="B1730" s="1">
        <v>2024</v>
      </c>
      <c r="C1730" s="1" t="s">
        <v>88</v>
      </c>
      <c r="D1730" s="1" t="s">
        <v>1023</v>
      </c>
      <c r="E1730" s="1" t="s">
        <v>1027</v>
      </c>
      <c r="F1730" s="1" t="s">
        <v>32</v>
      </c>
      <c r="H1730" t="s">
        <v>89</v>
      </c>
      <c r="I1730" s="12">
        <v>5.15548283737796</v>
      </c>
      <c r="J1730" s="12">
        <v>14.729950963937036</v>
      </c>
      <c r="K1730" s="34" t="s">
        <v>89</v>
      </c>
      <c r="L1730" s="16">
        <v>1979.8775612329439</v>
      </c>
      <c r="M1730" s="1" t="s">
        <v>89</v>
      </c>
      <c r="N1730" s="16">
        <v>10198.882384881315</v>
      </c>
      <c r="O1730" s="12">
        <v>27.363546521214616</v>
      </c>
      <c r="P1730" s="15">
        <v>7.3966666669999999</v>
      </c>
      <c r="T1730" s="15">
        <v>37.056666667000002</v>
      </c>
      <c r="W1730" s="12">
        <v>0.60302566666666668</v>
      </c>
      <c r="Y1730" s="15">
        <v>59.789613333333371</v>
      </c>
      <c r="AE1730" s="19">
        <v>1</v>
      </c>
    </row>
    <row r="1731" spans="1:31" x14ac:dyDescent="0.2">
      <c r="A1731" s="19">
        <v>1730</v>
      </c>
      <c r="B1731" s="1">
        <v>2024</v>
      </c>
      <c r="C1731" s="1" t="s">
        <v>88</v>
      </c>
      <c r="D1731" s="1" t="s">
        <v>1023</v>
      </c>
      <c r="E1731" s="1" t="s">
        <v>1028</v>
      </c>
      <c r="F1731" s="1" t="s">
        <v>32</v>
      </c>
      <c r="H1731" t="s">
        <v>89</v>
      </c>
      <c r="I1731" s="12">
        <v>4.6925373477397594</v>
      </c>
      <c r="J1731" s="12">
        <v>13.407249564970742</v>
      </c>
      <c r="K1731" s="34" t="s">
        <v>89</v>
      </c>
      <c r="L1731" s="16">
        <v>1948.9850598441615</v>
      </c>
      <c r="M1731" s="1" t="s">
        <v>89</v>
      </c>
      <c r="N1731" s="16">
        <v>9145.0247666114228</v>
      </c>
      <c r="O1731" s="12">
        <v>27.735177157435171</v>
      </c>
      <c r="P1731" s="15">
        <v>8.4633333329999996</v>
      </c>
      <c r="T1731" s="15">
        <v>35.513333332999999</v>
      </c>
      <c r="W1731" s="12">
        <v>0.62139133333333341</v>
      </c>
      <c r="Y1731" s="15">
        <v>61.40702666666671</v>
      </c>
      <c r="AE1731" s="19">
        <v>1</v>
      </c>
    </row>
    <row r="1732" spans="1:31" x14ac:dyDescent="0.2">
      <c r="A1732" s="19">
        <v>1731</v>
      </c>
      <c r="B1732" s="1">
        <v>2024</v>
      </c>
      <c r="C1732" s="1" t="s">
        <v>88</v>
      </c>
      <c r="D1732" s="1" t="s">
        <v>931</v>
      </c>
      <c r="E1732" s="1" t="s">
        <v>1029</v>
      </c>
      <c r="F1732" s="1" t="s">
        <v>32</v>
      </c>
      <c r="H1732" t="s">
        <v>89</v>
      </c>
      <c r="I1732" s="12">
        <v>5.6178611865671773</v>
      </c>
      <c r="J1732" s="12">
        <v>16.051031961620517</v>
      </c>
      <c r="K1732" s="34" t="s">
        <v>34</v>
      </c>
      <c r="L1732" s="16">
        <v>2248.5552228065326</v>
      </c>
      <c r="M1732" s="1" t="s">
        <v>89</v>
      </c>
      <c r="N1732" s="16">
        <v>12575.381725530813</v>
      </c>
      <c r="O1732" s="12">
        <v>27.977051701752981</v>
      </c>
      <c r="P1732" s="15">
        <v>8.1566666669999996</v>
      </c>
      <c r="T1732" s="15">
        <v>29.836666666999999</v>
      </c>
      <c r="W1732" s="12">
        <v>0.68894366666666651</v>
      </c>
      <c r="Y1732" s="15">
        <v>67.356173333333388</v>
      </c>
      <c r="AE1732" s="19">
        <v>1</v>
      </c>
    </row>
    <row r="1733" spans="1:31" x14ac:dyDescent="0.2">
      <c r="A1733" s="19">
        <v>1732</v>
      </c>
      <c r="B1733" s="1">
        <v>2024</v>
      </c>
      <c r="C1733" s="1" t="s">
        <v>88</v>
      </c>
      <c r="D1733" s="1" t="s">
        <v>931</v>
      </c>
      <c r="E1733" s="1" t="s">
        <v>960</v>
      </c>
      <c r="F1733" s="1" t="s">
        <v>32</v>
      </c>
      <c r="H1733" t="s">
        <v>89</v>
      </c>
      <c r="I1733" s="12">
        <v>4.3664843796911228</v>
      </c>
      <c r="J1733" s="12">
        <v>12.47566965626036</v>
      </c>
      <c r="K1733" s="34" t="s">
        <v>89</v>
      </c>
      <c r="L1733" s="16">
        <v>1664.5954965947453</v>
      </c>
      <c r="M1733" s="1" t="s">
        <v>89</v>
      </c>
      <c r="N1733" s="16">
        <v>7279.1200712866121</v>
      </c>
      <c r="O1733" s="12">
        <v>27.618390154478913</v>
      </c>
      <c r="P1733" s="15">
        <v>7.306666667</v>
      </c>
      <c r="T1733" s="15">
        <v>43.75</v>
      </c>
      <c r="W1733" s="12">
        <v>0.52337499999999992</v>
      </c>
      <c r="Y1733" s="15">
        <v>52.775000000000041</v>
      </c>
      <c r="AE1733" s="19">
        <v>1</v>
      </c>
    </row>
    <row r="1734" spans="1:31" x14ac:dyDescent="0.2">
      <c r="A1734" s="19">
        <v>1733</v>
      </c>
      <c r="B1734" s="1">
        <v>2024</v>
      </c>
      <c r="C1734" s="1" t="s">
        <v>88</v>
      </c>
      <c r="D1734" s="1" t="s">
        <v>914</v>
      </c>
      <c r="E1734" s="1" t="s">
        <v>961</v>
      </c>
      <c r="F1734" s="1" t="s">
        <v>32</v>
      </c>
      <c r="H1734" t="s">
        <v>89</v>
      </c>
      <c r="I1734" s="12">
        <v>5.9989917099522891</v>
      </c>
      <c r="J1734" s="12">
        <v>17.139976314149422</v>
      </c>
      <c r="K1734" s="34" t="s">
        <v>34</v>
      </c>
      <c r="L1734" s="16">
        <v>2450.2076180239592</v>
      </c>
      <c r="M1734" s="1" t="s">
        <v>34</v>
      </c>
      <c r="N1734" s="16">
        <v>14640.330201245944</v>
      </c>
      <c r="O1734" s="12">
        <v>32.494067826693914</v>
      </c>
      <c r="P1734" s="15">
        <v>9.693333333</v>
      </c>
      <c r="T1734" s="15">
        <v>21.973333332999999</v>
      </c>
      <c r="W1734" s="12">
        <v>0.78251733333333306</v>
      </c>
      <c r="Y1734" s="15">
        <v>75.596946666666653</v>
      </c>
      <c r="AE1734" s="19">
        <v>1</v>
      </c>
    </row>
    <row r="1735" spans="1:31" x14ac:dyDescent="0.2">
      <c r="A1735" s="19">
        <v>1734</v>
      </c>
      <c r="B1735" s="1">
        <v>2024</v>
      </c>
      <c r="C1735" s="1" t="s">
        <v>88</v>
      </c>
      <c r="D1735" s="1" t="s">
        <v>914</v>
      </c>
      <c r="E1735" s="1" t="s">
        <v>791</v>
      </c>
      <c r="F1735" s="1" t="s">
        <v>32</v>
      </c>
      <c r="H1735" t="s">
        <v>89</v>
      </c>
      <c r="I1735" s="12">
        <v>6.3842283898171299</v>
      </c>
      <c r="J1735" s="12">
        <v>18.240652542334665</v>
      </c>
      <c r="K1735" s="34" t="s">
        <v>89</v>
      </c>
      <c r="L1735" s="16">
        <v>1745.5588895152721</v>
      </c>
      <c r="M1735" s="1" t="s">
        <v>89</v>
      </c>
      <c r="N1735" s="16">
        <v>11130.672242456523</v>
      </c>
      <c r="O1735" s="12">
        <v>31.521284371054421</v>
      </c>
      <c r="P1735" s="15">
        <v>5.7133333329999996</v>
      </c>
      <c r="T1735" s="15">
        <v>40.049999999999997</v>
      </c>
      <c r="W1735" s="12">
        <v>0.56740500000000005</v>
      </c>
      <c r="Y1735" s="15">
        <v>56.652600000000042</v>
      </c>
      <c r="AE1735" s="19">
        <v>1</v>
      </c>
    </row>
    <row r="1736" spans="1:31" x14ac:dyDescent="0.2">
      <c r="A1736" s="19">
        <v>1735</v>
      </c>
      <c r="B1736" s="1">
        <v>2024</v>
      </c>
      <c r="C1736" s="1" t="s">
        <v>88</v>
      </c>
      <c r="D1736" s="1" t="s">
        <v>914</v>
      </c>
      <c r="E1736" s="1" t="s">
        <v>962</v>
      </c>
      <c r="F1736" s="1" t="s">
        <v>32</v>
      </c>
      <c r="H1736" t="s">
        <v>89</v>
      </c>
      <c r="I1736" s="12">
        <v>4.7333996874781006</v>
      </c>
      <c r="J1736" s="12">
        <v>13.523999107080291</v>
      </c>
      <c r="K1736" s="34" t="s">
        <v>34</v>
      </c>
      <c r="L1736" s="16">
        <v>2129.4598799312898</v>
      </c>
      <c r="M1736" s="1" t="s">
        <v>89</v>
      </c>
      <c r="N1736" s="16">
        <v>10063.668070687501</v>
      </c>
      <c r="O1736" s="12">
        <v>27.31791132306649</v>
      </c>
      <c r="P1736" s="15">
        <v>8.1733333330000004</v>
      </c>
      <c r="T1736" s="15">
        <v>33.763333332999999</v>
      </c>
      <c r="W1736" s="12">
        <v>0.64221633333333328</v>
      </c>
      <c r="Y1736" s="15">
        <v>63.241026666666713</v>
      </c>
      <c r="AE1736" s="19">
        <v>1</v>
      </c>
    </row>
    <row r="1737" spans="1:31" x14ac:dyDescent="0.2">
      <c r="A1737" s="19">
        <v>1736</v>
      </c>
      <c r="B1737" s="1">
        <v>2024</v>
      </c>
      <c r="C1737" s="1" t="s">
        <v>88</v>
      </c>
      <c r="D1737" s="1" t="s">
        <v>914</v>
      </c>
      <c r="E1737" s="1" t="s">
        <v>639</v>
      </c>
      <c r="F1737" s="1" t="s">
        <v>32</v>
      </c>
      <c r="H1737" t="s">
        <v>89</v>
      </c>
      <c r="I1737" s="12">
        <v>5.4646859920466264</v>
      </c>
      <c r="J1737" s="12">
        <v>15.613388548704663</v>
      </c>
      <c r="K1737" s="34" t="s">
        <v>89</v>
      </c>
      <c r="L1737" s="16">
        <v>1839.4908060548901</v>
      </c>
      <c r="M1737" s="1" t="s">
        <v>89</v>
      </c>
      <c r="N1737" s="16">
        <v>10116.879599874625</v>
      </c>
      <c r="O1737" s="12">
        <v>19.763813993916425</v>
      </c>
      <c r="P1737" s="15">
        <v>8.93</v>
      </c>
      <c r="T1737" s="15">
        <v>39.93</v>
      </c>
      <c r="W1737" s="12">
        <v>0.56883299999999992</v>
      </c>
      <c r="Y1737" s="15">
        <v>56.778360000000042</v>
      </c>
      <c r="AE1737" s="19">
        <v>1</v>
      </c>
    </row>
    <row r="1738" spans="1:31" x14ac:dyDescent="0.2">
      <c r="A1738" s="19">
        <v>1737</v>
      </c>
      <c r="B1738" s="1">
        <v>2024</v>
      </c>
      <c r="C1738" s="1" t="s">
        <v>88</v>
      </c>
      <c r="D1738" s="1" t="s">
        <v>914</v>
      </c>
      <c r="E1738" s="1" t="s">
        <v>792</v>
      </c>
      <c r="F1738" s="1" t="s">
        <v>32</v>
      </c>
      <c r="H1738" t="s">
        <v>89</v>
      </c>
      <c r="I1738" s="12">
        <v>5.1885254147130819</v>
      </c>
      <c r="J1738" s="12">
        <v>14.824358327751661</v>
      </c>
      <c r="K1738" s="34" t="s">
        <v>89</v>
      </c>
      <c r="L1738" s="16">
        <v>1940.1296289907559</v>
      </c>
      <c r="M1738" s="1" t="s">
        <v>89</v>
      </c>
      <c r="N1738" s="16">
        <v>10046.582221802146</v>
      </c>
      <c r="O1738" s="12">
        <v>26.792946489654458</v>
      </c>
      <c r="P1738" s="15">
        <v>8.8333333330000006</v>
      </c>
      <c r="T1738" s="15">
        <v>37.483333332999997</v>
      </c>
      <c r="W1738" s="12">
        <v>0.59794833333333319</v>
      </c>
      <c r="Y1738" s="15">
        <v>59.342466666666702</v>
      </c>
      <c r="AE1738" s="19">
        <v>1</v>
      </c>
    </row>
    <row r="1739" spans="1:31" x14ac:dyDescent="0.2">
      <c r="A1739" s="19">
        <v>1738</v>
      </c>
      <c r="B1739" s="1">
        <v>2024</v>
      </c>
      <c r="C1739" s="1" t="s">
        <v>88</v>
      </c>
      <c r="D1739" s="1" t="s">
        <v>914</v>
      </c>
      <c r="E1739" s="1" t="s">
        <v>793</v>
      </c>
      <c r="F1739" s="1" t="s">
        <v>32</v>
      </c>
      <c r="H1739" t="s">
        <v>89</v>
      </c>
      <c r="I1739" s="12">
        <v>5.8764432921700154</v>
      </c>
      <c r="J1739" s="12">
        <v>16.789837977628636</v>
      </c>
      <c r="K1739" s="34" t="s">
        <v>34</v>
      </c>
      <c r="L1739" s="16">
        <v>2423.2808037612062</v>
      </c>
      <c r="M1739" s="1" t="s">
        <v>34</v>
      </c>
      <c r="N1739" s="16">
        <v>14132.086592646383</v>
      </c>
      <c r="O1739" s="12">
        <v>27.273586652331005</v>
      </c>
      <c r="P1739" s="15">
        <v>8.7566666669999993</v>
      </c>
      <c r="T1739" s="15">
        <v>27.786666666999999</v>
      </c>
      <c r="W1739" s="12">
        <v>0.71333866666666612</v>
      </c>
      <c r="Y1739" s="15">
        <v>69.504573333333354</v>
      </c>
      <c r="AE1739" s="19">
        <v>1</v>
      </c>
    </row>
    <row r="1740" spans="1:31" x14ac:dyDescent="0.2">
      <c r="A1740" s="19">
        <v>1739</v>
      </c>
      <c r="B1740" s="1">
        <v>2024</v>
      </c>
      <c r="C1740" s="1" t="s">
        <v>88</v>
      </c>
      <c r="D1740" s="1" t="s">
        <v>914</v>
      </c>
      <c r="E1740" s="1" t="s">
        <v>920</v>
      </c>
      <c r="F1740" s="1" t="s">
        <v>32</v>
      </c>
      <c r="H1740" t="s">
        <v>34</v>
      </c>
      <c r="I1740" s="12">
        <v>7.0047107862629669</v>
      </c>
      <c r="J1740" s="12">
        <v>20.013459389322772</v>
      </c>
      <c r="K1740" s="34" t="s">
        <v>89</v>
      </c>
      <c r="L1740" s="16">
        <v>1781.0377642220744</v>
      </c>
      <c r="M1740" s="1" t="s">
        <v>89</v>
      </c>
      <c r="N1740" s="16">
        <v>12462.37059385336</v>
      </c>
      <c r="O1740" s="12">
        <v>28.233661432948889</v>
      </c>
      <c r="P1740" s="15">
        <v>6.1133333329999999</v>
      </c>
      <c r="T1740" s="15">
        <v>40.736666667000001</v>
      </c>
      <c r="W1740" s="12">
        <v>0.55923366666666663</v>
      </c>
      <c r="Y1740" s="15">
        <v>55.932973333333372</v>
      </c>
      <c r="AE1740" s="19">
        <v>1</v>
      </c>
    </row>
    <row r="1741" spans="1:31" x14ac:dyDescent="0.2">
      <c r="A1741" s="19">
        <v>1740</v>
      </c>
      <c r="B1741" s="1">
        <v>2024</v>
      </c>
      <c r="C1741" s="1" t="s">
        <v>88</v>
      </c>
      <c r="D1741" s="1" t="s">
        <v>914</v>
      </c>
      <c r="E1741" s="1" t="s">
        <v>915</v>
      </c>
      <c r="F1741" s="1" t="s">
        <v>32</v>
      </c>
      <c r="H1741" t="s">
        <v>34</v>
      </c>
      <c r="I1741" s="12">
        <v>6.7309600953965543</v>
      </c>
      <c r="J1741" s="12">
        <v>19.231314558275876</v>
      </c>
      <c r="K1741" s="34" t="s">
        <v>89</v>
      </c>
      <c r="L1741" s="16">
        <v>1786.8514535446095</v>
      </c>
      <c r="M1741" s="1" t="s">
        <v>89</v>
      </c>
      <c r="N1741" s="16">
        <v>12023.41979166145</v>
      </c>
      <c r="O1741" s="12">
        <v>30.046877129540047</v>
      </c>
      <c r="P1741" s="15">
        <v>5.1133333329999999</v>
      </c>
      <c r="T1741" s="15">
        <v>40.676666666999999</v>
      </c>
      <c r="W1741" s="12">
        <v>0.55994766666666651</v>
      </c>
      <c r="Y1741" s="15">
        <v>55.995853333333365</v>
      </c>
      <c r="AE1741" s="19">
        <v>1</v>
      </c>
    </row>
    <row r="1742" spans="1:31" x14ac:dyDescent="0.2">
      <c r="A1742" s="19">
        <v>1741</v>
      </c>
      <c r="B1742" s="1">
        <v>2024</v>
      </c>
      <c r="C1742" s="1" t="s">
        <v>88</v>
      </c>
      <c r="D1742" s="1" t="s">
        <v>1030</v>
      </c>
      <c r="E1742" s="1" t="s">
        <v>1031</v>
      </c>
      <c r="F1742" s="1" t="s">
        <v>32</v>
      </c>
      <c r="H1742" t="s">
        <v>89</v>
      </c>
      <c r="I1742" s="12">
        <v>6.1656944312250674</v>
      </c>
      <c r="J1742" s="12">
        <v>17.616269803500199</v>
      </c>
      <c r="K1742" s="34" t="s">
        <v>89</v>
      </c>
      <c r="L1742" s="16">
        <v>1807.2427797352634</v>
      </c>
      <c r="M1742" s="1" t="s">
        <v>89</v>
      </c>
      <c r="N1742" s="16">
        <v>11102.457551182581</v>
      </c>
      <c r="O1742" s="12">
        <v>30.256230547538191</v>
      </c>
      <c r="P1742" s="15">
        <v>7.1033333330000001</v>
      </c>
      <c r="T1742" s="15">
        <v>37.93</v>
      </c>
      <c r="W1742" s="12">
        <v>0.59263299999999997</v>
      </c>
      <c r="Y1742" s="15">
        <v>58.874360000000031</v>
      </c>
      <c r="AE1742" s="19">
        <v>1</v>
      </c>
    </row>
    <row r="1743" spans="1:31" x14ac:dyDescent="0.2">
      <c r="A1743" s="19">
        <v>1742</v>
      </c>
      <c r="B1743" s="1">
        <v>2024</v>
      </c>
      <c r="C1743" s="1" t="s">
        <v>88</v>
      </c>
      <c r="D1743" s="1" t="s">
        <v>1030</v>
      </c>
      <c r="E1743" s="1" t="s">
        <v>1032</v>
      </c>
      <c r="F1743" s="1" t="s">
        <v>32</v>
      </c>
      <c r="H1743" t="s">
        <v>89</v>
      </c>
      <c r="I1743" s="12">
        <v>5.3372715677440068</v>
      </c>
      <c r="J1743" s="12">
        <v>15.249347336411443</v>
      </c>
      <c r="K1743" s="34" t="s">
        <v>89</v>
      </c>
      <c r="L1743" s="16">
        <v>1780.638784581309</v>
      </c>
      <c r="M1743" s="1" t="s">
        <v>89</v>
      </c>
      <c r="N1743" s="16">
        <v>9412.3862421923113</v>
      </c>
      <c r="O1743" s="12">
        <v>28.476597080022898</v>
      </c>
      <c r="P1743" s="15">
        <v>7.0666666669999998</v>
      </c>
      <c r="T1743" s="15">
        <v>40.063333333000003</v>
      </c>
      <c r="W1743" s="12">
        <v>0.56724633333333319</v>
      </c>
      <c r="Y1743" s="15">
        <v>56.638626666666696</v>
      </c>
      <c r="AE1743" s="19">
        <v>1</v>
      </c>
    </row>
    <row r="1744" spans="1:31" x14ac:dyDescent="0.2">
      <c r="A1744" s="19">
        <v>1743</v>
      </c>
      <c r="B1744" s="1">
        <v>2024</v>
      </c>
      <c r="C1744" s="1" t="s">
        <v>88</v>
      </c>
      <c r="D1744" s="1" t="s">
        <v>37</v>
      </c>
      <c r="E1744" s="1" t="s">
        <v>963</v>
      </c>
      <c r="F1744" s="1" t="s">
        <v>32</v>
      </c>
      <c r="H1744" t="s">
        <v>89</v>
      </c>
      <c r="I1744" s="12">
        <v>6.4747732443624173</v>
      </c>
      <c r="J1744" s="12">
        <v>18.499352126749791</v>
      </c>
      <c r="K1744" s="34" t="s">
        <v>34</v>
      </c>
      <c r="L1744" s="16">
        <v>2376.9355018304982</v>
      </c>
      <c r="M1744" s="1" t="s">
        <v>34</v>
      </c>
      <c r="N1744" s="16">
        <v>15408.861421315043</v>
      </c>
      <c r="O1744" s="12">
        <v>24.640371410454325</v>
      </c>
      <c r="P1744" s="15">
        <v>9.6833333330000002</v>
      </c>
      <c r="T1744" s="15">
        <v>28.56</v>
      </c>
      <c r="W1744" s="12">
        <v>0.70413599999999965</v>
      </c>
      <c r="Y1744" s="15">
        <v>68.694120000000012</v>
      </c>
      <c r="AE1744" s="19">
        <v>1</v>
      </c>
    </row>
    <row r="1745" spans="1:31" x14ac:dyDescent="0.2">
      <c r="A1745" s="19">
        <v>1744</v>
      </c>
      <c r="B1745" s="1">
        <v>2024</v>
      </c>
      <c r="C1745" s="1" t="s">
        <v>88</v>
      </c>
      <c r="D1745" s="1" t="s">
        <v>246</v>
      </c>
      <c r="E1745" s="1" t="s">
        <v>966</v>
      </c>
      <c r="F1745" s="1" t="s">
        <v>32</v>
      </c>
      <c r="H1745" t="s">
        <v>89</v>
      </c>
      <c r="I1745" s="12">
        <v>4.6218498661075564</v>
      </c>
      <c r="J1745" s="12">
        <v>13.205285331735876</v>
      </c>
      <c r="K1745" s="34" t="s">
        <v>89</v>
      </c>
      <c r="L1745" s="16">
        <v>1810.4386290762104</v>
      </c>
      <c r="M1745" s="1" t="s">
        <v>89</v>
      </c>
      <c r="N1745" s="16">
        <v>8373.0270277008021</v>
      </c>
      <c r="O1745" s="12">
        <v>25.809983153836576</v>
      </c>
      <c r="P1745" s="15">
        <v>8.2966666670000002</v>
      </c>
      <c r="T1745" s="15">
        <v>38.306666667000002</v>
      </c>
      <c r="W1745" s="12">
        <v>0.5881506666666666</v>
      </c>
      <c r="Y1745" s="15">
        <v>58.479613333333369</v>
      </c>
      <c r="AE1745" s="19">
        <v>1</v>
      </c>
    </row>
    <row r="1746" spans="1:31" x14ac:dyDescent="0.2">
      <c r="A1746" s="19">
        <v>1745</v>
      </c>
      <c r="B1746" s="1">
        <v>2024</v>
      </c>
      <c r="C1746" s="1" t="s">
        <v>88</v>
      </c>
      <c r="D1746" s="1" t="s">
        <v>246</v>
      </c>
      <c r="E1746" s="1" t="s">
        <v>967</v>
      </c>
      <c r="F1746" s="1" t="s">
        <v>32</v>
      </c>
      <c r="H1746" t="s">
        <v>89</v>
      </c>
      <c r="I1746" s="12">
        <v>5.0566259562126721</v>
      </c>
      <c r="J1746" s="12">
        <v>14.447502732036209</v>
      </c>
      <c r="K1746" s="34" t="s">
        <v>89</v>
      </c>
      <c r="L1746" s="16">
        <v>1824.6767859617089</v>
      </c>
      <c r="M1746" s="1" t="s">
        <v>89</v>
      </c>
      <c r="N1746" s="16">
        <v>9231.5962367492539</v>
      </c>
      <c r="O1746" s="12">
        <v>30.102292133349913</v>
      </c>
      <c r="P1746" s="15">
        <v>8.7266666669999999</v>
      </c>
      <c r="T1746" s="15">
        <v>36.953333333000003</v>
      </c>
      <c r="W1746" s="12">
        <v>0.60425533333333337</v>
      </c>
      <c r="Y1746" s="15">
        <v>59.897906666666707</v>
      </c>
      <c r="AE1746" s="19">
        <v>1</v>
      </c>
    </row>
    <row r="1747" spans="1:31" x14ac:dyDescent="0.2">
      <c r="A1747" s="19">
        <v>1746</v>
      </c>
      <c r="B1747" s="1">
        <v>2024</v>
      </c>
      <c r="C1747" s="1" t="s">
        <v>88</v>
      </c>
      <c r="D1747" s="1" t="s">
        <v>246</v>
      </c>
      <c r="E1747" s="1" t="s">
        <v>593</v>
      </c>
      <c r="F1747" s="1" t="s">
        <v>32</v>
      </c>
      <c r="H1747" t="s">
        <v>89</v>
      </c>
      <c r="I1747" s="12">
        <v>6.1094999236098122</v>
      </c>
      <c r="J1747" s="12">
        <v>17.455714067456618</v>
      </c>
      <c r="K1747" s="34" t="s">
        <v>89</v>
      </c>
      <c r="L1747" s="16">
        <v>1995.7499058938097</v>
      </c>
      <c r="M1747" s="1" t="s">
        <v>89</v>
      </c>
      <c r="N1747" s="16">
        <v>12179.26955206236</v>
      </c>
      <c r="O1747" s="12">
        <v>28.836813223288097</v>
      </c>
      <c r="P1747" s="15">
        <v>5.5366666670000004</v>
      </c>
      <c r="T1747" s="15">
        <v>35.923333333000002</v>
      </c>
      <c r="W1747" s="12">
        <v>0.61651233333333333</v>
      </c>
      <c r="Y1747" s="15">
        <v>60.977346666666712</v>
      </c>
      <c r="AE1747" s="19">
        <v>1</v>
      </c>
    </row>
    <row r="1748" spans="1:31" x14ac:dyDescent="0.2">
      <c r="A1748" s="19">
        <v>1747</v>
      </c>
      <c r="B1748" s="1">
        <v>2024</v>
      </c>
      <c r="C1748" s="1" t="s">
        <v>88</v>
      </c>
      <c r="D1748" s="1" t="s">
        <v>246</v>
      </c>
      <c r="E1748" s="1" t="s">
        <v>594</v>
      </c>
      <c r="F1748" s="1" t="s">
        <v>32</v>
      </c>
      <c r="H1748" t="s">
        <v>89</v>
      </c>
      <c r="I1748" s="12">
        <v>5.5044322973226576</v>
      </c>
      <c r="J1748" s="12">
        <v>15.726949420921898</v>
      </c>
      <c r="K1748" s="34" t="s">
        <v>89</v>
      </c>
      <c r="L1748" s="16">
        <v>1601.981942198425</v>
      </c>
      <c r="M1748" s="1" t="s">
        <v>89</v>
      </c>
      <c r="N1748" s="16">
        <v>8762.5107342916635</v>
      </c>
      <c r="O1748" s="12">
        <v>25.9791549881941</v>
      </c>
      <c r="P1748" s="15">
        <v>5</v>
      </c>
      <c r="T1748" s="15">
        <v>45.393333333000001</v>
      </c>
      <c r="W1748" s="12">
        <v>0.5038193333333334</v>
      </c>
      <c r="Y1748" s="15">
        <v>51.052786666666705</v>
      </c>
      <c r="AE1748" s="19">
        <v>1</v>
      </c>
    </row>
    <row r="1749" spans="1:31" x14ac:dyDescent="0.2">
      <c r="A1749" s="19">
        <v>1748</v>
      </c>
      <c r="B1749" s="1">
        <v>2024</v>
      </c>
      <c r="C1749" s="1" t="s">
        <v>1037</v>
      </c>
      <c r="D1749" s="1" t="s">
        <v>1033</v>
      </c>
      <c r="E1749" s="1" t="s">
        <v>1034</v>
      </c>
      <c r="F1749" s="1" t="s">
        <v>32</v>
      </c>
      <c r="H1749"/>
      <c r="I1749" s="12">
        <v>6.6242537733187916</v>
      </c>
      <c r="J1749" s="12">
        <v>18.926439352339415</v>
      </c>
      <c r="K1749" s="34" t="s">
        <v>89</v>
      </c>
      <c r="L1749" s="16">
        <v>1550.7096790330149</v>
      </c>
      <c r="M1749" s="1" t="s">
        <v>89</v>
      </c>
      <c r="N1749" s="16">
        <v>10303.200543724233</v>
      </c>
      <c r="O1749" s="12">
        <v>21.13682810103656</v>
      </c>
      <c r="P1749" s="15">
        <v>5.38</v>
      </c>
      <c r="T1749" s="15">
        <v>48.083333332999999</v>
      </c>
      <c r="W1749" s="12">
        <v>0.47180833333333294</v>
      </c>
      <c r="Y1749" s="15">
        <v>48.233666666666693</v>
      </c>
      <c r="AE1749" s="19">
        <v>1</v>
      </c>
    </row>
    <row r="1750" spans="1:31" x14ac:dyDescent="0.2">
      <c r="A1750" s="19">
        <v>1749</v>
      </c>
      <c r="B1750" s="1">
        <v>2024</v>
      </c>
      <c r="C1750" s="1" t="s">
        <v>88</v>
      </c>
      <c r="D1750" s="1" t="s">
        <v>1033</v>
      </c>
      <c r="E1750" s="1" t="s">
        <v>1035</v>
      </c>
      <c r="F1750" s="1" t="s">
        <v>32</v>
      </c>
      <c r="H1750" t="s">
        <v>89</v>
      </c>
      <c r="I1750" s="12">
        <v>5.5754657407317119</v>
      </c>
      <c r="J1750" s="12">
        <v>15.929902116376322</v>
      </c>
      <c r="K1750" s="34" t="s">
        <v>89</v>
      </c>
      <c r="L1750" s="16">
        <v>1776.1066758513671</v>
      </c>
      <c r="M1750" s="1" t="s">
        <v>89</v>
      </c>
      <c r="N1750" s="16">
        <v>9930.3056709285538</v>
      </c>
      <c r="O1750" s="12">
        <v>29.931200979053564</v>
      </c>
      <c r="P1750" s="15">
        <v>4.9066666669999996</v>
      </c>
      <c r="T1750" s="15">
        <v>42.083333332999999</v>
      </c>
      <c r="W1750" s="12">
        <v>0.54320833333333318</v>
      </c>
      <c r="Y1750" s="15">
        <v>54.521666666666697</v>
      </c>
      <c r="AE1750" s="19">
        <v>1</v>
      </c>
    </row>
    <row r="1751" spans="1:31" x14ac:dyDescent="0.2">
      <c r="A1751" s="19">
        <v>1750</v>
      </c>
      <c r="B1751" s="1">
        <v>2024</v>
      </c>
      <c r="C1751" s="1" t="s">
        <v>88</v>
      </c>
      <c r="D1751" s="1" t="s">
        <v>1033</v>
      </c>
      <c r="E1751" s="1" t="s">
        <v>1036</v>
      </c>
      <c r="F1751" s="1" t="s">
        <v>32</v>
      </c>
      <c r="H1751" t="s">
        <v>34</v>
      </c>
      <c r="I1751" s="12">
        <v>7.8012358454727204</v>
      </c>
      <c r="J1751" s="12">
        <v>22.289245272778913</v>
      </c>
      <c r="K1751" s="34" t="s">
        <v>34</v>
      </c>
      <c r="L1751" s="16">
        <v>2044.7717117187744</v>
      </c>
      <c r="M1751" s="1" t="s">
        <v>34</v>
      </c>
      <c r="N1751" s="16">
        <v>15994.493786125089</v>
      </c>
      <c r="O1751" s="12">
        <v>26.156701505634295</v>
      </c>
      <c r="P1751" s="15">
        <v>6.02</v>
      </c>
      <c r="T1751" s="15">
        <v>36.333333332999999</v>
      </c>
      <c r="W1751" s="12">
        <v>0.61163333333333547</v>
      </c>
      <c r="Y1751" s="15">
        <v>60.547666666666835</v>
      </c>
      <c r="AE1751" s="19">
        <v>1</v>
      </c>
    </row>
    <row r="1752" spans="1:31" x14ac:dyDescent="0.2">
      <c r="A1752" s="19">
        <v>1751</v>
      </c>
      <c r="B1752" s="1">
        <v>2024</v>
      </c>
      <c r="C1752" s="1" t="s">
        <v>31</v>
      </c>
      <c r="D1752" s="1" t="s">
        <v>916</v>
      </c>
      <c r="E1752" s="1" t="s">
        <v>986</v>
      </c>
      <c r="F1752" s="1" t="s">
        <v>83</v>
      </c>
      <c r="G1752" s="1">
        <v>125</v>
      </c>
      <c r="H1752" t="s">
        <v>34</v>
      </c>
      <c r="I1752" s="12">
        <v>6.8629742865648344</v>
      </c>
      <c r="J1752" s="12">
        <v>19.6084979616138</v>
      </c>
      <c r="K1752" s="36" t="s">
        <v>89</v>
      </c>
      <c r="L1752" s="16">
        <v>2707.4955428816611</v>
      </c>
      <c r="M1752" s="1" t="s">
        <v>89</v>
      </c>
      <c r="N1752" s="16">
        <v>18688.676012074553</v>
      </c>
      <c r="P1752" s="15">
        <v>7.0975000000000046</v>
      </c>
      <c r="T1752" s="15">
        <v>28.08250000000001</v>
      </c>
      <c r="W1752" s="12">
        <v>0.70981825000000032</v>
      </c>
      <c r="Y1752" s="12">
        <v>69.194540000000003</v>
      </c>
      <c r="AE1752" s="19">
        <v>1</v>
      </c>
    </row>
    <row r="1753" spans="1:31" x14ac:dyDescent="0.2">
      <c r="A1753" s="19">
        <v>1752</v>
      </c>
      <c r="B1753" s="1">
        <v>2024</v>
      </c>
      <c r="C1753" s="1" t="s">
        <v>31</v>
      </c>
      <c r="D1753" s="1" t="s">
        <v>916</v>
      </c>
      <c r="E1753" s="1" t="s">
        <v>414</v>
      </c>
      <c r="F1753" s="1" t="s">
        <v>83</v>
      </c>
      <c r="H1753" t="s">
        <v>89</v>
      </c>
      <c r="I1753" s="12">
        <v>5.9738728547160713</v>
      </c>
      <c r="J1753" s="12">
        <v>17.068208156331647</v>
      </c>
      <c r="K1753" s="36" t="s">
        <v>89</v>
      </c>
      <c r="L1753" s="16">
        <v>2960.7934999805998</v>
      </c>
      <c r="M1753" s="1" t="s">
        <v>89</v>
      </c>
      <c r="N1753" s="16">
        <v>17688.961677066283</v>
      </c>
      <c r="P1753" s="15">
        <v>6.8975000000000035</v>
      </c>
      <c r="T1753" s="15">
        <v>22.802500000000013</v>
      </c>
      <c r="W1753" s="12">
        <v>0.77265025000000043</v>
      </c>
      <c r="Y1753" s="12">
        <v>74.727980000000002</v>
      </c>
      <c r="AE1753" s="19">
        <v>1</v>
      </c>
    </row>
    <row r="1754" spans="1:31" x14ac:dyDescent="0.2">
      <c r="A1754" s="19">
        <v>1753</v>
      </c>
      <c r="B1754" s="1">
        <v>2024</v>
      </c>
      <c r="C1754" s="1" t="s">
        <v>31</v>
      </c>
      <c r="D1754" s="1" t="s">
        <v>402</v>
      </c>
      <c r="E1754" s="1" t="s">
        <v>989</v>
      </c>
      <c r="F1754" s="1" t="s">
        <v>83</v>
      </c>
      <c r="G1754" s="1">
        <v>114</v>
      </c>
      <c r="H1754" t="s">
        <v>34</v>
      </c>
      <c r="I1754" s="12">
        <v>7.1622117785892332</v>
      </c>
      <c r="J1754" s="12">
        <v>20.463462224540663</v>
      </c>
      <c r="K1754" s="36" t="s">
        <v>89</v>
      </c>
      <c r="L1754" s="16">
        <v>2773.330556736832</v>
      </c>
      <c r="M1754" s="1" t="s">
        <v>34</v>
      </c>
      <c r="N1754" s="16">
        <v>20047.099525803238</v>
      </c>
      <c r="P1754" s="15">
        <v>7.0050000000000043</v>
      </c>
      <c r="T1754" s="15">
        <v>23.655000000000015</v>
      </c>
      <c r="W1754" s="12">
        <v>0.7625055000000005</v>
      </c>
      <c r="Y1754" s="12">
        <v>73.834560000000025</v>
      </c>
      <c r="AE1754" s="19">
        <v>1</v>
      </c>
    </row>
    <row r="1755" spans="1:31" x14ac:dyDescent="0.2">
      <c r="A1755" s="19">
        <v>1754</v>
      </c>
      <c r="B1755" s="1">
        <v>2024</v>
      </c>
      <c r="C1755" s="1" t="s">
        <v>31</v>
      </c>
      <c r="D1755" s="1" t="s">
        <v>402</v>
      </c>
      <c r="E1755" s="1" t="s">
        <v>1038</v>
      </c>
      <c r="F1755" s="1" t="s">
        <v>83</v>
      </c>
      <c r="G1755" s="1">
        <v>114</v>
      </c>
      <c r="H1755" t="s">
        <v>89</v>
      </c>
      <c r="I1755" s="12">
        <v>5.0888194444444448</v>
      </c>
      <c r="J1755" s="12">
        <v>14.539484126984147</v>
      </c>
      <c r="K1755" s="36" t="s">
        <v>89</v>
      </c>
      <c r="L1755" s="16">
        <v>2840.4078199146352</v>
      </c>
      <c r="M1755" s="1" t="s">
        <v>89</v>
      </c>
      <c r="N1755" s="16">
        <v>14490.671535037594</v>
      </c>
      <c r="P1755" s="15">
        <v>6.4800000000000031</v>
      </c>
      <c r="T1755" s="15">
        <v>24.722500000000011</v>
      </c>
      <c r="W1755" s="12">
        <v>0.74980225000000045</v>
      </c>
      <c r="Y1755" s="12">
        <v>72.715820000000022</v>
      </c>
      <c r="AE1755" s="19">
        <v>1</v>
      </c>
    </row>
    <row r="1756" spans="1:31" x14ac:dyDescent="0.2">
      <c r="A1756" s="19">
        <v>1755</v>
      </c>
      <c r="B1756" s="1">
        <v>2024</v>
      </c>
      <c r="C1756" s="1" t="s">
        <v>31</v>
      </c>
      <c r="D1756" s="1" t="s">
        <v>402</v>
      </c>
      <c r="E1756" s="1" t="s">
        <v>1039</v>
      </c>
      <c r="F1756" s="1" t="s">
        <v>83</v>
      </c>
      <c r="G1756" s="1">
        <v>116</v>
      </c>
      <c r="H1756" t="s">
        <v>89</v>
      </c>
      <c r="I1756" s="12">
        <v>4.6742683140767474</v>
      </c>
      <c r="J1756" s="12">
        <v>13.355052325933583</v>
      </c>
      <c r="K1756" s="37" t="s">
        <v>34</v>
      </c>
      <c r="L1756" s="16">
        <v>3206.4035977518897</v>
      </c>
      <c r="M1756" s="1" t="s">
        <v>89</v>
      </c>
      <c r="N1756" s="16">
        <v>14984.789578491247</v>
      </c>
      <c r="P1756" s="15">
        <v>7.4300000000000042</v>
      </c>
      <c r="T1756" s="15">
        <v>18.050000000000008</v>
      </c>
      <c r="W1756" s="12">
        <v>0.82920500000000041</v>
      </c>
      <c r="Y1756" s="12">
        <v>79.708600000000004</v>
      </c>
      <c r="AE1756" s="19">
        <v>1</v>
      </c>
    </row>
    <row r="1757" spans="1:31" x14ac:dyDescent="0.2">
      <c r="A1757" s="19">
        <v>1756</v>
      </c>
      <c r="B1757" s="1">
        <v>2024</v>
      </c>
      <c r="C1757" s="1" t="s">
        <v>31</v>
      </c>
      <c r="D1757" s="1" t="s">
        <v>861</v>
      </c>
      <c r="E1757" s="1" t="s">
        <v>996</v>
      </c>
      <c r="F1757" s="1" t="s">
        <v>83</v>
      </c>
      <c r="G1757" s="1">
        <v>114</v>
      </c>
      <c r="H1757" t="s">
        <v>89</v>
      </c>
      <c r="I1757" s="12">
        <v>6.3046434060247476</v>
      </c>
      <c r="J1757" s="12">
        <v>18.013266874356432</v>
      </c>
      <c r="K1757" s="36" t="s">
        <v>89</v>
      </c>
      <c r="L1757" s="16">
        <v>3018.6075559983942</v>
      </c>
      <c r="M1757" s="1" t="s">
        <v>89</v>
      </c>
      <c r="N1757" s="16">
        <v>19042.584637329652</v>
      </c>
      <c r="P1757" s="15">
        <v>7.1250000000000027</v>
      </c>
      <c r="T1757" s="15">
        <v>19.60250000000001</v>
      </c>
      <c r="W1757" s="12">
        <v>0.81073025000000043</v>
      </c>
      <c r="Y1757" s="12">
        <v>78.081580000000031</v>
      </c>
      <c r="AE1757" s="19">
        <v>1</v>
      </c>
    </row>
    <row r="1758" spans="1:31" x14ac:dyDescent="0.2">
      <c r="A1758" s="19">
        <v>1757</v>
      </c>
      <c r="B1758" s="1">
        <v>2024</v>
      </c>
      <c r="C1758" s="1" t="s">
        <v>31</v>
      </c>
      <c r="D1758" s="1" t="s">
        <v>861</v>
      </c>
      <c r="E1758" s="1" t="s">
        <v>1002</v>
      </c>
      <c r="F1758" s="1" t="s">
        <v>83</v>
      </c>
      <c r="G1758" s="1">
        <v>115</v>
      </c>
      <c r="H1758" t="s">
        <v>89</v>
      </c>
      <c r="I1758" s="12">
        <v>3.6789699385929633</v>
      </c>
      <c r="J1758" s="12">
        <v>10.51134268169419</v>
      </c>
      <c r="K1758" s="36" t="s">
        <v>89</v>
      </c>
      <c r="L1758" s="16">
        <v>2815.5214399931197</v>
      </c>
      <c r="M1758" s="1" t="s">
        <v>89</v>
      </c>
      <c r="N1758" s="16">
        <v>10498.549871483996</v>
      </c>
      <c r="P1758" s="15">
        <v>6.8975000000000035</v>
      </c>
      <c r="T1758" s="15">
        <v>24.827500000000011</v>
      </c>
      <c r="W1758" s="12">
        <v>0.74855275000000021</v>
      </c>
      <c r="Y1758" s="12">
        <v>72.605779999999996</v>
      </c>
      <c r="AE1758" s="19">
        <v>1</v>
      </c>
    </row>
    <row r="1759" spans="1:31" x14ac:dyDescent="0.2">
      <c r="A1759" s="19">
        <v>1758</v>
      </c>
      <c r="B1759" s="1">
        <v>2024</v>
      </c>
      <c r="C1759" s="1" t="s">
        <v>31</v>
      </c>
      <c r="D1759" s="1" t="s">
        <v>861</v>
      </c>
      <c r="E1759" s="1" t="s">
        <v>1003</v>
      </c>
      <c r="F1759" s="1" t="s">
        <v>83</v>
      </c>
      <c r="G1759" s="1">
        <v>115</v>
      </c>
      <c r="H1759" t="s">
        <v>89</v>
      </c>
      <c r="I1759" s="12">
        <v>4.5037645052072248</v>
      </c>
      <c r="J1759" s="12">
        <v>9.4992640821944399</v>
      </c>
      <c r="K1759" s="36" t="s">
        <v>89</v>
      </c>
      <c r="L1759" s="16">
        <v>2967.8462734597279</v>
      </c>
      <c r="M1759" s="1" t="s">
        <v>89</v>
      </c>
      <c r="N1759" s="16">
        <v>9876.7726000958774</v>
      </c>
      <c r="P1759" s="15">
        <v>6.5774999999998984</v>
      </c>
      <c r="T1759" s="15">
        <v>22.51999999999979</v>
      </c>
      <c r="W1759" s="12">
        <v>0.7760119999999896</v>
      </c>
      <c r="Y1759" s="12">
        <v>75.024039999999061</v>
      </c>
      <c r="AE1759" s="19">
        <v>1</v>
      </c>
    </row>
    <row r="1760" spans="1:31" x14ac:dyDescent="0.2">
      <c r="A1760" s="19">
        <v>1759</v>
      </c>
      <c r="B1760" s="1">
        <v>2024</v>
      </c>
      <c r="C1760" s="1" t="s">
        <v>31</v>
      </c>
      <c r="D1760" s="1" t="s">
        <v>805</v>
      </c>
      <c r="E1760" s="1" t="s">
        <v>992</v>
      </c>
      <c r="F1760" s="1" t="s">
        <v>83</v>
      </c>
      <c r="G1760" s="1">
        <v>116</v>
      </c>
      <c r="H1760" t="s">
        <v>89</v>
      </c>
      <c r="I1760" s="12">
        <v>5.3887168682410644</v>
      </c>
      <c r="J1760" s="12">
        <v>15.396333909260195</v>
      </c>
      <c r="K1760" s="36" t="s">
        <v>89</v>
      </c>
      <c r="L1760" s="16">
        <v>2913.9268632810899</v>
      </c>
      <c r="M1760" s="1" t="s">
        <v>89</v>
      </c>
      <c r="N1760" s="16">
        <v>15736.323499290231</v>
      </c>
      <c r="P1760" s="15">
        <v>6.5350000000000046</v>
      </c>
      <c r="T1760" s="15">
        <v>22.125000000000011</v>
      </c>
      <c r="W1760" s="12">
        <v>0.78071250000000048</v>
      </c>
      <c r="Y1760" s="12">
        <v>75.438000000000017</v>
      </c>
      <c r="AE1760" s="19">
        <v>1</v>
      </c>
    </row>
    <row r="1761" spans="1:31" x14ac:dyDescent="0.2">
      <c r="A1761" s="19">
        <v>1760</v>
      </c>
      <c r="B1761" s="1">
        <v>2024</v>
      </c>
      <c r="C1761" s="1" t="s">
        <v>31</v>
      </c>
      <c r="D1761" s="1" t="s">
        <v>805</v>
      </c>
      <c r="E1761" s="1" t="s">
        <v>993</v>
      </c>
      <c r="F1761" s="1" t="s">
        <v>83</v>
      </c>
      <c r="G1761" s="1">
        <v>118</v>
      </c>
      <c r="H1761" t="s">
        <v>89</v>
      </c>
      <c r="I1761" s="12">
        <v>5.6092856673561986</v>
      </c>
      <c r="J1761" s="12">
        <v>16.02653047816057</v>
      </c>
      <c r="K1761" s="36" t="s">
        <v>89</v>
      </c>
      <c r="L1761" s="16">
        <v>3138.2917728208927</v>
      </c>
      <c r="M1761" s="1" t="s">
        <v>89</v>
      </c>
      <c r="N1761" s="16">
        <v>17681.896012837693</v>
      </c>
      <c r="P1761" s="15">
        <v>6.8175000000000052</v>
      </c>
      <c r="T1761" s="15">
        <v>17.652500000000007</v>
      </c>
      <c r="W1761" s="12">
        <v>0.83393525000000046</v>
      </c>
      <c r="Y1761" s="12">
        <v>80.125180000000015</v>
      </c>
      <c r="AE1761" s="19">
        <v>1</v>
      </c>
    </row>
    <row r="1762" spans="1:31" x14ac:dyDescent="0.2">
      <c r="A1762" s="19">
        <v>1761</v>
      </c>
      <c r="B1762" s="1">
        <v>2024</v>
      </c>
      <c r="C1762" s="1" t="s">
        <v>31</v>
      </c>
      <c r="D1762" s="1" t="s">
        <v>805</v>
      </c>
      <c r="E1762" s="1" t="s">
        <v>994</v>
      </c>
      <c r="F1762" s="1" t="s">
        <v>83</v>
      </c>
      <c r="G1762" s="1">
        <v>120</v>
      </c>
      <c r="H1762" t="s">
        <v>89</v>
      </c>
      <c r="I1762" s="12">
        <v>5.2023525834847222</v>
      </c>
      <c r="J1762" s="12">
        <v>14.863864524242068</v>
      </c>
      <c r="K1762" s="36" t="s">
        <v>89</v>
      </c>
      <c r="L1762" s="16">
        <v>2996.9429245308324</v>
      </c>
      <c r="M1762" s="1" t="s">
        <v>89</v>
      </c>
      <c r="N1762" s="16">
        <v>15810.943772405877</v>
      </c>
      <c r="P1762" s="15">
        <v>6.3225000000000042</v>
      </c>
      <c r="T1762" s="15">
        <v>21.255000000000006</v>
      </c>
      <c r="W1762" s="12">
        <v>0.79106550000000042</v>
      </c>
      <c r="Y1762" s="12">
        <v>76.349760000000018</v>
      </c>
      <c r="AE1762" s="19">
        <v>1</v>
      </c>
    </row>
    <row r="1763" spans="1:31" x14ac:dyDescent="0.2">
      <c r="A1763" s="19">
        <v>1762</v>
      </c>
      <c r="B1763" s="1">
        <v>2024</v>
      </c>
      <c r="C1763" s="1" t="s">
        <v>31</v>
      </c>
      <c r="D1763" s="1" t="s">
        <v>874</v>
      </c>
      <c r="E1763" s="1" t="s">
        <v>1004</v>
      </c>
      <c r="F1763" s="1" t="s">
        <v>83</v>
      </c>
      <c r="G1763" s="1">
        <v>113</v>
      </c>
      <c r="H1763" s="35" t="s">
        <v>89</v>
      </c>
      <c r="I1763" s="12">
        <v>5.7811446653567113</v>
      </c>
      <c r="J1763" s="12">
        <v>16.517556186733461</v>
      </c>
      <c r="K1763" s="36" t="s">
        <v>89</v>
      </c>
      <c r="L1763" s="16">
        <v>3162.8830123901289</v>
      </c>
      <c r="M1763" s="1" t="s">
        <v>89</v>
      </c>
      <c r="N1763" s="16">
        <v>18284.820164281475</v>
      </c>
      <c r="P1763" s="15">
        <v>6.9100000000000037</v>
      </c>
      <c r="T1763" s="15">
        <v>16.702500000000004</v>
      </c>
      <c r="W1763" s="12">
        <v>0.84524025000000036</v>
      </c>
      <c r="Y1763" s="12">
        <v>81.120779999999996</v>
      </c>
      <c r="AE1763" s="19">
        <v>1</v>
      </c>
    </row>
    <row r="1764" spans="1:31" x14ac:dyDescent="0.2">
      <c r="A1764" s="19">
        <v>1763</v>
      </c>
      <c r="B1764" s="1">
        <v>2024</v>
      </c>
      <c r="C1764" s="1" t="s">
        <v>31</v>
      </c>
      <c r="D1764" s="1" t="s">
        <v>874</v>
      </c>
      <c r="E1764" s="1" t="s">
        <v>1005</v>
      </c>
      <c r="F1764" s="1" t="s">
        <v>83</v>
      </c>
      <c r="G1764" s="1">
        <v>117</v>
      </c>
      <c r="H1764" s="35" t="s">
        <v>89</v>
      </c>
      <c r="I1764" s="12">
        <v>4.7436104794978018</v>
      </c>
      <c r="J1764" s="12">
        <v>13.553172798565154</v>
      </c>
      <c r="K1764" s="36" t="s">
        <v>89</v>
      </c>
      <c r="L1764" s="16">
        <v>3172.6211564822283</v>
      </c>
      <c r="M1764" s="1" t="s">
        <v>89</v>
      </c>
      <c r="N1764" s="16">
        <v>15036.87086087741</v>
      </c>
      <c r="P1764" s="15">
        <v>7.082500000000004</v>
      </c>
      <c r="T1764" s="15">
        <v>17.692500000000003</v>
      </c>
      <c r="W1764" s="12">
        <v>0.83345925000000032</v>
      </c>
      <c r="Y1764" s="12">
        <v>80.08326000000001</v>
      </c>
      <c r="AE1764" s="19">
        <v>1</v>
      </c>
    </row>
    <row r="1765" spans="1:31" x14ac:dyDescent="0.2">
      <c r="A1765" s="19">
        <v>1764</v>
      </c>
      <c r="B1765" s="1">
        <v>2024</v>
      </c>
      <c r="C1765" s="1" t="s">
        <v>31</v>
      </c>
      <c r="D1765" s="1" t="s">
        <v>874</v>
      </c>
      <c r="E1765" s="1" t="s">
        <v>599</v>
      </c>
      <c r="F1765" s="1" t="s">
        <v>83</v>
      </c>
      <c r="G1765" s="1">
        <v>119</v>
      </c>
      <c r="H1765" s="35" t="s">
        <v>89</v>
      </c>
      <c r="I1765" s="12">
        <v>5.6359039216244149</v>
      </c>
      <c r="J1765" s="12">
        <v>16.102582633212613</v>
      </c>
      <c r="K1765" s="36" t="s">
        <v>89</v>
      </c>
      <c r="L1765" s="16">
        <v>2906.0789497575793</v>
      </c>
      <c r="M1765" s="1" t="s">
        <v>89</v>
      </c>
      <c r="N1765" s="16">
        <v>16356.873660356783</v>
      </c>
      <c r="P1765" s="15">
        <v>6.8775000000000039</v>
      </c>
      <c r="T1765" s="15">
        <v>22.140000000000008</v>
      </c>
      <c r="W1765" s="12">
        <v>0.78053400000000017</v>
      </c>
      <c r="Y1765" s="12">
        <v>75.422280000000001</v>
      </c>
      <c r="AE1765" s="19">
        <v>1</v>
      </c>
    </row>
    <row r="1766" spans="1:31" x14ac:dyDescent="0.2">
      <c r="A1766" s="19">
        <v>1765</v>
      </c>
      <c r="B1766" s="1">
        <v>2024</v>
      </c>
      <c r="C1766" s="1" t="s">
        <v>31</v>
      </c>
      <c r="D1766" s="8" t="s">
        <v>1024</v>
      </c>
      <c r="E1766" s="1" t="s">
        <v>938</v>
      </c>
      <c r="F1766" s="1" t="s">
        <v>83</v>
      </c>
      <c r="G1766" s="1">
        <v>116</v>
      </c>
      <c r="H1766" s="35" t="s">
        <v>34</v>
      </c>
      <c r="I1766" s="12">
        <v>6.826805555555568</v>
      </c>
      <c r="J1766" s="12">
        <v>19.505158730158755</v>
      </c>
      <c r="K1766" s="36" t="s">
        <v>89</v>
      </c>
      <c r="L1766" s="16">
        <v>2912.5423315710736</v>
      </c>
      <c r="M1766" s="1" t="s">
        <v>89</v>
      </c>
      <c r="N1766" s="16">
        <v>19993.586803326965</v>
      </c>
      <c r="P1766" s="15">
        <v>7.4975000000000032</v>
      </c>
      <c r="T1766" s="15">
        <v>21.255000000000006</v>
      </c>
      <c r="W1766" s="12">
        <v>0.7910655000000002</v>
      </c>
      <c r="Y1766" s="12">
        <v>76.349760000000046</v>
      </c>
      <c r="AE1766" s="19">
        <v>1</v>
      </c>
    </row>
    <row r="1767" spans="1:31" x14ac:dyDescent="0.2">
      <c r="A1767" s="19">
        <v>1766</v>
      </c>
      <c r="B1767" s="1">
        <v>2024</v>
      </c>
      <c r="C1767" s="1" t="s">
        <v>31</v>
      </c>
      <c r="D1767" s="8" t="s">
        <v>1024</v>
      </c>
      <c r="E1767" s="1" t="s">
        <v>939</v>
      </c>
      <c r="F1767" s="1" t="s">
        <v>83</v>
      </c>
      <c r="G1767" s="1">
        <v>117</v>
      </c>
      <c r="H1767" s="35" t="s">
        <v>89</v>
      </c>
      <c r="I1767" s="12">
        <v>5.2425718405110411</v>
      </c>
      <c r="J1767" s="12">
        <v>14.978776687174399</v>
      </c>
      <c r="K1767" s="36" t="s">
        <v>89</v>
      </c>
      <c r="L1767" s="16">
        <v>3009.5776111224841</v>
      </c>
      <c r="M1767" s="1" t="s">
        <v>89</v>
      </c>
      <c r="N1767" s="16">
        <v>15756.796554689827</v>
      </c>
      <c r="P1767" s="15">
        <v>7.3450000000000042</v>
      </c>
      <c r="T1767" s="15">
        <v>20.240000000000009</v>
      </c>
      <c r="W1767" s="12">
        <v>0.8031440000000003</v>
      </c>
      <c r="Y1767" s="12">
        <v>77.413480000000007</v>
      </c>
      <c r="AE1767" s="19">
        <v>1</v>
      </c>
    </row>
    <row r="1768" spans="1:31" x14ac:dyDescent="0.2">
      <c r="A1768" s="19">
        <v>1767</v>
      </c>
      <c r="B1768" s="1">
        <v>2024</v>
      </c>
      <c r="C1768" s="1" t="s">
        <v>31</v>
      </c>
      <c r="D1768" s="8" t="s">
        <v>1024</v>
      </c>
      <c r="E1768" s="1" t="s">
        <v>941</v>
      </c>
      <c r="F1768" s="1" t="s">
        <v>83</v>
      </c>
      <c r="G1768" s="1">
        <v>118</v>
      </c>
      <c r="H1768" s="35" t="s">
        <v>89</v>
      </c>
      <c r="I1768" s="12">
        <v>6.01986111111112</v>
      </c>
      <c r="J1768" s="12">
        <v>17.199603174603194</v>
      </c>
      <c r="K1768" s="36" t="s">
        <v>89</v>
      </c>
      <c r="L1768" s="16">
        <v>2733.0933841108167</v>
      </c>
      <c r="M1768" s="1" t="s">
        <v>89</v>
      </c>
      <c r="N1768" s="16">
        <v>16519.22966713813</v>
      </c>
      <c r="P1768" s="15">
        <v>6.3300000000000027</v>
      </c>
      <c r="T1768" s="15">
        <v>26.595000000000013</v>
      </c>
      <c r="W1768" s="12">
        <v>0.72751950000000021</v>
      </c>
      <c r="Y1768" s="12">
        <v>70.753439999999998</v>
      </c>
      <c r="AE1768" s="19">
        <v>1</v>
      </c>
    </row>
    <row r="1769" spans="1:31" x14ac:dyDescent="0.2">
      <c r="A1769" s="19">
        <v>1768</v>
      </c>
      <c r="B1769" s="1">
        <v>2024</v>
      </c>
      <c r="C1769" s="1" t="s">
        <v>31</v>
      </c>
      <c r="D1769" s="8" t="s">
        <v>1024</v>
      </c>
      <c r="E1769" s="1" t="s">
        <v>1006</v>
      </c>
      <c r="F1769" s="1" t="s">
        <v>83</v>
      </c>
      <c r="G1769" s="1">
        <v>119</v>
      </c>
      <c r="H1769" s="35" t="s">
        <v>89</v>
      </c>
      <c r="I1769" s="12">
        <v>6.3112012878815706</v>
      </c>
      <c r="J1769" s="12">
        <v>18.032003679661621</v>
      </c>
      <c r="K1769" s="36" t="s">
        <v>89</v>
      </c>
      <c r="L1769" s="16">
        <v>3037.1400166856233</v>
      </c>
      <c r="M1769" s="1" t="s">
        <v>89</v>
      </c>
      <c r="N1769" s="16">
        <v>19159.139579630959</v>
      </c>
      <c r="P1769" s="15">
        <v>7.1550000000000038</v>
      </c>
      <c r="T1769" s="15">
        <v>20.757500000000007</v>
      </c>
      <c r="W1769" s="12">
        <v>0.79698575000000016</v>
      </c>
      <c r="Y1769" s="12">
        <v>76.871140000000011</v>
      </c>
      <c r="AE1769" s="19">
        <v>1</v>
      </c>
    </row>
    <row r="1770" spans="1:31" x14ac:dyDescent="0.2">
      <c r="A1770" s="19">
        <v>1769</v>
      </c>
      <c r="B1770" s="1">
        <v>2024</v>
      </c>
      <c r="C1770" s="1" t="s">
        <v>31</v>
      </c>
      <c r="D1770" s="1" t="s">
        <v>37</v>
      </c>
      <c r="E1770" s="1" t="s">
        <v>1007</v>
      </c>
      <c r="F1770" s="1" t="s">
        <v>83</v>
      </c>
      <c r="G1770" s="1">
        <v>117</v>
      </c>
      <c r="H1770" s="35" t="s">
        <v>34</v>
      </c>
      <c r="I1770" s="12">
        <v>6.6558844982450394</v>
      </c>
      <c r="J1770" s="12">
        <v>19.01681285212868</v>
      </c>
      <c r="K1770" s="36" t="s">
        <v>89</v>
      </c>
      <c r="L1770" s="16">
        <v>3041.1424625688851</v>
      </c>
      <c r="M1770" s="1" t="s">
        <v>34</v>
      </c>
      <c r="N1770" s="16">
        <v>20153.091630961197</v>
      </c>
      <c r="P1770" s="15">
        <v>7.7025000000000059</v>
      </c>
      <c r="T1770" s="15">
        <v>19.622500000000006</v>
      </c>
      <c r="W1770" s="12">
        <v>0.81049225000000036</v>
      </c>
      <c r="Y1770" s="12">
        <v>78.060620000000014</v>
      </c>
      <c r="AE1770" s="19">
        <v>1</v>
      </c>
    </row>
    <row r="1771" spans="1:31" x14ac:dyDescent="0.2">
      <c r="A1771" s="19">
        <v>1770</v>
      </c>
      <c r="B1771" s="1">
        <v>2024</v>
      </c>
      <c r="C1771" s="1" t="s">
        <v>31</v>
      </c>
      <c r="D1771" s="1" t="s">
        <v>37</v>
      </c>
      <c r="E1771" s="1" t="s">
        <v>892</v>
      </c>
      <c r="F1771" s="1" t="s">
        <v>83</v>
      </c>
      <c r="G1771" s="1">
        <v>120</v>
      </c>
      <c r="H1771" s="35" t="s">
        <v>34</v>
      </c>
      <c r="I1771" s="12">
        <v>7.3230139461235666</v>
      </c>
      <c r="J1771" s="12">
        <v>20.922896988924464</v>
      </c>
      <c r="K1771" s="36" t="s">
        <v>89</v>
      </c>
      <c r="L1771" s="16">
        <v>3062.0319263713195</v>
      </c>
      <c r="M1771" s="1" t="s">
        <v>34</v>
      </c>
      <c r="N1771" s="16">
        <v>22367.432331769178</v>
      </c>
      <c r="P1771" s="15">
        <v>7.292500000000004</v>
      </c>
      <c r="T1771" s="15">
        <v>20.64500000000001</v>
      </c>
      <c r="W1771" s="12">
        <v>0.79832450000000033</v>
      </c>
      <c r="Y1771" s="12">
        <v>76.989040000000003</v>
      </c>
      <c r="AE1771" s="19">
        <v>1</v>
      </c>
    </row>
    <row r="1772" spans="1:31" x14ac:dyDescent="0.2">
      <c r="A1772" s="19">
        <v>1771</v>
      </c>
      <c r="B1772" s="1">
        <v>2024</v>
      </c>
      <c r="C1772" s="1" t="s">
        <v>31</v>
      </c>
      <c r="D1772" s="1" t="s">
        <v>37</v>
      </c>
      <c r="E1772" s="1" t="s">
        <v>979</v>
      </c>
      <c r="F1772" s="1" t="s">
        <v>83</v>
      </c>
      <c r="G1772" s="1">
        <v>130</v>
      </c>
      <c r="H1772" s="35" t="s">
        <v>34</v>
      </c>
      <c r="I1772" s="12">
        <v>6.9761111111111189</v>
      </c>
      <c r="J1772" s="12">
        <v>19.931746031746066</v>
      </c>
      <c r="K1772" s="36" t="s">
        <v>89</v>
      </c>
      <c r="L1772" s="16">
        <v>2786.2953885042994</v>
      </c>
      <c r="M1772" s="1" t="s">
        <v>89</v>
      </c>
      <c r="N1772" s="16">
        <v>19462.621159313716</v>
      </c>
      <c r="P1772" s="15">
        <v>6.8300000000000045</v>
      </c>
      <c r="T1772" s="15">
        <v>25.910000000000018</v>
      </c>
      <c r="W1772" s="12">
        <v>0.73567100000000052</v>
      </c>
      <c r="Y1772" s="12">
        <v>71.471320000000034</v>
      </c>
      <c r="AE1772" s="19">
        <v>1</v>
      </c>
    </row>
    <row r="1773" spans="1:31" x14ac:dyDescent="0.2">
      <c r="A1773" s="19">
        <v>1772</v>
      </c>
      <c r="B1773" s="1">
        <v>2024</v>
      </c>
      <c r="C1773" s="1" t="s">
        <v>31</v>
      </c>
      <c r="D1773" s="19" t="s">
        <v>900</v>
      </c>
      <c r="E1773" s="1" t="s">
        <v>1008</v>
      </c>
      <c r="F1773" s="1" t="s">
        <v>83</v>
      </c>
      <c r="G1773" s="1">
        <v>116</v>
      </c>
      <c r="H1773" s="35" t="s">
        <v>89</v>
      </c>
      <c r="I1773" s="12">
        <v>5.0940714073563891</v>
      </c>
      <c r="J1773" s="12">
        <v>14.554489735303962</v>
      </c>
      <c r="K1773" s="36" t="s">
        <v>89</v>
      </c>
      <c r="L1773" s="16">
        <v>3106.300801043471</v>
      </c>
      <c r="M1773" s="1" t="s">
        <v>89</v>
      </c>
      <c r="N1773" s="16">
        <v>15791.900643270928</v>
      </c>
      <c r="P1773" s="15">
        <v>7.0125000000000037</v>
      </c>
      <c r="T1773" s="15">
        <v>19.427500000000006</v>
      </c>
      <c r="W1773" s="12">
        <v>0.81281275000000031</v>
      </c>
      <c r="Y1773" s="12">
        <v>78.264980000000008</v>
      </c>
      <c r="AE1773" s="19">
        <v>1</v>
      </c>
    </row>
    <row r="1774" spans="1:31" x14ac:dyDescent="0.2">
      <c r="A1774" s="19">
        <v>1773</v>
      </c>
      <c r="B1774" s="1">
        <v>2024</v>
      </c>
      <c r="C1774" s="1" t="s">
        <v>31</v>
      </c>
      <c r="D1774" s="19" t="s">
        <v>900</v>
      </c>
      <c r="E1774" s="1" t="s">
        <v>947</v>
      </c>
      <c r="F1774" s="1" t="s">
        <v>83</v>
      </c>
      <c r="G1774" s="1">
        <v>118</v>
      </c>
      <c r="H1774" s="35" t="s">
        <v>89</v>
      </c>
      <c r="I1774" s="12">
        <v>6.3363386866371636</v>
      </c>
      <c r="J1774" s="12">
        <v>18.103824818963343</v>
      </c>
      <c r="K1774" s="36" t="s">
        <v>89</v>
      </c>
      <c r="L1774" s="16">
        <v>2884.5121208755472</v>
      </c>
      <c r="M1774" s="1" t="s">
        <v>89</v>
      </c>
      <c r="N1774" s="16">
        <v>18251.066128899482</v>
      </c>
      <c r="P1774" s="15">
        <v>6.9200000000000026</v>
      </c>
      <c r="T1774" s="15">
        <v>22.595000000000006</v>
      </c>
      <c r="W1774" s="12">
        <v>0.77511950000000041</v>
      </c>
      <c r="Y1774" s="12">
        <v>74.945440000000019</v>
      </c>
      <c r="AE1774" s="19">
        <v>1</v>
      </c>
    </row>
    <row r="1775" spans="1:31" x14ac:dyDescent="0.2">
      <c r="A1775" s="19">
        <v>1774</v>
      </c>
      <c r="B1775" s="1">
        <v>2024</v>
      </c>
      <c r="C1775" s="1" t="s">
        <v>31</v>
      </c>
      <c r="D1775" s="1" t="s">
        <v>1012</v>
      </c>
      <c r="E1775" s="1" t="s">
        <v>1013</v>
      </c>
      <c r="F1775" s="1" t="s">
        <v>83</v>
      </c>
      <c r="G1775" s="1">
        <v>115</v>
      </c>
      <c r="H1775" s="35" t="s">
        <v>89</v>
      </c>
      <c r="I1775" s="12">
        <v>5.4228517468087505</v>
      </c>
      <c r="J1775" s="12">
        <v>15.493862133739292</v>
      </c>
      <c r="K1775" s="36" t="s">
        <v>89</v>
      </c>
      <c r="L1775" s="16">
        <v>3091.2972374475803</v>
      </c>
      <c r="M1775" s="1" t="s">
        <v>89</v>
      </c>
      <c r="N1775" s="16">
        <v>16723.471275006192</v>
      </c>
      <c r="P1775" s="15">
        <v>7.3025000000000047</v>
      </c>
      <c r="T1775" s="15">
        <v>18.925000000000011</v>
      </c>
      <c r="W1775" s="12">
        <v>0.81879250000000037</v>
      </c>
      <c r="Y1775" s="12">
        <v>78.791600000000017</v>
      </c>
      <c r="AE1775" s="19">
        <v>1</v>
      </c>
    </row>
    <row r="1776" spans="1:31" x14ac:dyDescent="0.2">
      <c r="A1776" s="19">
        <v>1775</v>
      </c>
      <c r="B1776" s="1">
        <v>2024</v>
      </c>
      <c r="C1776" s="1" t="s">
        <v>31</v>
      </c>
      <c r="D1776" s="1" t="s">
        <v>1012</v>
      </c>
      <c r="E1776" s="1" t="s">
        <v>1014</v>
      </c>
      <c r="F1776" s="1" t="s">
        <v>83</v>
      </c>
      <c r="G1776" s="1">
        <v>113</v>
      </c>
      <c r="H1776" s="35" t="s">
        <v>89</v>
      </c>
      <c r="I1776" s="12">
        <v>4.9109646335491357</v>
      </c>
      <c r="J1776" s="12">
        <v>14.031327524426109</v>
      </c>
      <c r="K1776" s="36" t="s">
        <v>89</v>
      </c>
      <c r="L1776" s="16">
        <v>2995.6203501164946</v>
      </c>
      <c r="M1776" s="1" t="s">
        <v>89</v>
      </c>
      <c r="N1776" s="16">
        <v>14746.223039363762</v>
      </c>
      <c r="P1776" s="15">
        <v>6.8400000000000043</v>
      </c>
      <c r="T1776" s="15">
        <v>21.562500000000011</v>
      </c>
      <c r="W1776" s="12">
        <v>0.78740625000000031</v>
      </c>
      <c r="Y1776" s="12">
        <v>76.027500000000003</v>
      </c>
      <c r="AE1776" s="19">
        <v>1</v>
      </c>
    </row>
    <row r="1777" spans="1:31" x14ac:dyDescent="0.2">
      <c r="A1777" s="19">
        <v>1776</v>
      </c>
      <c r="B1777" s="1">
        <v>2024</v>
      </c>
      <c r="C1777" s="1" t="s">
        <v>31</v>
      </c>
      <c r="D1777" s="1" t="s">
        <v>1012</v>
      </c>
      <c r="E1777" s="1" t="s">
        <v>1040</v>
      </c>
      <c r="F1777" s="1" t="s">
        <v>83</v>
      </c>
      <c r="G1777" s="1">
        <v>115</v>
      </c>
      <c r="H1777" s="35" t="s">
        <v>89</v>
      </c>
      <c r="I1777" s="12">
        <v>5.3978112465100425</v>
      </c>
      <c r="J1777" s="12">
        <v>15.422317847171559</v>
      </c>
      <c r="K1777" s="36" t="s">
        <v>89</v>
      </c>
      <c r="L1777" s="16">
        <v>3007.185167557916</v>
      </c>
      <c r="M1777" s="1" t="s">
        <v>89</v>
      </c>
      <c r="N1777" s="16">
        <v>16237.73832554504</v>
      </c>
      <c r="P1777" s="15">
        <v>7.1300000000000043</v>
      </c>
      <c r="T1777" s="15">
        <v>21.720000000000013</v>
      </c>
      <c r="W1777" s="12">
        <v>0.78553200000000045</v>
      </c>
      <c r="Y1777" s="12">
        <v>75.862440000000007</v>
      </c>
      <c r="AE1777" s="19">
        <v>1</v>
      </c>
    </row>
    <row r="1778" spans="1:31" x14ac:dyDescent="0.2">
      <c r="A1778" s="19">
        <v>1777</v>
      </c>
      <c r="B1778" s="1">
        <v>2024</v>
      </c>
      <c r="C1778" s="1" t="s">
        <v>31</v>
      </c>
      <c r="D1778" s="1" t="s">
        <v>1012</v>
      </c>
      <c r="E1778" s="1" t="s">
        <v>1041</v>
      </c>
      <c r="F1778" s="1" t="s">
        <v>83</v>
      </c>
      <c r="H1778" s="35" t="s">
        <v>89</v>
      </c>
      <c r="I1778" s="12">
        <v>4.0335690487124598</v>
      </c>
      <c r="J1778" s="12">
        <v>11.524482996321316</v>
      </c>
      <c r="K1778" s="36" t="s">
        <v>89</v>
      </c>
      <c r="L1778" s="16">
        <v>2776.6576497008209</v>
      </c>
      <c r="M1778" s="1" t="s">
        <v>89</v>
      </c>
      <c r="N1778" s="16">
        <v>11157.940221757226</v>
      </c>
      <c r="P1778" s="15">
        <v>6.7475000000000032</v>
      </c>
      <c r="T1778" s="15">
        <v>25.442500000000013</v>
      </c>
      <c r="W1778" s="12">
        <v>0.74123425000000021</v>
      </c>
      <c r="Y1778" s="12">
        <v>71.961259999999996</v>
      </c>
      <c r="AE1778" s="19">
        <v>1</v>
      </c>
    </row>
    <row r="1779" spans="1:31" x14ac:dyDescent="0.2">
      <c r="A1779" s="19">
        <v>1778</v>
      </c>
      <c r="B1779" s="1">
        <v>2024</v>
      </c>
      <c r="C1779" s="1" t="s">
        <v>31</v>
      </c>
      <c r="D1779" s="1" t="s">
        <v>1012</v>
      </c>
      <c r="E1779" s="1" t="s">
        <v>1015</v>
      </c>
      <c r="F1779" s="1" t="s">
        <v>83</v>
      </c>
      <c r="G1779" s="1">
        <v>119</v>
      </c>
      <c r="H1779" s="35" t="s">
        <v>34</v>
      </c>
      <c r="I1779" s="12">
        <v>7.7811330042170868</v>
      </c>
      <c r="J1779" s="12">
        <v>22.231808583477381</v>
      </c>
      <c r="K1779" s="37" t="s">
        <v>34</v>
      </c>
      <c r="L1779" s="16">
        <v>3223.1582246773969</v>
      </c>
      <c r="M1779" s="1" t="s">
        <v>34</v>
      </c>
      <c r="N1779" s="16">
        <v>25030.020604996884</v>
      </c>
      <c r="P1779" s="15">
        <v>7.2675000000000036</v>
      </c>
      <c r="T1779" s="15">
        <v>16.435000000000009</v>
      </c>
      <c r="W1779" s="12">
        <v>0.84842350000000055</v>
      </c>
      <c r="Y1779" s="12">
        <v>81.401120000000034</v>
      </c>
      <c r="AE1779" s="19">
        <v>1</v>
      </c>
    </row>
    <row r="1780" spans="1:31" x14ac:dyDescent="0.2">
      <c r="A1780" s="19">
        <v>1779</v>
      </c>
      <c r="B1780" s="1">
        <v>2024</v>
      </c>
      <c r="C1780" s="1" t="s">
        <v>31</v>
      </c>
      <c r="D1780" s="1" t="s">
        <v>108</v>
      </c>
      <c r="E1780" s="1" t="s">
        <v>1017</v>
      </c>
      <c r="F1780" s="1" t="s">
        <v>83</v>
      </c>
      <c r="G1780" s="1">
        <v>114</v>
      </c>
      <c r="H1780" s="35" t="s">
        <v>89</v>
      </c>
      <c r="I1780" s="12">
        <v>5.1491467505273079</v>
      </c>
      <c r="J1780" s="12">
        <v>14.71184785864946</v>
      </c>
      <c r="K1780" s="36" t="s">
        <v>89</v>
      </c>
      <c r="L1780" s="16">
        <v>2712.4113307591474</v>
      </c>
      <c r="M1780" s="1" t="s">
        <v>89</v>
      </c>
      <c r="N1780" s="16">
        <v>13946.388092876263</v>
      </c>
      <c r="P1780" s="15">
        <v>6.6700000000000044</v>
      </c>
      <c r="T1780" s="15">
        <v>26.440000000000012</v>
      </c>
      <c r="W1780" s="12">
        <v>0.72936400000000046</v>
      </c>
      <c r="Y1780" s="12">
        <v>70.915880000000001</v>
      </c>
      <c r="AE1780" s="19">
        <v>1</v>
      </c>
    </row>
    <row r="1781" spans="1:31" x14ac:dyDescent="0.2">
      <c r="A1781" s="19">
        <v>1780</v>
      </c>
      <c r="B1781" s="1">
        <v>2024</v>
      </c>
      <c r="C1781" s="1" t="s">
        <v>31</v>
      </c>
      <c r="D1781" s="1" t="s">
        <v>108</v>
      </c>
      <c r="E1781" s="1" t="s">
        <v>1018</v>
      </c>
      <c r="F1781" s="1" t="s">
        <v>83</v>
      </c>
      <c r="G1781" s="1">
        <v>117</v>
      </c>
      <c r="H1781" s="35" t="s">
        <v>89</v>
      </c>
      <c r="I1781" s="12">
        <v>4.7209456267297467</v>
      </c>
      <c r="J1781" s="12">
        <v>13.488416076370704</v>
      </c>
      <c r="K1781" s="36" t="s">
        <v>89</v>
      </c>
      <c r="L1781" s="16">
        <v>2924.376658745507</v>
      </c>
      <c r="M1781" s="1" t="s">
        <v>89</v>
      </c>
      <c r="N1781" s="16">
        <v>13993.696358115632</v>
      </c>
      <c r="P1781" s="15">
        <v>6.587500000000003</v>
      </c>
      <c r="T1781" s="15">
        <v>22.080000000000009</v>
      </c>
      <c r="W1781" s="12">
        <v>0.78124800000000028</v>
      </c>
      <c r="Y1781" s="12">
        <v>75.485160000000008</v>
      </c>
      <c r="AE1781" s="19">
        <v>1</v>
      </c>
    </row>
    <row r="1782" spans="1:31" x14ac:dyDescent="0.2">
      <c r="A1782" s="19">
        <v>1781</v>
      </c>
      <c r="B1782" s="1">
        <v>2024</v>
      </c>
      <c r="C1782" s="1" t="s">
        <v>31</v>
      </c>
      <c r="D1782" s="1" t="s">
        <v>108</v>
      </c>
      <c r="E1782" s="1" t="s">
        <v>1020</v>
      </c>
      <c r="F1782" s="1" t="s">
        <v>83</v>
      </c>
      <c r="G1782" s="1">
        <v>117</v>
      </c>
      <c r="H1782" s="35" t="s">
        <v>89</v>
      </c>
      <c r="I1782" s="12">
        <v>5.3590329483709507</v>
      </c>
      <c r="J1782" s="12">
        <v>15.311522709631291</v>
      </c>
      <c r="K1782" s="36" t="s">
        <v>89</v>
      </c>
      <c r="L1782" s="16">
        <v>2925.1929073900624</v>
      </c>
      <c r="M1782" s="1" t="s">
        <v>89</v>
      </c>
      <c r="N1782" s="16">
        <v>15754.381840450878</v>
      </c>
      <c r="P1782" s="15">
        <v>7.2600000000000033</v>
      </c>
      <c r="T1782" s="15">
        <v>22.350000000000005</v>
      </c>
      <c r="W1782" s="12">
        <v>0.77803500000000025</v>
      </c>
      <c r="Y1782" s="12">
        <v>75.202199999999991</v>
      </c>
      <c r="AE1782" s="19">
        <v>1</v>
      </c>
    </row>
    <row r="1783" spans="1:31" x14ac:dyDescent="0.2">
      <c r="A1783" s="19">
        <v>1782</v>
      </c>
      <c r="B1783" s="1">
        <v>2024</v>
      </c>
      <c r="C1783" s="1" t="s">
        <v>31</v>
      </c>
      <c r="D1783" s="1" t="s">
        <v>108</v>
      </c>
      <c r="E1783" s="1" t="s">
        <v>911</v>
      </c>
      <c r="F1783" s="1" t="s">
        <v>83</v>
      </c>
      <c r="G1783" s="1">
        <v>118</v>
      </c>
      <c r="H1783" s="35" t="s">
        <v>89</v>
      </c>
      <c r="I1783" s="12">
        <v>6.0016386149075736</v>
      </c>
      <c r="J1783" s="12">
        <v>17.147538899735917</v>
      </c>
      <c r="K1783" s="37" t="s">
        <v>89</v>
      </c>
      <c r="L1783" s="16">
        <v>3106.7616786048025</v>
      </c>
      <c r="M1783" s="1" t="s">
        <v>89</v>
      </c>
      <c r="N1783" s="16">
        <v>18595.609238067809</v>
      </c>
      <c r="P1783" s="15">
        <v>7.0175000000000045</v>
      </c>
      <c r="T1783" s="15">
        <v>19.067500000000003</v>
      </c>
      <c r="W1783" s="12">
        <v>0.81709675000000037</v>
      </c>
      <c r="Y1783" s="12">
        <v>78.642260000000007</v>
      </c>
      <c r="AE1783" s="19">
        <v>1</v>
      </c>
    </row>
    <row r="1784" spans="1:31" x14ac:dyDescent="0.2">
      <c r="A1784" s="19">
        <v>1783</v>
      </c>
      <c r="B1784" s="1">
        <v>2024</v>
      </c>
      <c r="C1784" s="1" t="s">
        <v>88</v>
      </c>
      <c r="D1784" s="1" t="s">
        <v>1023</v>
      </c>
      <c r="E1784" s="1" t="s">
        <v>1028</v>
      </c>
      <c r="F1784" s="1" t="s">
        <v>83</v>
      </c>
      <c r="H1784" s="35" t="s">
        <v>89</v>
      </c>
      <c r="I1784" s="12">
        <v>3.8758726319279075</v>
      </c>
      <c r="J1784" s="12">
        <v>11.073921805508308</v>
      </c>
      <c r="K1784" s="37" t="s">
        <v>89</v>
      </c>
      <c r="L1784" s="16">
        <v>2136.2073868934094</v>
      </c>
      <c r="M1784" s="1" t="s">
        <v>89</v>
      </c>
      <c r="N1784" s="16">
        <v>8294.652814710591</v>
      </c>
      <c r="O1784" s="12">
        <v>27.311795521936482</v>
      </c>
      <c r="P1784" s="15">
        <v>10.04750000000001</v>
      </c>
      <c r="T1784" s="15">
        <v>31.614999999999988</v>
      </c>
      <c r="W1784" s="12">
        <v>0.66778149999999981</v>
      </c>
      <c r="Y1784" s="12">
        <v>65.49248</v>
      </c>
      <c r="AE1784" s="19">
        <v>1</v>
      </c>
    </row>
    <row r="1785" spans="1:31" x14ac:dyDescent="0.2">
      <c r="A1785" s="19">
        <v>1784</v>
      </c>
      <c r="B1785" s="1">
        <v>2024</v>
      </c>
      <c r="C1785" s="1" t="s">
        <v>88</v>
      </c>
      <c r="D1785" s="1" t="s">
        <v>1023</v>
      </c>
      <c r="E1785" s="1" t="s">
        <v>1025</v>
      </c>
      <c r="F1785" s="1" t="s">
        <v>83</v>
      </c>
      <c r="H1785" s="35" t="s">
        <v>34</v>
      </c>
      <c r="I1785" s="12">
        <v>4.4820968932040977</v>
      </c>
      <c r="J1785" s="12">
        <v>12.805991123440279</v>
      </c>
      <c r="K1785" s="37" t="s">
        <v>89</v>
      </c>
      <c r="L1785" s="16">
        <v>2202.8192965409849</v>
      </c>
      <c r="M1785" s="1" t="s">
        <v>34</v>
      </c>
      <c r="N1785" s="16">
        <v>9871.2822093001487</v>
      </c>
      <c r="O1785" s="12">
        <v>32.577101471943827</v>
      </c>
      <c r="P1785" s="15">
        <v>8.6125000000000096</v>
      </c>
      <c r="T1785" s="15">
        <v>29.897499999999987</v>
      </c>
      <c r="W1785" s="12">
        <v>0.68821974999999991</v>
      </c>
      <c r="Y1785" s="12">
        <v>67.292420000000007</v>
      </c>
      <c r="AE1785" s="19">
        <v>1</v>
      </c>
    </row>
    <row r="1786" spans="1:31" x14ac:dyDescent="0.2">
      <c r="A1786" s="19">
        <v>1785</v>
      </c>
      <c r="B1786" s="1">
        <v>2024</v>
      </c>
      <c r="C1786" s="1" t="s">
        <v>88</v>
      </c>
      <c r="D1786" s="1" t="s">
        <v>1023</v>
      </c>
      <c r="E1786" s="1" t="s">
        <v>1026</v>
      </c>
      <c r="F1786" s="1" t="s">
        <v>83</v>
      </c>
      <c r="H1786" s="35" t="s">
        <v>89</v>
      </c>
      <c r="I1786" s="12">
        <v>4.0982817824078444</v>
      </c>
      <c r="J1786" s="12">
        <v>11.709376521165273</v>
      </c>
      <c r="K1786" s="37" t="s">
        <v>89</v>
      </c>
      <c r="L1786" s="16">
        <v>2093.5673247555201</v>
      </c>
      <c r="M1786" s="1" t="s">
        <v>89</v>
      </c>
      <c r="N1786" s="16">
        <v>8493.8560532429146</v>
      </c>
      <c r="O1786" s="12">
        <v>30.326052982772488</v>
      </c>
      <c r="P1786" s="15">
        <v>8.477500000000008</v>
      </c>
      <c r="T1786" s="15">
        <v>32.78749999999998</v>
      </c>
      <c r="W1786" s="12">
        <v>0.65382874999999985</v>
      </c>
      <c r="Y1786" s="12">
        <v>64.2637</v>
      </c>
      <c r="AE1786" s="19">
        <v>1</v>
      </c>
    </row>
    <row r="1787" spans="1:31" x14ac:dyDescent="0.2">
      <c r="A1787" s="19">
        <v>1786</v>
      </c>
      <c r="B1787" s="1">
        <v>2024</v>
      </c>
      <c r="C1787" s="1" t="s">
        <v>88</v>
      </c>
      <c r="D1787" s="1" t="s">
        <v>931</v>
      </c>
      <c r="E1787" s="1" t="s">
        <v>1029</v>
      </c>
      <c r="F1787" s="1" t="s">
        <v>83</v>
      </c>
      <c r="H1787" s="35" t="s">
        <v>89</v>
      </c>
      <c r="I1787" s="12">
        <v>2.7769241034246801</v>
      </c>
      <c r="J1787" s="12">
        <v>7.9340688669276567</v>
      </c>
      <c r="K1787" s="37" t="s">
        <v>34</v>
      </c>
      <c r="L1787" s="16">
        <v>2481.6727188145537</v>
      </c>
      <c r="M1787" s="1" t="s">
        <v>89</v>
      </c>
      <c r="N1787" s="16">
        <v>6890.4460267274299</v>
      </c>
      <c r="O1787" s="12">
        <v>30.404232733837794</v>
      </c>
      <c r="P1787" s="15">
        <v>8.5000000000000071</v>
      </c>
      <c r="T1787" s="15">
        <v>28.429999999999978</v>
      </c>
      <c r="W1787" s="12">
        <v>0.70568299999999984</v>
      </c>
      <c r="Y1787" s="12">
        <v>68.830359999999999</v>
      </c>
      <c r="AE1787" s="19">
        <v>1</v>
      </c>
    </row>
    <row r="1788" spans="1:31" x14ac:dyDescent="0.2">
      <c r="A1788" s="19">
        <v>1787</v>
      </c>
      <c r="B1788" s="1">
        <v>2024</v>
      </c>
      <c r="C1788" s="1" t="s">
        <v>88</v>
      </c>
      <c r="D1788" s="1" t="s">
        <v>931</v>
      </c>
      <c r="E1788" s="1" t="s">
        <v>960</v>
      </c>
      <c r="F1788" s="1" t="s">
        <v>83</v>
      </c>
      <c r="H1788" s="35" t="s">
        <v>89</v>
      </c>
      <c r="I1788" s="12">
        <v>2.9757544499446866</v>
      </c>
      <c r="J1788" s="12">
        <v>8.5021555712705315</v>
      </c>
      <c r="K1788" s="37" t="s">
        <v>89</v>
      </c>
      <c r="L1788" s="16">
        <v>2244.0385530886688</v>
      </c>
      <c r="M1788" s="1" t="s">
        <v>89</v>
      </c>
      <c r="N1788" s="16">
        <v>6678.6203362882416</v>
      </c>
      <c r="O1788" s="12">
        <v>26.559127750393483</v>
      </c>
      <c r="P1788" s="15">
        <v>9.4125000000000085</v>
      </c>
      <c r="T1788" s="15">
        <v>31.677499999999984</v>
      </c>
      <c r="W1788" s="12">
        <v>0.66703774999999976</v>
      </c>
      <c r="Y1788" s="12">
        <v>65.42698</v>
      </c>
      <c r="AE1788" s="19">
        <v>1</v>
      </c>
    </row>
    <row r="1789" spans="1:31" x14ac:dyDescent="0.2">
      <c r="A1789" s="19">
        <v>1788</v>
      </c>
      <c r="B1789" s="1">
        <v>2024</v>
      </c>
      <c r="C1789" s="1" t="s">
        <v>88</v>
      </c>
      <c r="D1789" s="1" t="s">
        <v>914</v>
      </c>
      <c r="E1789" s="1" t="s">
        <v>961</v>
      </c>
      <c r="F1789" s="1" t="s">
        <v>83</v>
      </c>
      <c r="H1789" s="35" t="s">
        <v>89</v>
      </c>
      <c r="I1789" s="12">
        <v>2.1025249708824942</v>
      </c>
      <c r="J1789" s="12">
        <v>6.0072142025214115</v>
      </c>
      <c r="K1789" s="37" t="s">
        <v>89</v>
      </c>
      <c r="L1789" s="16">
        <v>1990.4835840195296</v>
      </c>
      <c r="M1789" s="1" t="s">
        <v>89</v>
      </c>
      <c r="N1789" s="16">
        <v>4176.1624083040833</v>
      </c>
      <c r="O1789" s="12">
        <v>35.75389462921752</v>
      </c>
      <c r="P1789" s="15">
        <v>8.6200000000000099</v>
      </c>
      <c r="T1789" s="15">
        <v>33.319999999999986</v>
      </c>
      <c r="W1789" s="12">
        <v>0.64749199999999985</v>
      </c>
      <c r="Y1789" s="12">
        <v>63.705640000000002</v>
      </c>
      <c r="AE1789" s="19">
        <v>1</v>
      </c>
    </row>
    <row r="1790" spans="1:31" x14ac:dyDescent="0.2">
      <c r="A1790" s="19">
        <v>1789</v>
      </c>
      <c r="B1790" s="1">
        <v>2024</v>
      </c>
      <c r="C1790" s="1" t="s">
        <v>88</v>
      </c>
      <c r="D1790" s="1" t="s">
        <v>914</v>
      </c>
      <c r="E1790" s="1" t="s">
        <v>791</v>
      </c>
      <c r="F1790" s="1" t="s">
        <v>83</v>
      </c>
      <c r="H1790" s="35" t="s">
        <v>34</v>
      </c>
      <c r="I1790" s="12">
        <v>5.2180739416372726</v>
      </c>
      <c r="J1790" s="12">
        <v>14.908782690392208</v>
      </c>
      <c r="K1790" s="37" t="s">
        <v>89</v>
      </c>
      <c r="L1790" s="16">
        <v>2108.9715481999601</v>
      </c>
      <c r="M1790" s="1" t="s">
        <v>34</v>
      </c>
      <c r="N1790" s="16">
        <v>11000.845452286871</v>
      </c>
      <c r="O1790" s="12">
        <v>31.817602013918993</v>
      </c>
      <c r="P1790" s="15">
        <v>8.6800000000000104</v>
      </c>
      <c r="T1790" s="15">
        <v>30.989999999999988</v>
      </c>
      <c r="W1790" s="12">
        <v>0.67521900000000001</v>
      </c>
      <c r="Y1790" s="12">
        <v>66.147480000000016</v>
      </c>
      <c r="AE1790" s="19">
        <v>1</v>
      </c>
    </row>
    <row r="1791" spans="1:31" x14ac:dyDescent="0.2">
      <c r="A1791" s="19">
        <v>1790</v>
      </c>
      <c r="B1791" s="1">
        <v>2024</v>
      </c>
      <c r="C1791" s="1" t="s">
        <v>88</v>
      </c>
      <c r="D1791" s="1" t="s">
        <v>914</v>
      </c>
      <c r="E1791" s="1" t="s">
        <v>962</v>
      </c>
      <c r="F1791" s="1" t="s">
        <v>83</v>
      </c>
      <c r="H1791" s="35" t="s">
        <v>89</v>
      </c>
      <c r="I1791" s="12">
        <v>3.0173594603681351</v>
      </c>
      <c r="J1791" s="12">
        <v>8.6210270296232423</v>
      </c>
      <c r="K1791" s="37" t="s">
        <v>89</v>
      </c>
      <c r="L1791" s="16">
        <v>2269.2315466046052</v>
      </c>
      <c r="M1791" s="1" t="s">
        <v>89</v>
      </c>
      <c r="N1791" s="16">
        <v>6884.5664883529216</v>
      </c>
      <c r="O1791" s="12">
        <v>26.975974642172076</v>
      </c>
      <c r="P1791" s="15">
        <v>9.2600000000000087</v>
      </c>
      <c r="T1791" s="15">
        <v>30.614999999999988</v>
      </c>
      <c r="W1791" s="12">
        <v>0.67968149999999983</v>
      </c>
      <c r="Y1791" s="12">
        <v>66.540480000000002</v>
      </c>
      <c r="AE1791" s="19">
        <v>1</v>
      </c>
    </row>
    <row r="1792" spans="1:31" x14ac:dyDescent="0.2">
      <c r="A1792" s="19">
        <v>1791</v>
      </c>
      <c r="B1792" s="1">
        <v>2024</v>
      </c>
      <c r="C1792" s="1" t="s">
        <v>88</v>
      </c>
      <c r="D1792" s="1" t="s">
        <v>914</v>
      </c>
      <c r="E1792" s="1" t="s">
        <v>639</v>
      </c>
      <c r="F1792" s="1" t="s">
        <v>83</v>
      </c>
      <c r="H1792" s="35" t="s">
        <v>89</v>
      </c>
      <c r="I1792" s="12">
        <v>3.5663047986233427</v>
      </c>
      <c r="J1792" s="12">
        <v>10.189442281780977</v>
      </c>
      <c r="K1792" s="37" t="s">
        <v>34</v>
      </c>
      <c r="L1792" s="16">
        <v>2333.6076590923085</v>
      </c>
      <c r="M1792" s="1" t="s">
        <v>89</v>
      </c>
      <c r="N1792" s="16">
        <v>8302.7253578537984</v>
      </c>
      <c r="O1792" s="12">
        <v>25.291498917565573</v>
      </c>
      <c r="P1792" s="15">
        <v>8.8050000000000086</v>
      </c>
      <c r="T1792" s="15">
        <v>30.179999999999986</v>
      </c>
      <c r="W1792" s="12">
        <v>0.68485799999999986</v>
      </c>
      <c r="Y1792" s="12">
        <v>66.996359999999996</v>
      </c>
      <c r="AE1792" s="19">
        <v>1</v>
      </c>
    </row>
    <row r="1793" spans="1:31" x14ac:dyDescent="0.2">
      <c r="A1793" s="19">
        <v>1792</v>
      </c>
      <c r="B1793" s="1">
        <v>2024</v>
      </c>
      <c r="C1793" s="1" t="s">
        <v>88</v>
      </c>
      <c r="D1793" s="1" t="s">
        <v>914</v>
      </c>
      <c r="E1793" s="1" t="s">
        <v>792</v>
      </c>
      <c r="F1793" s="1" t="s">
        <v>83</v>
      </c>
      <c r="H1793" s="35" t="s">
        <v>89</v>
      </c>
      <c r="I1793" s="12">
        <v>3.3817358521096228</v>
      </c>
      <c r="J1793" s="12">
        <v>9.6621024345989213</v>
      </c>
      <c r="K1793" s="37" t="s">
        <v>89</v>
      </c>
      <c r="L1793" s="16">
        <v>2263.7878779203215</v>
      </c>
      <c r="M1793" s="1" t="s">
        <v>89</v>
      </c>
      <c r="N1793" s="16">
        <v>7656.734227709796</v>
      </c>
      <c r="O1793" s="12">
        <v>27.924455155231531</v>
      </c>
      <c r="P1793" s="15">
        <v>10.137500000000008</v>
      </c>
      <c r="T1793" s="15">
        <v>30.14749999999998</v>
      </c>
      <c r="W1793" s="12">
        <v>0.68524474999999962</v>
      </c>
      <c r="Y1793" s="12">
        <v>67.030419999999978</v>
      </c>
      <c r="AE1793" s="19">
        <v>1</v>
      </c>
    </row>
    <row r="1794" spans="1:31" x14ac:dyDescent="0.2">
      <c r="A1794" s="19">
        <v>1793</v>
      </c>
      <c r="B1794" s="1">
        <v>2024</v>
      </c>
      <c r="C1794" s="1" t="s">
        <v>88</v>
      </c>
      <c r="D1794" s="1" t="s">
        <v>914</v>
      </c>
      <c r="E1794" s="1" t="s">
        <v>793</v>
      </c>
      <c r="F1794" s="1" t="s">
        <v>83</v>
      </c>
      <c r="H1794" s="35" t="s">
        <v>89</v>
      </c>
      <c r="I1794" s="12">
        <v>2.7129696104422529</v>
      </c>
      <c r="J1794" s="12">
        <v>7.7513417441207197</v>
      </c>
      <c r="K1794" s="37" t="s">
        <v>89</v>
      </c>
      <c r="L1794" s="16">
        <v>2167.1629985632508</v>
      </c>
      <c r="M1794" s="1" t="s">
        <v>89</v>
      </c>
      <c r="N1794" s="16">
        <v>5882.3052724278295</v>
      </c>
      <c r="O1794" s="12">
        <v>33.181632215090936</v>
      </c>
      <c r="P1794" s="15">
        <v>8.2875000000000085</v>
      </c>
      <c r="T1794" s="15">
        <v>30.442499999999981</v>
      </c>
      <c r="W1794" s="12">
        <v>0.68173424999999988</v>
      </c>
      <c r="Y1794" s="12">
        <v>66.721260000000001</v>
      </c>
      <c r="AE1794" s="19">
        <v>1</v>
      </c>
    </row>
    <row r="1795" spans="1:31" x14ac:dyDescent="0.2">
      <c r="A1795" s="19">
        <v>1794</v>
      </c>
      <c r="B1795" s="1">
        <v>2024</v>
      </c>
      <c r="C1795" s="1" t="s">
        <v>88</v>
      </c>
      <c r="D1795" s="1" t="s">
        <v>914</v>
      </c>
      <c r="E1795" s="1" t="s">
        <v>920</v>
      </c>
      <c r="F1795" s="1" t="s">
        <v>83</v>
      </c>
      <c r="H1795" s="35" t="s">
        <v>34</v>
      </c>
      <c r="I1795" s="12">
        <v>4.5369603408361447</v>
      </c>
      <c r="J1795" s="12">
        <v>12.962743830960415</v>
      </c>
      <c r="K1795" s="37" t="s">
        <v>89</v>
      </c>
      <c r="L1795" s="16">
        <v>2224.1972269604225</v>
      </c>
      <c r="M1795" s="1" t="s">
        <v>34</v>
      </c>
      <c r="N1795" s="16">
        <v>10078.337381403133</v>
      </c>
      <c r="O1795" s="12">
        <v>28.402951671470877</v>
      </c>
      <c r="P1795" s="15">
        <v>7.8550000000000084</v>
      </c>
      <c r="T1795" s="15">
        <v>31.074999999999982</v>
      </c>
      <c r="W1795" s="12">
        <v>0.67420749999999985</v>
      </c>
      <c r="Y1795" s="12">
        <v>66.058399999999992</v>
      </c>
      <c r="AE1795" s="19">
        <v>1</v>
      </c>
    </row>
    <row r="1796" spans="1:31" x14ac:dyDescent="0.2">
      <c r="A1796" s="19">
        <v>1795</v>
      </c>
      <c r="B1796" s="1">
        <v>2024</v>
      </c>
      <c r="C1796" s="1" t="s">
        <v>88</v>
      </c>
      <c r="D1796" s="1" t="s">
        <v>914</v>
      </c>
      <c r="E1796" s="1" t="s">
        <v>915</v>
      </c>
      <c r="F1796" s="1" t="s">
        <v>83</v>
      </c>
      <c r="H1796" s="35" t="s">
        <v>89</v>
      </c>
      <c r="I1796" s="12">
        <v>4.0800586691131446</v>
      </c>
      <c r="J1796" s="12">
        <v>11.657310483180419</v>
      </c>
      <c r="K1796" s="37" t="s">
        <v>89</v>
      </c>
      <c r="L1796" s="16">
        <v>2256.7662309836182</v>
      </c>
      <c r="M1796" s="1" t="s">
        <v>89</v>
      </c>
      <c r="N1796" s="16">
        <v>9207.2733677660945</v>
      </c>
      <c r="O1796" s="12">
        <v>28.44722189268607</v>
      </c>
      <c r="P1796" s="15">
        <v>7.7300000000000235</v>
      </c>
      <c r="T1796" s="15">
        <v>30.347500000000046</v>
      </c>
      <c r="W1796" s="12">
        <v>0.68286475000000124</v>
      </c>
      <c r="Y1796" s="12">
        <v>66.820820000000097</v>
      </c>
      <c r="AE1796" s="19">
        <v>1</v>
      </c>
    </row>
    <row r="1797" spans="1:31" x14ac:dyDescent="0.2">
      <c r="A1797" s="19">
        <v>1796</v>
      </c>
      <c r="B1797" s="1">
        <v>2024</v>
      </c>
      <c r="C1797" s="1" t="s">
        <v>88</v>
      </c>
      <c r="D1797" s="1" t="s">
        <v>1030</v>
      </c>
      <c r="E1797" s="1" t="s">
        <v>1031</v>
      </c>
      <c r="F1797" s="1" t="s">
        <v>83</v>
      </c>
      <c r="H1797" s="35" t="s">
        <v>89</v>
      </c>
      <c r="I1797" s="12">
        <v>3.9020430088543101</v>
      </c>
      <c r="J1797" s="12">
        <v>11.148694311012315</v>
      </c>
      <c r="K1797" s="37" t="s">
        <v>89</v>
      </c>
      <c r="L1797" s="16">
        <v>2252.5448491540865</v>
      </c>
      <c r="M1797" s="1" t="s">
        <v>89</v>
      </c>
      <c r="N1797" s="16">
        <v>8794.1290608716645</v>
      </c>
      <c r="O1797" s="12">
        <v>30.431209897470982</v>
      </c>
      <c r="P1797" s="15">
        <v>8.4700000000000077</v>
      </c>
      <c r="T1797" s="15">
        <v>29.972499999999982</v>
      </c>
      <c r="W1797" s="12">
        <v>0.68732724999999983</v>
      </c>
      <c r="Y1797" s="12">
        <v>67.213820000000013</v>
      </c>
      <c r="AE1797" s="19">
        <v>1</v>
      </c>
    </row>
    <row r="1798" spans="1:31" x14ac:dyDescent="0.2">
      <c r="A1798" s="19">
        <v>1797</v>
      </c>
      <c r="B1798" s="1">
        <v>2024</v>
      </c>
      <c r="C1798" s="1" t="s">
        <v>88</v>
      </c>
      <c r="D1798" s="1" t="s">
        <v>1030</v>
      </c>
      <c r="E1798" s="1" t="s">
        <v>1032</v>
      </c>
      <c r="F1798" s="1" t="s">
        <v>83</v>
      </c>
      <c r="H1798" s="35" t="s">
        <v>89</v>
      </c>
      <c r="I1798" s="12">
        <v>3.1919326746872674</v>
      </c>
      <c r="J1798" s="12">
        <v>9.1198076419636216</v>
      </c>
      <c r="K1798" s="37" t="s">
        <v>89</v>
      </c>
      <c r="L1798" s="16">
        <v>2122.1377344125231</v>
      </c>
      <c r="M1798" s="1" t="s">
        <v>89</v>
      </c>
      <c r="N1798" s="16">
        <v>6762.0138808634365</v>
      </c>
      <c r="O1798" s="12">
        <v>25.995803542011672</v>
      </c>
      <c r="P1798" s="15">
        <v>9.7500000000000107</v>
      </c>
      <c r="T1798" s="15">
        <v>32.029999999999987</v>
      </c>
      <c r="W1798" s="12">
        <v>0.66284299999999985</v>
      </c>
      <c r="Y1798" s="12">
        <v>65.057559999999995</v>
      </c>
      <c r="AE1798" s="19">
        <v>1</v>
      </c>
    </row>
    <row r="1799" spans="1:31" x14ac:dyDescent="0.2">
      <c r="A1799" s="19">
        <v>1798</v>
      </c>
      <c r="B1799" s="1">
        <v>2024</v>
      </c>
      <c r="C1799" s="1" t="s">
        <v>88</v>
      </c>
      <c r="D1799" s="1" t="s">
        <v>37</v>
      </c>
      <c r="E1799" s="1" t="s">
        <v>963</v>
      </c>
      <c r="F1799" s="1" t="s">
        <v>83</v>
      </c>
      <c r="H1799" s="35" t="s">
        <v>89</v>
      </c>
      <c r="I1799" s="12">
        <v>4.2446269936420578</v>
      </c>
      <c r="J1799" s="12">
        <v>12.127505696120167</v>
      </c>
      <c r="K1799" s="37" t="s">
        <v>34</v>
      </c>
      <c r="L1799" s="16">
        <v>2303.3899703183911</v>
      </c>
      <c r="M1799" s="1" t="s">
        <v>34</v>
      </c>
      <c r="N1799" s="16">
        <v>9804.2680552478032</v>
      </c>
      <c r="O1799" s="12">
        <v>28.393439021880088</v>
      </c>
      <c r="P1799" s="15">
        <v>7.9975000000000094</v>
      </c>
      <c r="T1799" s="15">
        <v>30.492499999999986</v>
      </c>
      <c r="W1799" s="12">
        <v>0.68113924999999986</v>
      </c>
      <c r="Y1799" s="12">
        <v>66.668859999999995</v>
      </c>
      <c r="AE1799" s="19">
        <v>1</v>
      </c>
    </row>
    <row r="1800" spans="1:31" x14ac:dyDescent="0.2">
      <c r="A1800" s="19">
        <v>1799</v>
      </c>
      <c r="B1800" s="1">
        <v>2024</v>
      </c>
      <c r="C1800" s="1" t="s">
        <v>88</v>
      </c>
      <c r="D1800" s="1" t="s">
        <v>246</v>
      </c>
      <c r="E1800" s="1" t="s">
        <v>966</v>
      </c>
      <c r="F1800" s="1" t="s">
        <v>83</v>
      </c>
      <c r="H1800" s="35" t="s">
        <v>89</v>
      </c>
      <c r="I1800" s="12">
        <v>2.655493506840882</v>
      </c>
      <c r="J1800" s="12">
        <v>7.5871243052596613</v>
      </c>
      <c r="K1800" s="37" t="s">
        <v>89</v>
      </c>
      <c r="L1800" s="16">
        <v>2193.7803950980124</v>
      </c>
      <c r="M1800" s="1" t="s">
        <v>89</v>
      </c>
      <c r="N1800" s="16">
        <v>5805.992984036644</v>
      </c>
      <c r="O1800" s="12">
        <v>24.854896104445931</v>
      </c>
      <c r="P1800" s="15">
        <v>9.347500000000009</v>
      </c>
      <c r="T1800" s="15">
        <v>30.419999999999987</v>
      </c>
      <c r="W1800" s="12">
        <v>0.68200199999999989</v>
      </c>
      <c r="Y1800" s="12">
        <v>66.744840000000011</v>
      </c>
      <c r="AE1800" s="19">
        <v>1</v>
      </c>
    </row>
    <row r="1801" spans="1:31" x14ac:dyDescent="0.2">
      <c r="A1801" s="19">
        <v>1800</v>
      </c>
      <c r="B1801" s="1">
        <v>2024</v>
      </c>
      <c r="C1801" s="1" t="s">
        <v>88</v>
      </c>
      <c r="D1801" s="1" t="s">
        <v>246</v>
      </c>
      <c r="E1801" s="1" t="s">
        <v>967</v>
      </c>
      <c r="F1801" s="1" t="s">
        <v>83</v>
      </c>
      <c r="H1801" s="35" t="s">
        <v>89</v>
      </c>
      <c r="I1801" s="12">
        <v>3.6058365111857311</v>
      </c>
      <c r="J1801" s="12">
        <v>10.302390031959233</v>
      </c>
      <c r="K1801" s="37" t="s">
        <v>89</v>
      </c>
      <c r="L1801" s="16">
        <v>2151.9317498326309</v>
      </c>
      <c r="M1801" s="1" t="s">
        <v>89</v>
      </c>
      <c r="N1801" s="16">
        <v>7772.2108381437902</v>
      </c>
      <c r="O1801" s="12">
        <v>31.236917854921717</v>
      </c>
      <c r="P1801" s="15">
        <v>9.8700000000000081</v>
      </c>
      <c r="T1801" s="15">
        <v>29.664999999999981</v>
      </c>
      <c r="W1801" s="12">
        <v>0.69098649999999973</v>
      </c>
      <c r="Y1801" s="12">
        <v>67.536079999999984</v>
      </c>
      <c r="AE1801" s="19">
        <v>1</v>
      </c>
    </row>
    <row r="1802" spans="1:31" x14ac:dyDescent="0.2">
      <c r="A1802" s="19">
        <v>1801</v>
      </c>
      <c r="B1802" s="1">
        <v>2024</v>
      </c>
      <c r="C1802" s="1" t="s">
        <v>88</v>
      </c>
      <c r="D1802" s="1" t="s">
        <v>246</v>
      </c>
      <c r="E1802" s="1" t="s">
        <v>593</v>
      </c>
      <c r="F1802" s="1" t="s">
        <v>83</v>
      </c>
      <c r="H1802" s="35" t="s">
        <v>89</v>
      </c>
      <c r="I1802" s="12">
        <v>4.1251427754033347</v>
      </c>
      <c r="J1802" s="12">
        <v>11.7861222154381</v>
      </c>
      <c r="K1802" s="37" t="s">
        <v>34</v>
      </c>
      <c r="L1802" s="16">
        <v>2484.2653551161902</v>
      </c>
      <c r="M1802" s="1" t="s">
        <v>34</v>
      </c>
      <c r="N1802" s="16">
        <v>10252.216738141668</v>
      </c>
      <c r="O1802" s="12">
        <v>27.656346172483012</v>
      </c>
      <c r="P1802" s="15">
        <v>7.6325000000000074</v>
      </c>
      <c r="T1802" s="15">
        <v>27.699999999999982</v>
      </c>
      <c r="W1802" s="12">
        <v>0.71436999999999984</v>
      </c>
      <c r="Y1802" s="12">
        <v>69.595399999999998</v>
      </c>
      <c r="AE1802" s="19">
        <v>1</v>
      </c>
    </row>
    <row r="1803" spans="1:31" x14ac:dyDescent="0.2">
      <c r="A1803" s="19">
        <v>1802</v>
      </c>
      <c r="B1803" s="1">
        <v>2024</v>
      </c>
      <c r="C1803" s="1" t="s">
        <v>88</v>
      </c>
      <c r="D1803" s="1" t="s">
        <v>246</v>
      </c>
      <c r="E1803" s="1" t="s">
        <v>594</v>
      </c>
      <c r="F1803" s="1" t="s">
        <v>83</v>
      </c>
      <c r="H1803" s="35" t="s">
        <v>89</v>
      </c>
      <c r="I1803" s="12">
        <v>3.2575480201629254</v>
      </c>
      <c r="J1803" s="12">
        <v>9.3072800576083594</v>
      </c>
      <c r="K1803" s="37" t="s">
        <v>89</v>
      </c>
      <c r="L1803" s="16">
        <v>1911.0684609349644</v>
      </c>
      <c r="M1803" s="1" t="s">
        <v>89</v>
      </c>
      <c r="N1803" s="16">
        <v>6264.5759689922543</v>
      </c>
      <c r="O1803" s="12">
        <v>26.085919728337842</v>
      </c>
      <c r="P1803" s="15">
        <v>6.9400000000000075</v>
      </c>
      <c r="T1803" s="15">
        <v>37.66249999999998</v>
      </c>
      <c r="W1803" s="12">
        <v>0.59581624999999983</v>
      </c>
      <c r="Y1803" s="12">
        <v>59.154699999999991</v>
      </c>
      <c r="AE1803" s="19">
        <v>1</v>
      </c>
    </row>
    <row r="1804" spans="1:31" x14ac:dyDescent="0.2">
      <c r="A1804" s="19">
        <v>1803</v>
      </c>
      <c r="B1804" s="1">
        <v>2024</v>
      </c>
      <c r="C1804" s="1" t="s">
        <v>88</v>
      </c>
      <c r="D1804" s="1" t="s">
        <v>980</v>
      </c>
      <c r="E1804" s="1" t="s">
        <v>1042</v>
      </c>
      <c r="F1804" s="1" t="s">
        <v>83</v>
      </c>
      <c r="H1804" s="35" t="s">
        <v>89</v>
      </c>
      <c r="I1804" s="12">
        <v>2.2131183555105234</v>
      </c>
      <c r="J1804" s="12">
        <v>6.3231953014586351</v>
      </c>
      <c r="K1804" s="37" t="s">
        <v>89</v>
      </c>
      <c r="L1804" s="16">
        <v>2039.6866987490444</v>
      </c>
      <c r="M1804" s="1" t="s">
        <v>89</v>
      </c>
      <c r="N1804" s="16">
        <v>4480.5618175958871</v>
      </c>
      <c r="O1804" s="12">
        <v>29.59686183966549</v>
      </c>
      <c r="P1804" s="15">
        <v>9.3700000000000081</v>
      </c>
      <c r="T1804" s="15">
        <v>33.41249999999998</v>
      </c>
      <c r="W1804" s="12">
        <v>0.64639124999999975</v>
      </c>
      <c r="Y1804" s="12">
        <v>63.608699999999992</v>
      </c>
      <c r="AE1804" s="19">
        <v>1</v>
      </c>
    </row>
    <row r="1805" spans="1:31" ht="16" customHeight="1" x14ac:dyDescent="0.2">
      <c r="A1805" s="19">
        <v>1804</v>
      </c>
      <c r="B1805" s="1">
        <v>2024</v>
      </c>
      <c r="C1805" s="1" t="s">
        <v>88</v>
      </c>
      <c r="D1805" s="1" t="s">
        <v>980</v>
      </c>
      <c r="E1805" s="1" t="s">
        <v>1043</v>
      </c>
      <c r="F1805" s="1" t="s">
        <v>83</v>
      </c>
      <c r="H1805" s="35" t="s">
        <v>34</v>
      </c>
      <c r="I1805" s="12">
        <v>4.3264081226789974</v>
      </c>
      <c r="J1805" s="12">
        <v>12.361166064797134</v>
      </c>
      <c r="K1805" s="37" t="s">
        <v>89</v>
      </c>
      <c r="L1805" s="16">
        <v>2208.332108284771</v>
      </c>
      <c r="M1805" s="1" t="s">
        <v>34</v>
      </c>
      <c r="N1805" s="16">
        <v>9514.4271454129193</v>
      </c>
      <c r="O1805" s="12">
        <v>27.802459631923931</v>
      </c>
      <c r="P1805" s="15">
        <v>8.3900000000000095</v>
      </c>
      <c r="T1805" s="15">
        <v>31.189999999999987</v>
      </c>
      <c r="W1805" s="12">
        <v>0.67283899999999985</v>
      </c>
      <c r="Y1805" s="12">
        <v>65.937879999999993</v>
      </c>
      <c r="AE1805" s="19">
        <v>1</v>
      </c>
    </row>
    <row r="1806" spans="1:31" x14ac:dyDescent="0.2">
      <c r="A1806" s="19">
        <v>1805</v>
      </c>
      <c r="B1806" s="1">
        <v>2025</v>
      </c>
      <c r="C1806" s="1" t="s">
        <v>31</v>
      </c>
      <c r="D1806" s="1" t="s">
        <v>1044</v>
      </c>
      <c r="E1806" s="1" t="s">
        <v>1045</v>
      </c>
      <c r="F1806" s="1" t="s">
        <v>32</v>
      </c>
      <c r="G1806" s="1">
        <v>114</v>
      </c>
      <c r="H1806" s="35" t="s">
        <v>89</v>
      </c>
      <c r="I1806" s="12">
        <v>7.2963935185592206</v>
      </c>
      <c r="L1806" s="16">
        <v>2480.0462723003129</v>
      </c>
      <c r="M1806" s="1" t="s">
        <v>89</v>
      </c>
      <c r="N1806" s="16">
        <v>18152.726261385149</v>
      </c>
      <c r="O1806" s="12">
        <v>36.815604455783557</v>
      </c>
      <c r="P1806" s="15">
        <v>7.9584170522907005</v>
      </c>
      <c r="T1806" s="15">
        <v>22.189308799685648</v>
      </c>
      <c r="U1806" s="15">
        <v>29.606880967687072</v>
      </c>
      <c r="W1806" s="12">
        <v>0.60562736431364828</v>
      </c>
      <c r="AE1806" s="1">
        <v>1</v>
      </c>
    </row>
    <row r="1807" spans="1:31" x14ac:dyDescent="0.2">
      <c r="A1807" s="19">
        <v>1806</v>
      </c>
      <c r="B1807" s="1">
        <v>2025</v>
      </c>
      <c r="C1807" s="1" t="s">
        <v>31</v>
      </c>
      <c r="D1807" s="1" t="s">
        <v>1046</v>
      </c>
      <c r="E1807" s="1" t="s">
        <v>1047</v>
      </c>
      <c r="F1807" s="1" t="s">
        <v>32</v>
      </c>
      <c r="G1807" s="1">
        <v>117</v>
      </c>
      <c r="H1807" s="35" t="s">
        <v>89</v>
      </c>
      <c r="I1807" s="12">
        <v>7.6107752436829319</v>
      </c>
      <c r="L1807" s="16">
        <v>2329.3899459434738</v>
      </c>
      <c r="M1807" s="1" t="s">
        <v>89</v>
      </c>
      <c r="N1807" s="16">
        <v>17685.648875955347</v>
      </c>
      <c r="O1807" s="12">
        <v>37.763858205998673</v>
      </c>
      <c r="P1807" s="15">
        <v>8.8209170522907048</v>
      </c>
      <c r="T1807" s="15">
        <v>25.216808799685651</v>
      </c>
      <c r="U1807" s="15">
        <v>22.866880967687099</v>
      </c>
      <c r="W1807" s="12">
        <v>0.56883708941730848</v>
      </c>
      <c r="AE1807" s="1">
        <v>1</v>
      </c>
    </row>
    <row r="1808" spans="1:31" x14ac:dyDescent="0.2">
      <c r="A1808" s="19">
        <v>1807</v>
      </c>
      <c r="B1808" s="1">
        <v>2025</v>
      </c>
      <c r="C1808" s="1" t="s">
        <v>31</v>
      </c>
      <c r="D1808" s="1" t="s">
        <v>1046</v>
      </c>
      <c r="E1808" s="1" t="s">
        <v>1048</v>
      </c>
      <c r="F1808" s="1" t="s">
        <v>32</v>
      </c>
      <c r="G1808" s="1">
        <v>117</v>
      </c>
      <c r="H1808" s="35" t="s">
        <v>89</v>
      </c>
      <c r="I1808" s="12">
        <v>7.4528064220296315</v>
      </c>
      <c r="L1808" s="16">
        <v>2498.4475546186331</v>
      </c>
      <c r="M1808" s="1" t="s">
        <v>89</v>
      </c>
      <c r="N1808" s="16">
        <v>19038.084395232203</v>
      </c>
      <c r="O1808" s="12">
        <v>34.584922224891478</v>
      </c>
      <c r="P1808" s="15">
        <v>8.0229585261450165</v>
      </c>
      <c r="T1808" s="15">
        <v>22.093404399840374</v>
      </c>
      <c r="U1808" s="15">
        <v>29.065940483842034</v>
      </c>
      <c r="W1808" s="12">
        <v>0.61012092514682981</v>
      </c>
      <c r="AE1808" s="1">
        <v>1</v>
      </c>
    </row>
    <row r="1809" spans="1:31" x14ac:dyDescent="0.2">
      <c r="A1809" s="19">
        <v>1808</v>
      </c>
      <c r="B1809" s="1">
        <v>2025</v>
      </c>
      <c r="C1809" s="1" t="s">
        <v>31</v>
      </c>
      <c r="D1809" s="1" t="s">
        <v>916</v>
      </c>
      <c r="E1809" s="1" t="s">
        <v>1049</v>
      </c>
      <c r="F1809" s="1" t="s">
        <v>32</v>
      </c>
      <c r="G1809" s="1">
        <v>115</v>
      </c>
      <c r="H1809" s="35" t="s">
        <v>89</v>
      </c>
      <c r="I1809" s="12">
        <v>7.8157488215787456</v>
      </c>
      <c r="L1809" s="16">
        <v>2575.1400751516717</v>
      </c>
      <c r="M1809" s="1" t="s">
        <v>89</v>
      </c>
      <c r="N1809" s="16">
        <v>20216.713240214565</v>
      </c>
      <c r="O1809" s="12">
        <v>35.213745830929348</v>
      </c>
      <c r="P1809" s="15">
        <v>7.7234170522907029</v>
      </c>
      <c r="T1809" s="15">
        <v>20.836808799685652</v>
      </c>
      <c r="U1809" s="15">
        <v>32.474380967687132</v>
      </c>
      <c r="W1809" s="12">
        <v>0.62884927096995014</v>
      </c>
      <c r="AE1809" s="1">
        <v>1</v>
      </c>
    </row>
    <row r="1810" spans="1:31" x14ac:dyDescent="0.2">
      <c r="A1810" s="19">
        <v>1809</v>
      </c>
      <c r="B1810" s="1">
        <v>2025</v>
      </c>
      <c r="C1810" s="1" t="s">
        <v>31</v>
      </c>
      <c r="D1810" s="1" t="s">
        <v>916</v>
      </c>
      <c r="E1810" s="1" t="s">
        <v>1050</v>
      </c>
      <c r="F1810" s="1" t="s">
        <v>32</v>
      </c>
      <c r="G1810" s="1">
        <v>118</v>
      </c>
      <c r="H1810" s="35" t="s">
        <v>89</v>
      </c>
      <c r="I1810" s="12">
        <v>8.3340885575029038</v>
      </c>
      <c r="L1810" s="16">
        <v>2357.6446616988851</v>
      </c>
      <c r="M1810" s="1" t="s">
        <v>89</v>
      </c>
      <c r="N1810" s="16">
        <v>19727.75867690536</v>
      </c>
      <c r="O1810" s="12">
        <v>38.007645549440696</v>
      </c>
      <c r="P1810" s="15">
        <v>8.0909170522907079</v>
      </c>
      <c r="T1810" s="15">
        <v>25.319308799685658</v>
      </c>
      <c r="U1810" s="15">
        <v>25.189380967687097</v>
      </c>
      <c r="W1810" s="12">
        <v>0.57573689100477987</v>
      </c>
      <c r="AE1810" s="1">
        <v>1</v>
      </c>
    </row>
    <row r="1811" spans="1:31" x14ac:dyDescent="0.2">
      <c r="A1811" s="19">
        <v>1810</v>
      </c>
      <c r="B1811" s="1">
        <v>2025</v>
      </c>
      <c r="C1811" s="1" t="s">
        <v>31</v>
      </c>
      <c r="D1811" s="1" t="s">
        <v>1051</v>
      </c>
      <c r="E1811" s="1" t="s">
        <v>1052</v>
      </c>
      <c r="F1811" s="1" t="s">
        <v>32</v>
      </c>
      <c r="G1811" s="1">
        <v>116</v>
      </c>
      <c r="H1811" s="35" t="s">
        <v>89</v>
      </c>
      <c r="I1811" s="12">
        <v>7.3906747957701597</v>
      </c>
      <c r="L1811" s="16">
        <v>2439.5869621430206</v>
      </c>
      <c r="M1811" s="1" t="s">
        <v>89</v>
      </c>
      <c r="N1811" s="16">
        <v>18075.935760288659</v>
      </c>
      <c r="O1811" s="12">
        <v>37.387823207563201</v>
      </c>
      <c r="P1811" s="15">
        <v>7.6354585261453769</v>
      </c>
      <c r="T1811" s="15">
        <v>23.105904399842871</v>
      </c>
      <c r="U1811" s="15">
        <v>29.000940483843532</v>
      </c>
      <c r="W1811" s="12">
        <v>0.59574716846428177</v>
      </c>
      <c r="AE1811" s="1">
        <v>1</v>
      </c>
    </row>
    <row r="1812" spans="1:31" x14ac:dyDescent="0.2">
      <c r="A1812" s="19">
        <v>1811</v>
      </c>
      <c r="B1812" s="1">
        <v>2025</v>
      </c>
      <c r="C1812" s="1" t="s">
        <v>31</v>
      </c>
      <c r="D1812" s="1" t="s">
        <v>1051</v>
      </c>
      <c r="E1812" s="1" t="s">
        <v>858</v>
      </c>
      <c r="F1812" s="1" t="s">
        <v>32</v>
      </c>
      <c r="G1812" s="1">
        <v>114</v>
      </c>
      <c r="H1812" s="35" t="s">
        <v>89</v>
      </c>
      <c r="I1812" s="12">
        <v>7.836533945624673</v>
      </c>
      <c r="L1812" s="16">
        <v>2416.7142310983477</v>
      </c>
      <c r="M1812" s="1" t="s">
        <v>89</v>
      </c>
      <c r="N1812" s="16">
        <v>18887.076249889891</v>
      </c>
      <c r="O1812" s="12">
        <v>35.563432889490251</v>
      </c>
      <c r="P1812" s="15">
        <v>7.4354585261453785</v>
      </c>
      <c r="T1812" s="15">
        <v>24.098404399842881</v>
      </c>
      <c r="U1812" s="15">
        <v>26.533440483843538</v>
      </c>
      <c r="W1812" s="12">
        <v>0.59016164754317257</v>
      </c>
      <c r="AE1812" s="1">
        <v>1</v>
      </c>
    </row>
    <row r="1813" spans="1:31" x14ac:dyDescent="0.2">
      <c r="A1813" s="19">
        <v>1812</v>
      </c>
      <c r="B1813" s="1">
        <v>2025</v>
      </c>
      <c r="C1813" s="1" t="s">
        <v>31</v>
      </c>
      <c r="D1813" s="1" t="s">
        <v>1053</v>
      </c>
      <c r="E1813" s="1" t="s">
        <v>927</v>
      </c>
      <c r="F1813" s="1" t="s">
        <v>32</v>
      </c>
      <c r="G1813" s="1">
        <v>118</v>
      </c>
      <c r="H1813" s="35" t="s">
        <v>89</v>
      </c>
      <c r="I1813" s="12">
        <v>7.9907977359837696</v>
      </c>
      <c r="L1813" s="16">
        <v>2375.0470633884365</v>
      </c>
      <c r="M1813" s="1" t="s">
        <v>89</v>
      </c>
      <c r="N1813" s="16">
        <v>18973.170981706025</v>
      </c>
      <c r="O1813" s="12">
        <v>37.582479563116216</v>
      </c>
      <c r="P1813" s="15">
        <v>6.9984170522907041</v>
      </c>
      <c r="T1813" s="15">
        <v>25.081808799685636</v>
      </c>
      <c r="U1813" s="15">
        <v>25.86438096768708</v>
      </c>
      <c r="W1813" s="12">
        <v>0.57998655749736827</v>
      </c>
      <c r="AE1813" s="1">
        <v>1</v>
      </c>
    </row>
    <row r="1814" spans="1:31" x14ac:dyDescent="0.2">
      <c r="A1814" s="19">
        <v>1813</v>
      </c>
      <c r="B1814" s="1">
        <v>2025</v>
      </c>
      <c r="C1814" s="1" t="s">
        <v>31</v>
      </c>
      <c r="D1814" s="1" t="s">
        <v>1053</v>
      </c>
      <c r="E1814" s="1" t="s">
        <v>928</v>
      </c>
      <c r="F1814" s="1" t="s">
        <v>32</v>
      </c>
      <c r="G1814" s="1">
        <v>120</v>
      </c>
      <c r="H1814" s="35" t="s">
        <v>89</v>
      </c>
      <c r="I1814" s="12">
        <v>7.8366010630272802</v>
      </c>
      <c r="L1814" s="16">
        <v>2339.5208026954779</v>
      </c>
      <c r="M1814" s="1" t="s">
        <v>89</v>
      </c>
      <c r="N1814" s="16">
        <v>18372.679211669114</v>
      </c>
      <c r="O1814" s="12">
        <v>37.183118255446587</v>
      </c>
      <c r="P1814" s="15">
        <v>7.5234170522907036</v>
      </c>
      <c r="T1814" s="15">
        <v>25.649308799685638</v>
      </c>
      <c r="U1814" s="15">
        <v>25.564380967687061</v>
      </c>
      <c r="W1814" s="12">
        <v>0.57131104463614779</v>
      </c>
      <c r="AE1814" s="1">
        <v>1</v>
      </c>
    </row>
    <row r="1815" spans="1:31" x14ac:dyDescent="0.2">
      <c r="A1815" s="19">
        <v>1814</v>
      </c>
      <c r="B1815" s="1">
        <v>2025</v>
      </c>
      <c r="C1815" s="1" t="s">
        <v>31</v>
      </c>
      <c r="D1815" s="1" t="s">
        <v>1054</v>
      </c>
      <c r="E1815" s="1" t="s">
        <v>1055</v>
      </c>
      <c r="F1815" s="1" t="s">
        <v>32</v>
      </c>
      <c r="G1815" s="1">
        <v>113</v>
      </c>
      <c r="H1815" s="35" t="s">
        <v>89</v>
      </c>
      <c r="I1815" s="12">
        <v>8.1506412641793897</v>
      </c>
      <c r="L1815" s="16">
        <v>2541.1466751403618</v>
      </c>
      <c r="M1815" s="1" t="s">
        <v>34</v>
      </c>
      <c r="N1815" s="16">
        <v>20860.751426349409</v>
      </c>
      <c r="O1815" s="12">
        <v>36.399792776713959</v>
      </c>
      <c r="P1815" s="15">
        <v>7.8384170522907022</v>
      </c>
      <c r="T1815" s="15">
        <v>20.994308799685641</v>
      </c>
      <c r="U1815" s="15">
        <v>30.376880967687086</v>
      </c>
      <c r="W1815" s="12">
        <v>0.62054808268718809</v>
      </c>
      <c r="AE1815" s="1">
        <v>1</v>
      </c>
    </row>
    <row r="1816" spans="1:31" x14ac:dyDescent="0.2">
      <c r="A1816" s="19">
        <v>1815</v>
      </c>
      <c r="B1816" s="1">
        <v>2025</v>
      </c>
      <c r="C1816" s="1" t="s">
        <v>31</v>
      </c>
      <c r="D1816" s="1" t="s">
        <v>1054</v>
      </c>
      <c r="E1816" s="1" t="s">
        <v>1056</v>
      </c>
      <c r="F1816" s="1" t="s">
        <v>32</v>
      </c>
      <c r="G1816" s="1">
        <v>116</v>
      </c>
      <c r="H1816" s="35" t="s">
        <v>89</v>
      </c>
      <c r="I1816" s="12">
        <v>8.0900140893938577</v>
      </c>
      <c r="L1816" s="16">
        <v>2324.3504033052864</v>
      </c>
      <c r="M1816" s="1" t="s">
        <v>89</v>
      </c>
      <c r="N1816" s="16">
        <v>18624.838423477719</v>
      </c>
      <c r="O1816" s="12">
        <v>33.661684661516375</v>
      </c>
      <c r="P1816" s="15">
        <v>7.6034170522907045</v>
      </c>
      <c r="T1816" s="15">
        <v>25.489308799685659</v>
      </c>
      <c r="U1816" s="15">
        <v>22.32438096768707</v>
      </c>
      <c r="W1816" s="12">
        <v>0.5676064331050632</v>
      </c>
      <c r="AE1816" s="1">
        <v>1</v>
      </c>
    </row>
    <row r="1817" spans="1:31" x14ac:dyDescent="0.2">
      <c r="A1817" s="19">
        <v>1816</v>
      </c>
      <c r="B1817" s="1">
        <v>2025</v>
      </c>
      <c r="C1817" s="1" t="s">
        <v>31</v>
      </c>
      <c r="D1817" s="1" t="s">
        <v>1054</v>
      </c>
      <c r="E1817" s="1" t="s">
        <v>1057</v>
      </c>
      <c r="F1817" s="1" t="s">
        <v>32</v>
      </c>
      <c r="G1817" s="1">
        <v>117</v>
      </c>
      <c r="H1817" s="35" t="s">
        <v>89</v>
      </c>
      <c r="I1817" s="12">
        <v>7.2299908815215099</v>
      </c>
      <c r="L1817" s="16">
        <v>2392.5150479635531</v>
      </c>
      <c r="M1817" s="1" t="s">
        <v>89</v>
      </c>
      <c r="N1817" s="16">
        <v>17313.252825927826</v>
      </c>
      <c r="O1817" s="12">
        <v>36.085602368272504</v>
      </c>
      <c r="P1817" s="15">
        <v>7.2634170522907056</v>
      </c>
      <c r="T1817" s="15">
        <v>24.319308799685661</v>
      </c>
      <c r="U1817" s="15">
        <v>25.664380967687077</v>
      </c>
      <c r="W1817" s="12">
        <v>0.58425223933061188</v>
      </c>
      <c r="AE1817" s="1">
        <v>1</v>
      </c>
    </row>
    <row r="1818" spans="1:31" x14ac:dyDescent="0.2">
      <c r="A1818" s="19">
        <v>1817</v>
      </c>
      <c r="B1818" s="1">
        <v>2025</v>
      </c>
      <c r="C1818" s="1" t="s">
        <v>31</v>
      </c>
      <c r="D1818" s="1" t="s">
        <v>1054</v>
      </c>
      <c r="E1818" s="1" t="s">
        <v>935</v>
      </c>
      <c r="F1818" s="1" t="s">
        <v>32</v>
      </c>
      <c r="G1818" s="1">
        <v>118</v>
      </c>
      <c r="H1818" s="35" t="s">
        <v>89</v>
      </c>
      <c r="I1818" s="12">
        <v>7.4764525649665154</v>
      </c>
      <c r="L1818" s="16">
        <v>2310.7213588386953</v>
      </c>
      <c r="M1818" s="1" t="s">
        <v>89</v>
      </c>
      <c r="N1818" s="16">
        <v>17256.600950752072</v>
      </c>
      <c r="O1818" s="12">
        <v>36.810530451425052</v>
      </c>
      <c r="P1818" s="15">
        <v>7.8884170522907056</v>
      </c>
      <c r="T1818" s="15">
        <v>26.484308799685646</v>
      </c>
      <c r="U1818" s="15">
        <v>23.634380967687083</v>
      </c>
      <c r="W1818" s="12">
        <v>0.56427822044632159</v>
      </c>
      <c r="AE1818" s="1">
        <v>1</v>
      </c>
    </row>
    <row r="1819" spans="1:31" x14ac:dyDescent="0.2">
      <c r="A1819" s="19">
        <v>1818</v>
      </c>
      <c r="B1819" s="1">
        <v>2025</v>
      </c>
      <c r="C1819" s="1" t="s">
        <v>31</v>
      </c>
      <c r="D1819" s="1" t="s">
        <v>1054</v>
      </c>
      <c r="E1819" s="1" t="s">
        <v>936</v>
      </c>
      <c r="F1819" s="1" t="s">
        <v>32</v>
      </c>
      <c r="G1819" s="1">
        <v>119</v>
      </c>
      <c r="H1819" s="35" t="s">
        <v>89</v>
      </c>
      <c r="I1819" s="12">
        <v>7.9559677122372259</v>
      </c>
      <c r="L1819" s="16">
        <v>2443.9939286159729</v>
      </c>
      <c r="M1819" s="1" t="s">
        <v>89</v>
      </c>
      <c r="N1819" s="16">
        <v>19447.877890323129</v>
      </c>
      <c r="O1819" s="12">
        <v>34.241459135446057</v>
      </c>
      <c r="P1819" s="15">
        <v>7.998417052290705</v>
      </c>
      <c r="T1819" s="15">
        <v>23.164308799685656</v>
      </c>
      <c r="U1819" s="15">
        <v>26.94188096768708</v>
      </c>
      <c r="W1819" s="12">
        <v>0.59682338198593299</v>
      </c>
      <c r="AE1819" s="1">
        <v>1</v>
      </c>
    </row>
    <row r="1820" spans="1:31" x14ac:dyDescent="0.2">
      <c r="A1820" s="19">
        <v>1819</v>
      </c>
      <c r="B1820" s="1">
        <v>2025</v>
      </c>
      <c r="C1820" s="1" t="s">
        <v>31</v>
      </c>
      <c r="D1820" s="1" t="s">
        <v>1054</v>
      </c>
      <c r="E1820" s="1" t="s">
        <v>1058</v>
      </c>
      <c r="F1820" s="1" t="s">
        <v>32</v>
      </c>
      <c r="G1820" s="1">
        <v>119</v>
      </c>
      <c r="H1820" s="35" t="s">
        <v>89</v>
      </c>
      <c r="I1820" s="12">
        <v>7.777221532360393</v>
      </c>
      <c r="L1820" s="16">
        <v>2361.6521205758336</v>
      </c>
      <c r="M1820" s="1" t="s">
        <v>89</v>
      </c>
      <c r="N1820" s="16">
        <v>18460.377000011009</v>
      </c>
      <c r="O1820" s="12">
        <v>35.965439903319549</v>
      </c>
      <c r="P1820" s="15">
        <v>8.0979585261453835</v>
      </c>
      <c r="T1820" s="15">
        <v>25.280904399842861</v>
      </c>
      <c r="U1820" s="15">
        <v>25.735940483843532</v>
      </c>
      <c r="W1820" s="12">
        <v>0.5767154801535751</v>
      </c>
      <c r="AE1820" s="1">
        <v>1</v>
      </c>
    </row>
    <row r="1821" spans="1:31" x14ac:dyDescent="0.2">
      <c r="A1821" s="19">
        <v>1820</v>
      </c>
      <c r="B1821" s="1">
        <v>2025</v>
      </c>
      <c r="C1821" s="1" t="s">
        <v>31</v>
      </c>
      <c r="D1821" s="1" t="s">
        <v>1059</v>
      </c>
      <c r="E1821" s="1" t="s">
        <v>1060</v>
      </c>
      <c r="F1821" s="1" t="s">
        <v>32</v>
      </c>
      <c r="G1821" s="1">
        <v>113</v>
      </c>
      <c r="H1821" s="35" t="s">
        <v>89</v>
      </c>
      <c r="I1821" s="12">
        <v>7.691665298754061</v>
      </c>
      <c r="L1821" s="16">
        <v>2473.4021312711047</v>
      </c>
      <c r="M1821" s="1" t="s">
        <v>89</v>
      </c>
      <c r="N1821" s="16">
        <v>19100.616195623988</v>
      </c>
      <c r="O1821" s="12">
        <v>35.935102228350431</v>
      </c>
      <c r="P1821" s="15">
        <v>8.1059170522907014</v>
      </c>
      <c r="T1821" s="15">
        <v>22.614308799685649</v>
      </c>
      <c r="U1821" s="15">
        <v>28.919380967687072</v>
      </c>
      <c r="W1821" s="12">
        <v>0.6040048650743165</v>
      </c>
      <c r="AE1821" s="1">
        <v>1</v>
      </c>
    </row>
    <row r="1822" spans="1:31" x14ac:dyDescent="0.2">
      <c r="A1822" s="19">
        <v>1821</v>
      </c>
      <c r="B1822" s="1">
        <v>2025</v>
      </c>
      <c r="C1822" s="1" t="s">
        <v>31</v>
      </c>
      <c r="D1822" s="1" t="s">
        <v>1059</v>
      </c>
      <c r="E1822" s="1" t="s">
        <v>1007</v>
      </c>
      <c r="F1822" s="1" t="s">
        <v>32</v>
      </c>
      <c r="G1822" s="1">
        <v>117</v>
      </c>
      <c r="H1822" s="35" t="s">
        <v>34</v>
      </c>
      <c r="I1822" s="12">
        <v>8.7593498756169978</v>
      </c>
      <c r="L1822" s="16">
        <v>2466.2404332412998</v>
      </c>
      <c r="M1822" s="1" t="s">
        <v>34</v>
      </c>
      <c r="N1822" s="16">
        <v>21650.718733023459</v>
      </c>
      <c r="O1822" s="12">
        <v>32.5584651504184</v>
      </c>
      <c r="P1822" s="15">
        <v>8.1259170522907027</v>
      </c>
      <c r="T1822" s="15">
        <v>23.324308799685642</v>
      </c>
      <c r="U1822" s="15">
        <v>27.724380967687072</v>
      </c>
      <c r="W1822" s="12">
        <v>0.60225597841543776</v>
      </c>
      <c r="AE1822" s="1">
        <v>1</v>
      </c>
    </row>
    <row r="1823" spans="1:31" x14ac:dyDescent="0.2">
      <c r="A1823" s="19">
        <v>1822</v>
      </c>
      <c r="B1823" s="1">
        <v>2025</v>
      </c>
      <c r="C1823" s="1" t="s">
        <v>31</v>
      </c>
      <c r="D1823" s="1" t="s">
        <v>1061</v>
      </c>
      <c r="E1823" s="1" t="s">
        <v>938</v>
      </c>
      <c r="F1823" s="1" t="s">
        <v>32</v>
      </c>
      <c r="G1823" s="1">
        <v>116</v>
      </c>
      <c r="H1823" s="35" t="s">
        <v>89</v>
      </c>
      <c r="I1823" s="12">
        <v>7.3325397828636714</v>
      </c>
      <c r="L1823" s="16">
        <v>2396.8325124723988</v>
      </c>
      <c r="M1823" s="1" t="s">
        <v>89</v>
      </c>
      <c r="N1823" s="16">
        <v>17630.590822955208</v>
      </c>
      <c r="O1823" s="12">
        <v>35.203808603646337</v>
      </c>
      <c r="P1823" s="15">
        <v>7.2634170522907064</v>
      </c>
      <c r="T1823" s="15">
        <v>24.309308799685663</v>
      </c>
      <c r="U1823" s="15">
        <v>26.656880967687083</v>
      </c>
      <c r="W1823" s="12">
        <v>0.58530656416367166</v>
      </c>
      <c r="AE1823" s="1">
        <v>1</v>
      </c>
    </row>
    <row r="1824" spans="1:31" x14ac:dyDescent="0.2">
      <c r="A1824" s="19">
        <v>1823</v>
      </c>
      <c r="B1824" s="1">
        <v>2025</v>
      </c>
      <c r="C1824" s="1" t="s">
        <v>31</v>
      </c>
      <c r="D1824" s="1" t="s">
        <v>1061</v>
      </c>
      <c r="E1824" s="1" t="s">
        <v>939</v>
      </c>
      <c r="F1824" s="1" t="s">
        <v>32</v>
      </c>
      <c r="G1824" s="1">
        <v>117</v>
      </c>
      <c r="H1824" s="35" t="s">
        <v>89</v>
      </c>
      <c r="I1824" s="12">
        <v>7.6232841253719608</v>
      </c>
      <c r="L1824" s="16">
        <v>2396.3187433322032</v>
      </c>
      <c r="M1824" s="1" t="s">
        <v>89</v>
      </c>
      <c r="N1824" s="16">
        <v>18277.587651494468</v>
      </c>
      <c r="O1824" s="12">
        <v>34.048049239324669</v>
      </c>
      <c r="P1824" s="15">
        <v>7.9359170522907032</v>
      </c>
      <c r="T1824" s="15">
        <v>23.836808799685649</v>
      </c>
      <c r="U1824" s="15">
        <v>23.991880967687077</v>
      </c>
      <c r="W1824" s="12">
        <v>0.58518110173963633</v>
      </c>
      <c r="AE1824" s="1">
        <v>1</v>
      </c>
    </row>
    <row r="1825" spans="1:31" x14ac:dyDescent="0.2">
      <c r="A1825" s="19">
        <v>1824</v>
      </c>
      <c r="B1825" s="1">
        <v>2025</v>
      </c>
      <c r="C1825" s="1" t="s">
        <v>31</v>
      </c>
      <c r="D1825" s="1" t="s">
        <v>1061</v>
      </c>
      <c r="E1825" s="1" t="s">
        <v>941</v>
      </c>
      <c r="F1825" s="1" t="s">
        <v>32</v>
      </c>
      <c r="G1825" s="1">
        <v>118</v>
      </c>
      <c r="H1825" s="35" t="s">
        <v>34</v>
      </c>
      <c r="I1825" s="12">
        <v>8.5987713511829682</v>
      </c>
      <c r="L1825" s="16">
        <v>2406.4890161203039</v>
      </c>
      <c r="M1825" s="1" t="s">
        <v>89</v>
      </c>
      <c r="N1825" s="16">
        <v>20659.455398275037</v>
      </c>
      <c r="O1825" s="12">
        <v>33.725415333617789</v>
      </c>
      <c r="P1825" s="15">
        <v>7.6904585261453802</v>
      </c>
      <c r="T1825" s="15">
        <v>24.205904399842854</v>
      </c>
      <c r="U1825" s="15">
        <v>24.633440483843515</v>
      </c>
      <c r="W1825" s="12">
        <v>0.5876646500455347</v>
      </c>
      <c r="AE1825" s="1">
        <v>1</v>
      </c>
    </row>
    <row r="1826" spans="1:31" x14ac:dyDescent="0.2">
      <c r="A1826" s="19">
        <v>1825</v>
      </c>
      <c r="B1826" s="1">
        <v>2025</v>
      </c>
      <c r="C1826" s="1" t="s">
        <v>31</v>
      </c>
      <c r="D1826" s="1" t="s">
        <v>1061</v>
      </c>
      <c r="E1826" s="1" t="s">
        <v>1062</v>
      </c>
      <c r="F1826" s="1" t="s">
        <v>32</v>
      </c>
      <c r="G1826" s="1">
        <v>119</v>
      </c>
      <c r="H1826" s="35" t="s">
        <v>89</v>
      </c>
      <c r="I1826" s="12">
        <v>7.7370288843137356</v>
      </c>
      <c r="L1826" s="16">
        <v>2398.6525004558803</v>
      </c>
      <c r="M1826" s="1" t="s">
        <v>89</v>
      </c>
      <c r="N1826" s="16">
        <v>18534.352409441832</v>
      </c>
      <c r="O1826" s="12">
        <v>36.828804543753058</v>
      </c>
      <c r="P1826" s="15">
        <v>8.11545852614538</v>
      </c>
      <c r="T1826" s="15">
        <v>24.173404399842845</v>
      </c>
      <c r="U1826" s="15">
        <v>26.17844048384352</v>
      </c>
      <c r="W1826" s="12">
        <v>0.58575097292028244</v>
      </c>
      <c r="AE1826" s="1">
        <v>1</v>
      </c>
    </row>
    <row r="1827" spans="1:31" x14ac:dyDescent="0.2">
      <c r="A1827" s="19">
        <v>1826</v>
      </c>
      <c r="B1827" s="1">
        <v>2025</v>
      </c>
      <c r="C1827" s="1" t="s">
        <v>31</v>
      </c>
      <c r="D1827" s="1" t="s">
        <v>1063</v>
      </c>
      <c r="E1827" s="1" t="s">
        <v>1064</v>
      </c>
      <c r="F1827" s="1" t="s">
        <v>32</v>
      </c>
      <c r="G1827" s="1">
        <v>118</v>
      </c>
      <c r="H1827" s="35" t="s">
        <v>89</v>
      </c>
      <c r="I1827" s="12">
        <v>7.7489926917268539</v>
      </c>
      <c r="L1827" s="16">
        <v>2420.2344997763148</v>
      </c>
      <c r="M1827" s="1" t="s">
        <v>89</v>
      </c>
      <c r="N1827" s="16">
        <v>18779.468181568125</v>
      </c>
      <c r="O1827" s="12">
        <v>33.532448954857024</v>
      </c>
      <c r="P1827" s="15">
        <v>7.3059170522907042</v>
      </c>
      <c r="T1827" s="15">
        <v>23.544308799685638</v>
      </c>
      <c r="U1827" s="15">
        <v>25.496880967687058</v>
      </c>
      <c r="W1827" s="12">
        <v>0.59102132946328811</v>
      </c>
      <c r="AE1827" s="1">
        <v>1</v>
      </c>
    </row>
    <row r="1828" spans="1:31" x14ac:dyDescent="0.2">
      <c r="A1828" s="19">
        <v>1827</v>
      </c>
      <c r="B1828" s="1">
        <v>2025</v>
      </c>
      <c r="C1828" s="1" t="s">
        <v>31</v>
      </c>
      <c r="D1828" s="1" t="s">
        <v>1063</v>
      </c>
      <c r="E1828" s="1" t="s">
        <v>1065</v>
      </c>
      <c r="F1828" s="1" t="s">
        <v>32</v>
      </c>
      <c r="G1828" s="1">
        <v>116</v>
      </c>
      <c r="H1828" s="35" t="s">
        <v>89</v>
      </c>
      <c r="I1828" s="12">
        <v>7.317624713994288</v>
      </c>
      <c r="L1828" s="16">
        <v>2485.8974768303633</v>
      </c>
      <c r="M1828" s="1" t="s">
        <v>89</v>
      </c>
      <c r="N1828" s="16">
        <v>18206.683989396974</v>
      </c>
      <c r="O1828" s="12">
        <v>36.103043214117882</v>
      </c>
      <c r="P1828" s="15">
        <v>7.6029585261453798</v>
      </c>
      <c r="T1828" s="15">
        <v>22.423404399842848</v>
      </c>
      <c r="U1828" s="15">
        <v>29.555940483843539</v>
      </c>
      <c r="W1828" s="12">
        <v>0.60705619615093076</v>
      </c>
      <c r="AE1828" s="1">
        <v>1</v>
      </c>
    </row>
    <row r="1829" spans="1:31" x14ac:dyDescent="0.2">
      <c r="A1829" s="19">
        <v>1828</v>
      </c>
      <c r="B1829" s="1">
        <v>2025</v>
      </c>
      <c r="C1829" s="1" t="s">
        <v>31</v>
      </c>
      <c r="D1829" s="1" t="s">
        <v>1066</v>
      </c>
      <c r="E1829" s="1" t="s">
        <v>947</v>
      </c>
      <c r="F1829" s="1" t="s">
        <v>32</v>
      </c>
      <c r="G1829" s="1">
        <v>118</v>
      </c>
      <c r="H1829" s="35" t="s">
        <v>34</v>
      </c>
      <c r="I1829" s="12">
        <v>8.4832635874428526</v>
      </c>
      <c r="L1829" s="16">
        <v>2462.8883882039308</v>
      </c>
      <c r="M1829" s="1" t="s">
        <v>34</v>
      </c>
      <c r="N1829" s="16">
        <v>20950.277010562189</v>
      </c>
      <c r="O1829" s="12">
        <v>37.206921503440469</v>
      </c>
      <c r="P1829" s="15">
        <v>7.6484170522907071</v>
      </c>
      <c r="T1829" s="15">
        <v>23.229308799685658</v>
      </c>
      <c r="U1829" s="15">
        <v>29.729380967687099</v>
      </c>
      <c r="W1829" s="12">
        <v>0.60143740901731224</v>
      </c>
      <c r="AE1829" s="1">
        <v>1</v>
      </c>
    </row>
    <row r="1830" spans="1:31" x14ac:dyDescent="0.2">
      <c r="A1830" s="19">
        <v>1829</v>
      </c>
      <c r="B1830" s="1">
        <v>2025</v>
      </c>
      <c r="C1830" s="1" t="s">
        <v>31</v>
      </c>
      <c r="D1830" s="1" t="s">
        <v>1009</v>
      </c>
      <c r="E1830" s="1" t="s">
        <v>1067</v>
      </c>
      <c r="F1830" s="1" t="s">
        <v>32</v>
      </c>
      <c r="G1830" s="1">
        <v>116</v>
      </c>
      <c r="H1830" s="35" t="s">
        <v>89</v>
      </c>
      <c r="I1830" s="12">
        <v>7.6584524781120997</v>
      </c>
      <c r="L1830" s="16">
        <v>2448.6548194394641</v>
      </c>
      <c r="M1830" s="1" t="s">
        <v>89</v>
      </c>
      <c r="N1830" s="16">
        <v>18835.753814279655</v>
      </c>
      <c r="O1830" s="12">
        <v>35.437112020442513</v>
      </c>
      <c r="P1830" s="15">
        <v>7.3984170522907062</v>
      </c>
      <c r="T1830" s="15">
        <v>23.726808799685649</v>
      </c>
      <c r="U1830" s="15">
        <v>28.449380967687077</v>
      </c>
      <c r="W1830" s="12">
        <v>0.59796157152502916</v>
      </c>
      <c r="AE1830" s="1">
        <v>1</v>
      </c>
    </row>
    <row r="1831" spans="1:31" x14ac:dyDescent="0.2">
      <c r="A1831" s="19">
        <v>1830</v>
      </c>
      <c r="B1831" s="1">
        <v>2025</v>
      </c>
      <c r="C1831" s="1" t="s">
        <v>31</v>
      </c>
      <c r="D1831" s="1" t="s">
        <v>1009</v>
      </c>
      <c r="E1831" s="1" t="s">
        <v>1010</v>
      </c>
      <c r="F1831" s="1" t="s">
        <v>32</v>
      </c>
      <c r="G1831" s="1">
        <v>118</v>
      </c>
      <c r="H1831" s="35" t="s">
        <v>89</v>
      </c>
      <c r="I1831" s="12">
        <v>7.7732162460563687</v>
      </c>
      <c r="L1831" s="16">
        <v>2331.8686203843072</v>
      </c>
      <c r="M1831" s="1" t="s">
        <v>89</v>
      </c>
      <c r="N1831" s="16">
        <v>18117.350628608328</v>
      </c>
      <c r="O1831" s="12">
        <v>38.363653220702581</v>
      </c>
      <c r="P1831" s="15">
        <v>7.4259170522907079</v>
      </c>
      <c r="T1831" s="15">
        <v>26.186808799685661</v>
      </c>
      <c r="U1831" s="15">
        <v>25.271880967687082</v>
      </c>
      <c r="W1831" s="12">
        <v>0.56944238171576</v>
      </c>
      <c r="AE1831" s="1">
        <v>1</v>
      </c>
    </row>
    <row r="1832" spans="1:31" x14ac:dyDescent="0.2">
      <c r="A1832" s="19">
        <v>1831</v>
      </c>
      <c r="B1832" s="1">
        <v>2025</v>
      </c>
      <c r="C1832" s="1" t="s">
        <v>31</v>
      </c>
      <c r="D1832" s="1" t="s">
        <v>1009</v>
      </c>
      <c r="E1832" s="1" t="s">
        <v>1011</v>
      </c>
      <c r="F1832" s="1" t="s">
        <v>32</v>
      </c>
      <c r="G1832" s="1">
        <v>117</v>
      </c>
      <c r="H1832" s="35" t="s">
        <v>89</v>
      </c>
      <c r="I1832" s="12">
        <v>7.8779626392681541</v>
      </c>
      <c r="L1832" s="16">
        <v>2399.0313461197961</v>
      </c>
      <c r="M1832" s="1" t="s">
        <v>89</v>
      </c>
      <c r="N1832" s="16">
        <v>18920.891334640255</v>
      </c>
      <c r="O1832" s="12">
        <v>34.065100058021748</v>
      </c>
      <c r="P1832" s="15">
        <v>8.2059170522907063</v>
      </c>
      <c r="T1832" s="15">
        <v>23.661808799685637</v>
      </c>
      <c r="U1832" s="15">
        <v>24.176880967687065</v>
      </c>
      <c r="W1832" s="12">
        <v>0.58584351934036671</v>
      </c>
      <c r="AE1832" s="1">
        <v>1</v>
      </c>
    </row>
    <row r="1833" spans="1:31" x14ac:dyDescent="0.2">
      <c r="A1833" s="19">
        <v>1832</v>
      </c>
      <c r="B1833" s="1">
        <v>2025</v>
      </c>
      <c r="C1833" s="1" t="s">
        <v>31</v>
      </c>
      <c r="D1833" s="1" t="s">
        <v>1068</v>
      </c>
      <c r="E1833" s="1" t="s">
        <v>1069</v>
      </c>
      <c r="F1833" s="1" t="s">
        <v>32</v>
      </c>
      <c r="G1833" s="1">
        <v>112</v>
      </c>
      <c r="H1833" s="35" t="s">
        <v>89</v>
      </c>
      <c r="I1833" s="12">
        <v>7.2132463747311286</v>
      </c>
      <c r="L1833" s="16">
        <v>2465.3704261776093</v>
      </c>
      <c r="M1833" s="1" t="s">
        <v>89</v>
      </c>
      <c r="N1833" s="16">
        <v>17926.550621999326</v>
      </c>
      <c r="O1833" s="12">
        <v>37.096882146028932</v>
      </c>
      <c r="P1833" s="15">
        <v>7.4359170522907032</v>
      </c>
      <c r="T1833" s="15">
        <v>22.67180879968566</v>
      </c>
      <c r="U1833" s="15">
        <v>28.351880967687084</v>
      </c>
      <c r="W1833" s="12">
        <v>0.60204352269048433</v>
      </c>
      <c r="AE1833" s="1">
        <v>1</v>
      </c>
    </row>
    <row r="1834" spans="1:31" x14ac:dyDescent="0.2">
      <c r="A1834" s="19">
        <v>1833</v>
      </c>
      <c r="B1834" s="1">
        <v>2025</v>
      </c>
      <c r="C1834" s="1" t="s">
        <v>31</v>
      </c>
      <c r="D1834" s="1" t="s">
        <v>1068</v>
      </c>
      <c r="E1834" s="1" t="s">
        <v>1013</v>
      </c>
      <c r="F1834" s="1" t="s">
        <v>32</v>
      </c>
      <c r="G1834" s="1">
        <v>116</v>
      </c>
      <c r="H1834" s="35" t="s">
        <v>89</v>
      </c>
      <c r="I1834" s="12">
        <v>7.3619245017208303</v>
      </c>
      <c r="L1834" s="16">
        <v>2368.8116643035046</v>
      </c>
      <c r="M1834" s="1" t="s">
        <v>89</v>
      </c>
      <c r="N1834" s="16">
        <v>17417.119646940184</v>
      </c>
      <c r="O1834" s="12">
        <v>41.555453844675206</v>
      </c>
      <c r="P1834" s="15">
        <v>7.6554585261453791</v>
      </c>
      <c r="T1834" s="15">
        <v>25.193404399842855</v>
      </c>
      <c r="U1834" s="15">
        <v>25.250940483843529</v>
      </c>
      <c r="W1834" s="12">
        <v>0.57846384073187262</v>
      </c>
      <c r="AE1834" s="1">
        <v>1</v>
      </c>
    </row>
    <row r="1835" spans="1:31" x14ac:dyDescent="0.2">
      <c r="A1835" s="19">
        <v>1834</v>
      </c>
      <c r="B1835" s="1">
        <v>2025</v>
      </c>
      <c r="C1835" s="1" t="s">
        <v>31</v>
      </c>
      <c r="D1835" s="1" t="s">
        <v>1068</v>
      </c>
      <c r="E1835" s="1" t="s">
        <v>1070</v>
      </c>
      <c r="F1835" s="1" t="s">
        <v>32</v>
      </c>
      <c r="G1835" s="1">
        <v>111</v>
      </c>
      <c r="H1835" s="35" t="s">
        <v>89</v>
      </c>
      <c r="I1835" s="12">
        <v>7.4448752410967449</v>
      </c>
      <c r="L1835" s="16">
        <v>2530.444929376145</v>
      </c>
      <c r="M1835" s="1" t="s">
        <v>89</v>
      </c>
      <c r="N1835" s="16">
        <v>18943.02658970403</v>
      </c>
      <c r="O1835" s="12">
        <v>37.378327559786833</v>
      </c>
      <c r="P1835" s="15">
        <v>8.1109170522907039</v>
      </c>
      <c r="T1835" s="15">
        <v>21.32430879968566</v>
      </c>
      <c r="U1835" s="15">
        <v>29.594380967687094</v>
      </c>
      <c r="W1835" s="12">
        <v>0.61793471637156727</v>
      </c>
      <c r="AE1835" s="1">
        <v>1</v>
      </c>
    </row>
    <row r="1836" spans="1:31" x14ac:dyDescent="0.2">
      <c r="A1836" s="19">
        <v>1835</v>
      </c>
      <c r="B1836" s="1">
        <v>2025</v>
      </c>
      <c r="C1836" s="1" t="s">
        <v>31</v>
      </c>
      <c r="D1836" s="1" t="s">
        <v>1068</v>
      </c>
      <c r="E1836" s="1" t="s">
        <v>1071</v>
      </c>
      <c r="F1836" s="1" t="s">
        <v>32</v>
      </c>
      <c r="G1836" s="1">
        <v>119</v>
      </c>
      <c r="H1836" s="35" t="s">
        <v>89</v>
      </c>
      <c r="I1836" s="12">
        <v>7.3875794659287166</v>
      </c>
      <c r="L1836" s="16">
        <v>2528.9526051684447</v>
      </c>
      <c r="M1836" s="1" t="s">
        <v>89</v>
      </c>
      <c r="N1836" s="16">
        <v>18771.67718418088</v>
      </c>
      <c r="O1836" s="12">
        <v>36.464496325943415</v>
      </c>
      <c r="P1836" s="15">
        <v>8.3934170522907028</v>
      </c>
      <c r="T1836" s="15">
        <v>21.12930879968566</v>
      </c>
      <c r="U1836" s="15">
        <v>28.17188096768707</v>
      </c>
      <c r="W1836" s="12">
        <v>0.61757029080004644</v>
      </c>
      <c r="AE1836" s="1">
        <v>1</v>
      </c>
    </row>
    <row r="1837" spans="1:31" x14ac:dyDescent="0.2">
      <c r="A1837" s="19">
        <v>1836</v>
      </c>
      <c r="B1837" s="1">
        <v>2025</v>
      </c>
      <c r="C1837" s="1" t="s">
        <v>31</v>
      </c>
      <c r="D1837" s="1" t="s">
        <v>108</v>
      </c>
      <c r="E1837" s="1" t="s">
        <v>1017</v>
      </c>
      <c r="F1837" s="1" t="s">
        <v>32</v>
      </c>
      <c r="G1837" s="1">
        <v>114</v>
      </c>
      <c r="H1837" s="35" t="s">
        <v>89</v>
      </c>
      <c r="I1837" s="12">
        <v>7.1269897217480107</v>
      </c>
      <c r="L1837" s="16">
        <v>2437.4799118319374</v>
      </c>
      <c r="M1837" s="1" t="s">
        <v>89</v>
      </c>
      <c r="N1837" s="16">
        <v>17388.326881810892</v>
      </c>
      <c r="O1837" s="12">
        <v>35.477511567789008</v>
      </c>
      <c r="P1837" s="15">
        <v>7.9259170522907016</v>
      </c>
      <c r="T1837" s="15">
        <v>22.95680879968566</v>
      </c>
      <c r="U1837" s="15">
        <v>25.656880967687098</v>
      </c>
      <c r="W1837" s="12">
        <v>0.59523265908727085</v>
      </c>
      <c r="AE1837" s="1">
        <v>1</v>
      </c>
    </row>
    <row r="1838" spans="1:31" x14ac:dyDescent="0.2">
      <c r="A1838" s="19">
        <v>1837</v>
      </c>
      <c r="B1838" s="1">
        <v>2025</v>
      </c>
      <c r="C1838" s="1" t="s">
        <v>31</v>
      </c>
      <c r="D1838" s="1" t="s">
        <v>108</v>
      </c>
      <c r="E1838" s="1" t="s">
        <v>1018</v>
      </c>
      <c r="F1838" s="1" t="s">
        <v>32</v>
      </c>
      <c r="G1838" s="1">
        <v>117</v>
      </c>
      <c r="H1838" s="35" t="s">
        <v>89</v>
      </c>
      <c r="I1838" s="12">
        <v>7.9010804346290469</v>
      </c>
      <c r="L1838" s="16">
        <v>2449.0951032618073</v>
      </c>
      <c r="M1838" s="1" t="s">
        <v>89</v>
      </c>
      <c r="N1838" s="16">
        <v>19450.579247528469</v>
      </c>
      <c r="O1838" s="12">
        <v>36.67612844924264</v>
      </c>
      <c r="P1838" s="15">
        <v>7.4029585261453805</v>
      </c>
      <c r="T1838" s="15">
        <v>22.985904399842866</v>
      </c>
      <c r="U1838" s="15">
        <v>30.055940483843528</v>
      </c>
      <c r="W1838" s="12">
        <v>0.59806905652549014</v>
      </c>
      <c r="AE1838" s="1">
        <v>1</v>
      </c>
    </row>
    <row r="1839" spans="1:31" x14ac:dyDescent="0.2">
      <c r="A1839" s="19">
        <v>1838</v>
      </c>
      <c r="B1839" s="1">
        <v>2025</v>
      </c>
      <c r="C1839" s="1" t="s">
        <v>31</v>
      </c>
      <c r="D1839" s="1" t="s">
        <v>108</v>
      </c>
      <c r="E1839" s="1" t="s">
        <v>1072</v>
      </c>
      <c r="F1839" s="1" t="s">
        <v>32</v>
      </c>
      <c r="G1839" s="1">
        <v>117</v>
      </c>
      <c r="H1839" s="35" t="s">
        <v>89</v>
      </c>
      <c r="I1839" s="12">
        <v>6.6933167272115561</v>
      </c>
      <c r="L1839" s="16">
        <v>2372.15843439113</v>
      </c>
      <c r="M1839" s="1" t="s">
        <v>89</v>
      </c>
      <c r="N1839" s="16">
        <v>15890.021324445555</v>
      </c>
      <c r="O1839" s="12">
        <v>37.375281211444438</v>
      </c>
      <c r="P1839" s="15">
        <v>8.1034170522907054</v>
      </c>
      <c r="T1839" s="15">
        <v>24.386808799685646</v>
      </c>
      <c r="U1839" s="15">
        <v>24.679380967687091</v>
      </c>
      <c r="W1839" s="12">
        <v>0.5792811542962264</v>
      </c>
      <c r="AE1839" s="1">
        <v>1</v>
      </c>
    </row>
    <row r="1840" spans="1:31" x14ac:dyDescent="0.2">
      <c r="A1840" s="19">
        <v>1839</v>
      </c>
      <c r="B1840" s="1">
        <v>2025</v>
      </c>
      <c r="C1840" s="1" t="s">
        <v>31</v>
      </c>
      <c r="D1840" s="1" t="s">
        <v>67</v>
      </c>
      <c r="E1840" s="1" t="s">
        <v>1073</v>
      </c>
      <c r="F1840" s="1" t="s">
        <v>32</v>
      </c>
      <c r="G1840" s="1">
        <v>120</v>
      </c>
      <c r="H1840" s="35" t="s">
        <v>89</v>
      </c>
      <c r="I1840" s="12">
        <v>7.7051383806237537</v>
      </c>
      <c r="L1840" s="16">
        <v>2387.7523380660659</v>
      </c>
      <c r="M1840" s="1" t="s">
        <v>89</v>
      </c>
      <c r="N1840" s="16">
        <v>18438.07492300657</v>
      </c>
      <c r="O1840" s="12">
        <v>32.625645492605784</v>
      </c>
      <c r="P1840" s="15">
        <v>8.0634170522907151</v>
      </c>
      <c r="T1840" s="15">
        <v>25.216808799685644</v>
      </c>
      <c r="U1840" s="15">
        <v>21.146880967687192</v>
      </c>
      <c r="W1840" s="12">
        <v>0.58308918557364697</v>
      </c>
      <c r="AE1840" s="1">
        <v>1</v>
      </c>
    </row>
    <row r="1841" spans="1:31" x14ac:dyDescent="0.2">
      <c r="A1841" s="19">
        <v>1840</v>
      </c>
      <c r="B1841" s="1">
        <v>2025</v>
      </c>
      <c r="C1841" s="1" t="s">
        <v>31</v>
      </c>
      <c r="D1841" s="1" t="s">
        <v>67</v>
      </c>
      <c r="E1841" s="1" t="s">
        <v>1022</v>
      </c>
      <c r="F1841" s="1" t="s">
        <v>32</v>
      </c>
      <c r="G1841" s="1">
        <v>120</v>
      </c>
      <c r="H1841" s="35" t="s">
        <v>89</v>
      </c>
      <c r="I1841" s="12">
        <v>8.1530625183391336</v>
      </c>
      <c r="L1841" s="16">
        <v>2470.4947922995066</v>
      </c>
      <c r="M1841" s="1" t="s">
        <v>89</v>
      </c>
      <c r="N1841" s="16">
        <v>20269.703201661679</v>
      </c>
      <c r="O1841" s="12">
        <v>33.359698760934961</v>
      </c>
      <c r="P1841" s="15">
        <v>8.918417052290712</v>
      </c>
      <c r="T1841" s="15">
        <v>22.961808799685631</v>
      </c>
      <c r="U1841" s="15">
        <v>23.094380967687176</v>
      </c>
      <c r="W1841" s="12">
        <v>0.60329489289745364</v>
      </c>
      <c r="AE1841" s="1">
        <v>1</v>
      </c>
    </row>
  </sheetData>
  <autoFilter ref="A1:AE1841" xr:uid="{CD5F34E9-D2B2-B546-A709-80776F8F46CB}"/>
  <sortState xmlns:xlrd2="http://schemas.microsoft.com/office/spreadsheetml/2017/richdata2" ref="A2:AE1686">
    <sortCondition ref="A2:A1686"/>
  </sortState>
  <phoneticPr fontId="7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78E1D75DD9489A06974E86EAD776" ma:contentTypeVersion="16" ma:contentTypeDescription="Create a new document." ma:contentTypeScope="" ma:versionID="8d97a98a38acff5b6332ccfad9cdde28">
  <xsd:schema xmlns:xsd="http://www.w3.org/2001/XMLSchema" xmlns:xs="http://www.w3.org/2001/XMLSchema" xmlns:p="http://schemas.microsoft.com/office/2006/metadata/properties" xmlns:ns2="d0e4b5b6-5509-4c76-bf1d-2a496b20a109" xmlns:ns3="d318d016-a0a7-46b5-a347-93576654e345" targetNamespace="http://schemas.microsoft.com/office/2006/metadata/properties" ma:root="true" ma:fieldsID="89e4e49da3863907c1193abb1e5142cf" ns2:_="" ns3:_="">
    <xsd:import namespace="d0e4b5b6-5509-4c76-bf1d-2a496b20a109"/>
    <xsd:import namespace="d318d016-a0a7-46b5-a347-93576654e3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e4b5b6-5509-4c76-bf1d-2a496b20a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8d016-a0a7-46b5-a347-93576654e34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48d92e3-939d-4e04-a885-599f13e7d3a1}" ma:internalName="TaxCatchAll" ma:showField="CatchAllData" ma:web="d318d016-a0a7-46b5-a347-93576654e3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25A525-4C93-42CD-BCD6-F84BA602ED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EA9475-2145-40E7-A928-04514476CE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e4b5b6-5509-4c76-bf1d-2a496b20a109"/>
    <ds:schemaRef ds:uri="d318d016-a0a7-46b5-a347-93576654e3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Mailhos Algorta, Maria Elena</cp:lastModifiedBy>
  <cp:revision/>
  <dcterms:created xsi:type="dcterms:W3CDTF">2022-02-21T16:00:19Z</dcterms:created>
  <dcterms:modified xsi:type="dcterms:W3CDTF">2025-12-08T14:17:04Z</dcterms:modified>
  <cp:category/>
  <cp:contentStatus/>
</cp:coreProperties>
</file>